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55b0f552a89887/Data_Science/EXCEL/Projectos/"/>
    </mc:Choice>
  </mc:AlternateContent>
  <xr:revisionPtr revIDLastSave="0" documentId="8_{83FC3D68-C99B-4729-8E78-ED931D59E261}" xr6:coauthVersionLast="47" xr6:coauthVersionMax="47" xr10:uidLastSave="{00000000-0000-0000-0000-000000000000}"/>
  <bookViews>
    <workbookView xWindow="-120" yWindow="-120" windowWidth="20730" windowHeight="11160" tabRatio="897" activeTab="7" xr2:uid="{268D5FD1-2A14-4D63-93F4-B3ABA1CC6D4E}"/>
  </bookViews>
  <sheets>
    <sheet name="Plano de Contas" sheetId="2" r:id="rId1"/>
    <sheet name="Formato DRE" sheetId="1" r:id="rId2"/>
    <sheet name="Orçado" sheetId="9" r:id="rId3"/>
    <sheet name="Orçado Adptado" sheetId="3" r:id="rId4"/>
    <sheet name="Realizado" sheetId="4" r:id="rId5"/>
    <sheet name="Realizado Adptado" sheetId="5" r:id="rId6"/>
    <sheet name="FINANCEIRO" sheetId="6" r:id="rId7"/>
    <sheet name="DASHBOARD" sheetId="12" r:id="rId8"/>
    <sheet name="ORÇAMENTO" sheetId="7" r:id="rId9"/>
    <sheet name="RESUMO" sheetId="14" r:id="rId10"/>
  </sheets>
  <definedNames>
    <definedName name="_xlcn.WorksheetConnection_DRE2019.xlsxfRealizado51" hidden="1">fRealizado5[]</definedName>
    <definedName name="_xlcn.WorksheetConnection_DRE2019.xlsxTabela91" hidden="1">Tabela9[]</definedName>
  </definedNames>
  <calcPr calcId="191029"/>
  <pivotCaches>
    <pivotCache cacheId="41" r:id="rId11"/>
    <pivotCache cacheId="49" r:id="rId12"/>
    <pivotCache cacheId="5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Realizado5" name="fRealizado5" connection="WorksheetConnection_DRE 2019.xlsx!fRealizado5"/>
          <x15:modelTable id="Tabela9" name="Tabela9" connection="WorksheetConnection_DRE 2019.xlsx!Tabela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2" l="1"/>
  <c r="G6" i="12"/>
  <c r="F6" i="12"/>
  <c r="E6" i="12"/>
  <c r="D6" i="12"/>
  <c r="C6" i="12"/>
  <c r="B6" i="12"/>
  <c r="A6" i="12"/>
  <c r="I6" i="12"/>
  <c r="B2" i="6"/>
  <c r="A630" i="9" l="1"/>
  <c r="A770" i="9" s="1"/>
  <c r="A910" i="9" s="1"/>
  <c r="A1050" i="9" s="1"/>
  <c r="A1190" i="9" s="1"/>
  <c r="A1330" i="9" s="1"/>
  <c r="A1470" i="9" s="1"/>
  <c r="A1610" i="9" s="1"/>
  <c r="A598" i="9"/>
  <c r="A738" i="9" s="1"/>
  <c r="A878" i="9" s="1"/>
  <c r="A1018" i="9" s="1"/>
  <c r="A1158" i="9" s="1"/>
  <c r="A1298" i="9" s="1"/>
  <c r="A1438" i="9" s="1"/>
  <c r="A1578" i="9" s="1"/>
  <c r="A560" i="9"/>
  <c r="A700" i="9" s="1"/>
  <c r="A840" i="9" s="1"/>
  <c r="A980" i="9" s="1"/>
  <c r="A1120" i="9" s="1"/>
  <c r="A1260" i="9" s="1"/>
  <c r="A1400" i="9" s="1"/>
  <c r="A1540" i="9" s="1"/>
  <c r="A1680" i="9" s="1"/>
  <c r="A552" i="9"/>
  <c r="A692" i="9" s="1"/>
  <c r="A832" i="9" s="1"/>
  <c r="A972" i="9" s="1"/>
  <c r="A1112" i="9" s="1"/>
  <c r="A1252" i="9" s="1"/>
  <c r="A1392" i="9" s="1"/>
  <c r="A1532" i="9" s="1"/>
  <c r="A1672" i="9" s="1"/>
  <c r="A544" i="9"/>
  <c r="A684" i="9" s="1"/>
  <c r="A824" i="9" s="1"/>
  <c r="A964" i="9" s="1"/>
  <c r="A1104" i="9" s="1"/>
  <c r="A1244" i="9" s="1"/>
  <c r="A1384" i="9" s="1"/>
  <c r="A1524" i="9" s="1"/>
  <c r="A1664" i="9" s="1"/>
  <c r="A536" i="9"/>
  <c r="A676" i="9" s="1"/>
  <c r="A816" i="9" s="1"/>
  <c r="A956" i="9" s="1"/>
  <c r="A1096" i="9" s="1"/>
  <c r="A1236" i="9" s="1"/>
  <c r="A1376" i="9" s="1"/>
  <c r="A1516" i="9" s="1"/>
  <c r="A1656" i="9" s="1"/>
  <c r="A528" i="9"/>
  <c r="A668" i="9" s="1"/>
  <c r="A808" i="9" s="1"/>
  <c r="A948" i="9" s="1"/>
  <c r="A1088" i="9" s="1"/>
  <c r="A1228" i="9" s="1"/>
  <c r="A1368" i="9" s="1"/>
  <c r="A1508" i="9" s="1"/>
  <c r="A1648" i="9" s="1"/>
  <c r="A520" i="9"/>
  <c r="A660" i="9" s="1"/>
  <c r="A800" i="9" s="1"/>
  <c r="A940" i="9" s="1"/>
  <c r="A1080" i="9" s="1"/>
  <c r="A1220" i="9" s="1"/>
  <c r="A1360" i="9" s="1"/>
  <c r="A1500" i="9" s="1"/>
  <c r="A1640" i="9" s="1"/>
  <c r="A512" i="9"/>
  <c r="A652" i="9" s="1"/>
  <c r="A792" i="9" s="1"/>
  <c r="A932" i="9" s="1"/>
  <c r="A1072" i="9" s="1"/>
  <c r="A1212" i="9" s="1"/>
  <c r="A1352" i="9" s="1"/>
  <c r="A1492" i="9" s="1"/>
  <c r="A1632" i="9" s="1"/>
  <c r="A504" i="9"/>
  <c r="A644" i="9" s="1"/>
  <c r="A784" i="9" s="1"/>
  <c r="A924" i="9" s="1"/>
  <c r="A1064" i="9" s="1"/>
  <c r="A1204" i="9" s="1"/>
  <c r="A1344" i="9" s="1"/>
  <c r="A1484" i="9" s="1"/>
  <c r="A1624" i="9" s="1"/>
  <c r="A496" i="9"/>
  <c r="A636" i="9" s="1"/>
  <c r="A776" i="9" s="1"/>
  <c r="A916" i="9" s="1"/>
  <c r="A1056" i="9" s="1"/>
  <c r="A1196" i="9" s="1"/>
  <c r="A1336" i="9" s="1"/>
  <c r="A1476" i="9" s="1"/>
  <c r="A1616" i="9" s="1"/>
  <c r="A488" i="9"/>
  <c r="A628" i="9" s="1"/>
  <c r="A768" i="9" s="1"/>
  <c r="A908" i="9" s="1"/>
  <c r="A1048" i="9" s="1"/>
  <c r="A1188" i="9" s="1"/>
  <c r="A1328" i="9" s="1"/>
  <c r="A1468" i="9" s="1"/>
  <c r="A1608" i="9" s="1"/>
  <c r="A480" i="9"/>
  <c r="A620" i="9" s="1"/>
  <c r="A760" i="9" s="1"/>
  <c r="A900" i="9" s="1"/>
  <c r="A1040" i="9" s="1"/>
  <c r="A1180" i="9" s="1"/>
  <c r="A1320" i="9" s="1"/>
  <c r="A1460" i="9" s="1"/>
  <c r="A1600" i="9" s="1"/>
  <c r="A472" i="9"/>
  <c r="A612" i="9" s="1"/>
  <c r="A752" i="9" s="1"/>
  <c r="A892" i="9" s="1"/>
  <c r="A1032" i="9" s="1"/>
  <c r="A1172" i="9" s="1"/>
  <c r="A1312" i="9" s="1"/>
  <c r="A1452" i="9" s="1"/>
  <c r="A1592" i="9" s="1"/>
  <c r="A464" i="9"/>
  <c r="A604" i="9" s="1"/>
  <c r="A744" i="9" s="1"/>
  <c r="A884" i="9" s="1"/>
  <c r="A1024" i="9" s="1"/>
  <c r="A1164" i="9" s="1"/>
  <c r="A1304" i="9" s="1"/>
  <c r="A1444" i="9" s="1"/>
  <c r="A1584" i="9" s="1"/>
  <c r="A456" i="9"/>
  <c r="A596" i="9" s="1"/>
  <c r="A736" i="9" s="1"/>
  <c r="A876" i="9" s="1"/>
  <c r="A1016" i="9" s="1"/>
  <c r="A1156" i="9" s="1"/>
  <c r="A1296" i="9" s="1"/>
  <c r="A1436" i="9" s="1"/>
  <c r="A1576" i="9" s="1"/>
  <c r="A448" i="9"/>
  <c r="A588" i="9" s="1"/>
  <c r="A728" i="9" s="1"/>
  <c r="A868" i="9" s="1"/>
  <c r="A1008" i="9" s="1"/>
  <c r="A1148" i="9" s="1"/>
  <c r="A1288" i="9" s="1"/>
  <c r="A1428" i="9" s="1"/>
  <c r="A1568" i="9" s="1"/>
  <c r="A440" i="9"/>
  <c r="A580" i="9" s="1"/>
  <c r="A720" i="9" s="1"/>
  <c r="A860" i="9" s="1"/>
  <c r="A1000" i="9" s="1"/>
  <c r="A1140" i="9" s="1"/>
  <c r="A1280" i="9" s="1"/>
  <c r="A1420" i="9" s="1"/>
  <c r="A1560" i="9" s="1"/>
  <c r="A432" i="9"/>
  <c r="A572" i="9" s="1"/>
  <c r="A712" i="9" s="1"/>
  <c r="A852" i="9" s="1"/>
  <c r="A992" i="9" s="1"/>
  <c r="A1132" i="9" s="1"/>
  <c r="A1272" i="9" s="1"/>
  <c r="A1412" i="9" s="1"/>
  <c r="A1552" i="9" s="1"/>
  <c r="A424" i="9"/>
  <c r="A564" i="9" s="1"/>
  <c r="A704" i="9" s="1"/>
  <c r="A844" i="9" s="1"/>
  <c r="A984" i="9" s="1"/>
  <c r="A1124" i="9" s="1"/>
  <c r="A1264" i="9" s="1"/>
  <c r="A1404" i="9" s="1"/>
  <c r="A1544" i="9" s="1"/>
  <c r="A420" i="9"/>
  <c r="A419" i="9"/>
  <c r="A559" i="9" s="1"/>
  <c r="A699" i="9" s="1"/>
  <c r="A839" i="9" s="1"/>
  <c r="A979" i="9" s="1"/>
  <c r="A1119" i="9" s="1"/>
  <c r="A1259" i="9" s="1"/>
  <c r="A1399" i="9" s="1"/>
  <c r="A1539" i="9" s="1"/>
  <c r="A1679" i="9" s="1"/>
  <c r="A416" i="9"/>
  <c r="A556" i="9" s="1"/>
  <c r="A696" i="9" s="1"/>
  <c r="A836" i="9" s="1"/>
  <c r="A976" i="9" s="1"/>
  <c r="A1116" i="9" s="1"/>
  <c r="A1256" i="9" s="1"/>
  <c r="A1396" i="9" s="1"/>
  <c r="A1536" i="9" s="1"/>
  <c r="A1676" i="9" s="1"/>
  <c r="A412" i="9"/>
  <c r="A411" i="9"/>
  <c r="A551" i="9" s="1"/>
  <c r="A691" i="9" s="1"/>
  <c r="A831" i="9" s="1"/>
  <c r="A971" i="9" s="1"/>
  <c r="A1111" i="9" s="1"/>
  <c r="A1251" i="9" s="1"/>
  <c r="A1391" i="9" s="1"/>
  <c r="A1531" i="9" s="1"/>
  <c r="A1671" i="9" s="1"/>
  <c r="A408" i="9"/>
  <c r="A548" i="9" s="1"/>
  <c r="A688" i="9" s="1"/>
  <c r="A828" i="9" s="1"/>
  <c r="A968" i="9" s="1"/>
  <c r="A1108" i="9" s="1"/>
  <c r="A1248" i="9" s="1"/>
  <c r="A1388" i="9" s="1"/>
  <c r="A1528" i="9" s="1"/>
  <c r="A1668" i="9" s="1"/>
  <c r="A404" i="9"/>
  <c r="A403" i="9"/>
  <c r="A543" i="9" s="1"/>
  <c r="A683" i="9" s="1"/>
  <c r="A823" i="9" s="1"/>
  <c r="A963" i="9" s="1"/>
  <c r="A1103" i="9" s="1"/>
  <c r="A1243" i="9" s="1"/>
  <c r="A1383" i="9" s="1"/>
  <c r="A1523" i="9" s="1"/>
  <c r="A1663" i="9" s="1"/>
  <c r="A400" i="9"/>
  <c r="A540" i="9" s="1"/>
  <c r="A680" i="9" s="1"/>
  <c r="A820" i="9" s="1"/>
  <c r="A960" i="9" s="1"/>
  <c r="A1100" i="9" s="1"/>
  <c r="A1240" i="9" s="1"/>
  <c r="A1380" i="9" s="1"/>
  <c r="A1520" i="9" s="1"/>
  <c r="A1660" i="9" s="1"/>
  <c r="A396" i="9"/>
  <c r="A395" i="9"/>
  <c r="A535" i="9" s="1"/>
  <c r="A675" i="9" s="1"/>
  <c r="A815" i="9" s="1"/>
  <c r="A955" i="9" s="1"/>
  <c r="A1095" i="9" s="1"/>
  <c r="A1235" i="9" s="1"/>
  <c r="A1375" i="9" s="1"/>
  <c r="A1515" i="9" s="1"/>
  <c r="A1655" i="9" s="1"/>
  <c r="A392" i="9"/>
  <c r="A532" i="9" s="1"/>
  <c r="A672" i="9" s="1"/>
  <c r="A812" i="9" s="1"/>
  <c r="A952" i="9" s="1"/>
  <c r="A1092" i="9" s="1"/>
  <c r="A1232" i="9" s="1"/>
  <c r="A1372" i="9" s="1"/>
  <c r="A1512" i="9" s="1"/>
  <c r="A1652" i="9" s="1"/>
  <c r="A388" i="9"/>
  <c r="A387" i="9"/>
  <c r="A527" i="9" s="1"/>
  <c r="A667" i="9" s="1"/>
  <c r="A807" i="9" s="1"/>
  <c r="A947" i="9" s="1"/>
  <c r="A1087" i="9" s="1"/>
  <c r="A1227" i="9" s="1"/>
  <c r="A1367" i="9" s="1"/>
  <c r="A1507" i="9" s="1"/>
  <c r="A1647" i="9" s="1"/>
  <c r="A384" i="9"/>
  <c r="A524" i="9" s="1"/>
  <c r="A664" i="9" s="1"/>
  <c r="A804" i="9" s="1"/>
  <c r="A944" i="9" s="1"/>
  <c r="A1084" i="9" s="1"/>
  <c r="A1224" i="9" s="1"/>
  <c r="A1364" i="9" s="1"/>
  <c r="A1504" i="9" s="1"/>
  <c r="A1644" i="9" s="1"/>
  <c r="A380" i="9"/>
  <c r="A379" i="9"/>
  <c r="A519" i="9" s="1"/>
  <c r="A659" i="9" s="1"/>
  <c r="A799" i="9" s="1"/>
  <c r="A939" i="9" s="1"/>
  <c r="A1079" i="9" s="1"/>
  <c r="A1219" i="9" s="1"/>
  <c r="A1359" i="9" s="1"/>
  <c r="A1499" i="9" s="1"/>
  <c r="A1639" i="9" s="1"/>
  <c r="A376" i="9"/>
  <c r="A516" i="9" s="1"/>
  <c r="A656" i="9" s="1"/>
  <c r="A796" i="9" s="1"/>
  <c r="A936" i="9" s="1"/>
  <c r="A1076" i="9" s="1"/>
  <c r="A1216" i="9" s="1"/>
  <c r="A1356" i="9" s="1"/>
  <c r="A1496" i="9" s="1"/>
  <c r="A1636" i="9" s="1"/>
  <c r="A372" i="9"/>
  <c r="A371" i="9"/>
  <c r="A511" i="9" s="1"/>
  <c r="A651" i="9" s="1"/>
  <c r="A791" i="9" s="1"/>
  <c r="A931" i="9" s="1"/>
  <c r="A1071" i="9" s="1"/>
  <c r="A1211" i="9" s="1"/>
  <c r="A1351" i="9" s="1"/>
  <c r="A1491" i="9" s="1"/>
  <c r="A1631" i="9" s="1"/>
  <c r="A368" i="9"/>
  <c r="A508" i="9" s="1"/>
  <c r="A648" i="9" s="1"/>
  <c r="A788" i="9" s="1"/>
  <c r="A928" i="9" s="1"/>
  <c r="A1068" i="9" s="1"/>
  <c r="A1208" i="9" s="1"/>
  <c r="A1348" i="9" s="1"/>
  <c r="A1488" i="9" s="1"/>
  <c r="A1628" i="9" s="1"/>
  <c r="A364" i="9"/>
  <c r="A363" i="9"/>
  <c r="A503" i="9" s="1"/>
  <c r="A643" i="9" s="1"/>
  <c r="A783" i="9" s="1"/>
  <c r="A923" i="9" s="1"/>
  <c r="A1063" i="9" s="1"/>
  <c r="A1203" i="9" s="1"/>
  <c r="A1343" i="9" s="1"/>
  <c r="A1483" i="9" s="1"/>
  <c r="A1623" i="9" s="1"/>
  <c r="A360" i="9"/>
  <c r="A500" i="9" s="1"/>
  <c r="A640" i="9" s="1"/>
  <c r="A780" i="9" s="1"/>
  <c r="A920" i="9" s="1"/>
  <c r="A1060" i="9" s="1"/>
  <c r="A1200" i="9" s="1"/>
  <c r="A1340" i="9" s="1"/>
  <c r="A1480" i="9" s="1"/>
  <c r="A1620" i="9" s="1"/>
  <c r="A356" i="9"/>
  <c r="A355" i="9"/>
  <c r="A495" i="9" s="1"/>
  <c r="A635" i="9" s="1"/>
  <c r="A775" i="9" s="1"/>
  <c r="A915" i="9" s="1"/>
  <c r="A1055" i="9" s="1"/>
  <c r="A1195" i="9" s="1"/>
  <c r="A1335" i="9" s="1"/>
  <c r="A1475" i="9" s="1"/>
  <c r="A1615" i="9" s="1"/>
  <c r="A352" i="9"/>
  <c r="A492" i="9" s="1"/>
  <c r="A632" i="9" s="1"/>
  <c r="A772" i="9" s="1"/>
  <c r="A912" i="9" s="1"/>
  <c r="A1052" i="9" s="1"/>
  <c r="A1192" i="9" s="1"/>
  <c r="A1332" i="9" s="1"/>
  <c r="A1472" i="9" s="1"/>
  <c r="A1612" i="9" s="1"/>
  <c r="A348" i="9"/>
  <c r="A347" i="9"/>
  <c r="A487" i="9" s="1"/>
  <c r="A627" i="9" s="1"/>
  <c r="A767" i="9" s="1"/>
  <c r="A907" i="9" s="1"/>
  <c r="A1047" i="9" s="1"/>
  <c r="A1187" i="9" s="1"/>
  <c r="A1327" i="9" s="1"/>
  <c r="A1467" i="9" s="1"/>
  <c r="A1607" i="9" s="1"/>
  <c r="A344" i="9"/>
  <c r="A484" i="9" s="1"/>
  <c r="A624" i="9" s="1"/>
  <c r="A764" i="9" s="1"/>
  <c r="A904" i="9" s="1"/>
  <c r="A1044" i="9" s="1"/>
  <c r="A1184" i="9" s="1"/>
  <c r="A1324" i="9" s="1"/>
  <c r="A1464" i="9" s="1"/>
  <c r="A1604" i="9" s="1"/>
  <c r="A340" i="9"/>
  <c r="A339" i="9"/>
  <c r="A479" i="9" s="1"/>
  <c r="A619" i="9" s="1"/>
  <c r="A759" i="9" s="1"/>
  <c r="A899" i="9" s="1"/>
  <c r="A1039" i="9" s="1"/>
  <c r="A1179" i="9" s="1"/>
  <c r="A1319" i="9" s="1"/>
  <c r="A1459" i="9" s="1"/>
  <c r="A1599" i="9" s="1"/>
  <c r="A336" i="9"/>
  <c r="A476" i="9" s="1"/>
  <c r="A616" i="9" s="1"/>
  <c r="A756" i="9" s="1"/>
  <c r="A896" i="9" s="1"/>
  <c r="A1036" i="9" s="1"/>
  <c r="A1176" i="9" s="1"/>
  <c r="A1316" i="9" s="1"/>
  <c r="A1456" i="9" s="1"/>
  <c r="A1596" i="9" s="1"/>
  <c r="A332" i="9"/>
  <c r="A331" i="9"/>
  <c r="A471" i="9" s="1"/>
  <c r="A611" i="9" s="1"/>
  <c r="A751" i="9" s="1"/>
  <c r="A891" i="9" s="1"/>
  <c r="A1031" i="9" s="1"/>
  <c r="A1171" i="9" s="1"/>
  <c r="A1311" i="9" s="1"/>
  <c r="A1451" i="9" s="1"/>
  <c r="A1591" i="9" s="1"/>
  <c r="A328" i="9"/>
  <c r="A468" i="9" s="1"/>
  <c r="A608" i="9" s="1"/>
  <c r="A748" i="9" s="1"/>
  <c r="A888" i="9" s="1"/>
  <c r="A1028" i="9" s="1"/>
  <c r="A1168" i="9" s="1"/>
  <c r="A1308" i="9" s="1"/>
  <c r="A1448" i="9" s="1"/>
  <c r="A1588" i="9" s="1"/>
  <c r="A324" i="9"/>
  <c r="A323" i="9"/>
  <c r="A463" i="9" s="1"/>
  <c r="A603" i="9" s="1"/>
  <c r="A743" i="9" s="1"/>
  <c r="A883" i="9" s="1"/>
  <c r="A1023" i="9" s="1"/>
  <c r="A1163" i="9" s="1"/>
  <c r="A1303" i="9" s="1"/>
  <c r="A1443" i="9" s="1"/>
  <c r="A1583" i="9" s="1"/>
  <c r="A320" i="9"/>
  <c r="A460" i="9" s="1"/>
  <c r="A600" i="9" s="1"/>
  <c r="A740" i="9" s="1"/>
  <c r="A880" i="9" s="1"/>
  <c r="A1020" i="9" s="1"/>
  <c r="A1160" i="9" s="1"/>
  <c r="A1300" i="9" s="1"/>
  <c r="A1440" i="9" s="1"/>
  <c r="A1580" i="9" s="1"/>
  <c r="A316" i="9"/>
  <c r="A315" i="9"/>
  <c r="A455" i="9" s="1"/>
  <c r="A595" i="9" s="1"/>
  <c r="A735" i="9" s="1"/>
  <c r="A875" i="9" s="1"/>
  <c r="A1015" i="9" s="1"/>
  <c r="A1155" i="9" s="1"/>
  <c r="A1295" i="9" s="1"/>
  <c r="A1435" i="9" s="1"/>
  <c r="A1575" i="9" s="1"/>
  <c r="A312" i="9"/>
  <c r="A452" i="9" s="1"/>
  <c r="A592" i="9" s="1"/>
  <c r="A732" i="9" s="1"/>
  <c r="A872" i="9" s="1"/>
  <c r="A1012" i="9" s="1"/>
  <c r="A1152" i="9" s="1"/>
  <c r="A1292" i="9" s="1"/>
  <c r="A1432" i="9" s="1"/>
  <c r="A1572" i="9" s="1"/>
  <c r="A308" i="9"/>
  <c r="A307" i="9"/>
  <c r="A447" i="9" s="1"/>
  <c r="A587" i="9" s="1"/>
  <c r="A727" i="9" s="1"/>
  <c r="A867" i="9" s="1"/>
  <c r="A1007" i="9" s="1"/>
  <c r="A1147" i="9" s="1"/>
  <c r="A1287" i="9" s="1"/>
  <c r="A1427" i="9" s="1"/>
  <c r="A1567" i="9" s="1"/>
  <c r="A304" i="9"/>
  <c r="A444" i="9" s="1"/>
  <c r="A584" i="9" s="1"/>
  <c r="A724" i="9" s="1"/>
  <c r="A864" i="9" s="1"/>
  <c r="A1004" i="9" s="1"/>
  <c r="A1144" i="9" s="1"/>
  <c r="A1284" i="9" s="1"/>
  <c r="A1424" i="9" s="1"/>
  <c r="A1564" i="9" s="1"/>
  <c r="A300" i="9"/>
  <c r="A299" i="9"/>
  <c r="A439" i="9" s="1"/>
  <c r="A579" i="9" s="1"/>
  <c r="A719" i="9" s="1"/>
  <c r="A859" i="9" s="1"/>
  <c r="A999" i="9" s="1"/>
  <c r="A1139" i="9" s="1"/>
  <c r="A1279" i="9" s="1"/>
  <c r="A1419" i="9" s="1"/>
  <c r="A1559" i="9" s="1"/>
  <c r="A296" i="9"/>
  <c r="A436" i="9" s="1"/>
  <c r="A576" i="9" s="1"/>
  <c r="A716" i="9" s="1"/>
  <c r="A856" i="9" s="1"/>
  <c r="A996" i="9" s="1"/>
  <c r="A1136" i="9" s="1"/>
  <c r="A1276" i="9" s="1"/>
  <c r="A1416" i="9" s="1"/>
  <c r="A1556" i="9" s="1"/>
  <c r="A292" i="9"/>
  <c r="A291" i="9"/>
  <c r="A431" i="9" s="1"/>
  <c r="A571" i="9" s="1"/>
  <c r="A711" i="9" s="1"/>
  <c r="A851" i="9" s="1"/>
  <c r="A991" i="9" s="1"/>
  <c r="A1131" i="9" s="1"/>
  <c r="A1271" i="9" s="1"/>
  <c r="A1411" i="9" s="1"/>
  <c r="A1551" i="9" s="1"/>
  <c r="A288" i="9"/>
  <c r="A428" i="9" s="1"/>
  <c r="A568" i="9" s="1"/>
  <c r="A708" i="9" s="1"/>
  <c r="A848" i="9" s="1"/>
  <c r="A988" i="9" s="1"/>
  <c r="A1128" i="9" s="1"/>
  <c r="A1268" i="9" s="1"/>
  <c r="A1408" i="9" s="1"/>
  <c r="A1548" i="9" s="1"/>
  <c r="A284" i="9"/>
  <c r="A283" i="9"/>
  <c r="A423" i="9" s="1"/>
  <c r="A563" i="9" s="1"/>
  <c r="A703" i="9" s="1"/>
  <c r="A843" i="9" s="1"/>
  <c r="A983" i="9" s="1"/>
  <c r="A1123" i="9" s="1"/>
  <c r="A1263" i="9" s="1"/>
  <c r="A1403" i="9" s="1"/>
  <c r="A1543" i="9" s="1"/>
  <c r="A281" i="9"/>
  <c r="A421" i="9" s="1"/>
  <c r="A561" i="9" s="1"/>
  <c r="A701" i="9" s="1"/>
  <c r="A841" i="9" s="1"/>
  <c r="A981" i="9" s="1"/>
  <c r="A1121" i="9" s="1"/>
  <c r="A1261" i="9" s="1"/>
  <c r="A1401" i="9" s="1"/>
  <c r="A1541" i="9" s="1"/>
  <c r="A1681" i="9" s="1"/>
  <c r="A280" i="9"/>
  <c r="A279" i="9"/>
  <c r="A278" i="9"/>
  <c r="A418" i="9" s="1"/>
  <c r="A558" i="9" s="1"/>
  <c r="A698" i="9" s="1"/>
  <c r="A838" i="9" s="1"/>
  <c r="A978" i="9" s="1"/>
  <c r="A1118" i="9" s="1"/>
  <c r="A1258" i="9" s="1"/>
  <c r="A1398" i="9" s="1"/>
  <c r="A1538" i="9" s="1"/>
  <c r="A1678" i="9" s="1"/>
  <c r="A277" i="9"/>
  <c r="A417" i="9" s="1"/>
  <c r="A557" i="9" s="1"/>
  <c r="A697" i="9" s="1"/>
  <c r="A837" i="9" s="1"/>
  <c r="A977" i="9" s="1"/>
  <c r="A1117" i="9" s="1"/>
  <c r="A1257" i="9" s="1"/>
  <c r="A1397" i="9" s="1"/>
  <c r="A1537" i="9" s="1"/>
  <c r="A1677" i="9" s="1"/>
  <c r="A276" i="9"/>
  <c r="A275" i="9"/>
  <c r="A415" i="9" s="1"/>
  <c r="A555" i="9" s="1"/>
  <c r="A695" i="9" s="1"/>
  <c r="A835" i="9" s="1"/>
  <c r="A975" i="9" s="1"/>
  <c r="A1115" i="9" s="1"/>
  <c r="A1255" i="9" s="1"/>
  <c r="A1395" i="9" s="1"/>
  <c r="A1535" i="9" s="1"/>
  <c r="A1675" i="9" s="1"/>
  <c r="A274" i="9"/>
  <c r="A414" i="9" s="1"/>
  <c r="A554" i="9" s="1"/>
  <c r="A694" i="9" s="1"/>
  <c r="A834" i="9" s="1"/>
  <c r="A974" i="9" s="1"/>
  <c r="A1114" i="9" s="1"/>
  <c r="A1254" i="9" s="1"/>
  <c r="A1394" i="9" s="1"/>
  <c r="A1534" i="9" s="1"/>
  <c r="A1674" i="9" s="1"/>
  <c r="A273" i="9"/>
  <c r="A413" i="9" s="1"/>
  <c r="A553" i="9" s="1"/>
  <c r="A693" i="9" s="1"/>
  <c r="A833" i="9" s="1"/>
  <c r="A973" i="9" s="1"/>
  <c r="A1113" i="9" s="1"/>
  <c r="A1253" i="9" s="1"/>
  <c r="A1393" i="9" s="1"/>
  <c r="A1533" i="9" s="1"/>
  <c r="A1673" i="9" s="1"/>
  <c r="A272" i="9"/>
  <c r="A271" i="9"/>
  <c r="A270" i="9"/>
  <c r="A410" i="9" s="1"/>
  <c r="A550" i="9" s="1"/>
  <c r="A690" i="9" s="1"/>
  <c r="A830" i="9" s="1"/>
  <c r="A970" i="9" s="1"/>
  <c r="A1110" i="9" s="1"/>
  <c r="A1250" i="9" s="1"/>
  <c r="A1390" i="9" s="1"/>
  <c r="A1530" i="9" s="1"/>
  <c r="A1670" i="9" s="1"/>
  <c r="A269" i="9"/>
  <c r="A409" i="9" s="1"/>
  <c r="A549" i="9" s="1"/>
  <c r="A689" i="9" s="1"/>
  <c r="A829" i="9" s="1"/>
  <c r="A969" i="9" s="1"/>
  <c r="A1109" i="9" s="1"/>
  <c r="A1249" i="9" s="1"/>
  <c r="A1389" i="9" s="1"/>
  <c r="A1529" i="9" s="1"/>
  <c r="A1669" i="9" s="1"/>
  <c r="A268" i="9"/>
  <c r="A267" i="9"/>
  <c r="A407" i="9" s="1"/>
  <c r="A547" i="9" s="1"/>
  <c r="A687" i="9" s="1"/>
  <c r="A827" i="9" s="1"/>
  <c r="A967" i="9" s="1"/>
  <c r="A1107" i="9" s="1"/>
  <c r="A1247" i="9" s="1"/>
  <c r="A1387" i="9" s="1"/>
  <c r="A1527" i="9" s="1"/>
  <c r="A1667" i="9" s="1"/>
  <c r="A266" i="9"/>
  <c r="A406" i="9" s="1"/>
  <c r="A546" i="9" s="1"/>
  <c r="A686" i="9" s="1"/>
  <c r="A826" i="9" s="1"/>
  <c r="A966" i="9" s="1"/>
  <c r="A1106" i="9" s="1"/>
  <c r="A1246" i="9" s="1"/>
  <c r="A1386" i="9" s="1"/>
  <c r="A1526" i="9" s="1"/>
  <c r="A1666" i="9" s="1"/>
  <c r="A265" i="9"/>
  <c r="A405" i="9" s="1"/>
  <c r="A545" i="9" s="1"/>
  <c r="A685" i="9" s="1"/>
  <c r="A825" i="9" s="1"/>
  <c r="A965" i="9" s="1"/>
  <c r="A1105" i="9" s="1"/>
  <c r="A1245" i="9" s="1"/>
  <c r="A1385" i="9" s="1"/>
  <c r="A1525" i="9" s="1"/>
  <c r="A1665" i="9" s="1"/>
  <c r="A264" i="9"/>
  <c r="A263" i="9"/>
  <c r="A262" i="9"/>
  <c r="A402" i="9" s="1"/>
  <c r="A542" i="9" s="1"/>
  <c r="A682" i="9" s="1"/>
  <c r="A822" i="9" s="1"/>
  <c r="A962" i="9" s="1"/>
  <c r="A1102" i="9" s="1"/>
  <c r="A1242" i="9" s="1"/>
  <c r="A1382" i="9" s="1"/>
  <c r="A1522" i="9" s="1"/>
  <c r="A1662" i="9" s="1"/>
  <c r="A261" i="9"/>
  <c r="A401" i="9" s="1"/>
  <c r="A541" i="9" s="1"/>
  <c r="A681" i="9" s="1"/>
  <c r="A821" i="9" s="1"/>
  <c r="A961" i="9" s="1"/>
  <c r="A1101" i="9" s="1"/>
  <c r="A1241" i="9" s="1"/>
  <c r="A1381" i="9" s="1"/>
  <c r="A1521" i="9" s="1"/>
  <c r="A1661" i="9" s="1"/>
  <c r="A260" i="9"/>
  <c r="A259" i="9"/>
  <c r="A399" i="9" s="1"/>
  <c r="A539" i="9" s="1"/>
  <c r="A679" i="9" s="1"/>
  <c r="A819" i="9" s="1"/>
  <c r="A959" i="9" s="1"/>
  <c r="A1099" i="9" s="1"/>
  <c r="A1239" i="9" s="1"/>
  <c r="A1379" i="9" s="1"/>
  <c r="A1519" i="9" s="1"/>
  <c r="A1659" i="9" s="1"/>
  <c r="A258" i="9"/>
  <c r="A398" i="9" s="1"/>
  <c r="A538" i="9" s="1"/>
  <c r="A678" i="9" s="1"/>
  <c r="A818" i="9" s="1"/>
  <c r="A958" i="9" s="1"/>
  <c r="A1098" i="9" s="1"/>
  <c r="A1238" i="9" s="1"/>
  <c r="A1378" i="9" s="1"/>
  <c r="A1518" i="9" s="1"/>
  <c r="A1658" i="9" s="1"/>
  <c r="A257" i="9"/>
  <c r="A397" i="9" s="1"/>
  <c r="A537" i="9" s="1"/>
  <c r="A677" i="9" s="1"/>
  <c r="A817" i="9" s="1"/>
  <c r="A957" i="9" s="1"/>
  <c r="A1097" i="9" s="1"/>
  <c r="A1237" i="9" s="1"/>
  <c r="A1377" i="9" s="1"/>
  <c r="A1517" i="9" s="1"/>
  <c r="A1657" i="9" s="1"/>
  <c r="A256" i="9"/>
  <c r="A255" i="9"/>
  <c r="A254" i="9"/>
  <c r="A394" i="9" s="1"/>
  <c r="A534" i="9" s="1"/>
  <c r="A674" i="9" s="1"/>
  <c r="A814" i="9" s="1"/>
  <c r="A954" i="9" s="1"/>
  <c r="A1094" i="9" s="1"/>
  <c r="A1234" i="9" s="1"/>
  <c r="A1374" i="9" s="1"/>
  <c r="A1514" i="9" s="1"/>
  <c r="A1654" i="9" s="1"/>
  <c r="A253" i="9"/>
  <c r="A393" i="9" s="1"/>
  <c r="A533" i="9" s="1"/>
  <c r="A673" i="9" s="1"/>
  <c r="A813" i="9" s="1"/>
  <c r="A953" i="9" s="1"/>
  <c r="A1093" i="9" s="1"/>
  <c r="A1233" i="9" s="1"/>
  <c r="A1373" i="9" s="1"/>
  <c r="A1513" i="9" s="1"/>
  <c r="A1653" i="9" s="1"/>
  <c r="A252" i="9"/>
  <c r="A251" i="9"/>
  <c r="A391" i="9" s="1"/>
  <c r="A531" i="9" s="1"/>
  <c r="A671" i="9" s="1"/>
  <c r="A811" i="9" s="1"/>
  <c r="A951" i="9" s="1"/>
  <c r="A1091" i="9" s="1"/>
  <c r="A1231" i="9" s="1"/>
  <c r="A1371" i="9" s="1"/>
  <c r="A1511" i="9" s="1"/>
  <c r="A1651" i="9" s="1"/>
  <c r="A250" i="9"/>
  <c r="A390" i="9" s="1"/>
  <c r="A530" i="9" s="1"/>
  <c r="A670" i="9" s="1"/>
  <c r="A810" i="9" s="1"/>
  <c r="A950" i="9" s="1"/>
  <c r="A1090" i="9" s="1"/>
  <c r="A1230" i="9" s="1"/>
  <c r="A1370" i="9" s="1"/>
  <c r="A1510" i="9" s="1"/>
  <c r="A1650" i="9" s="1"/>
  <c r="A249" i="9"/>
  <c r="A389" i="9" s="1"/>
  <c r="A529" i="9" s="1"/>
  <c r="A669" i="9" s="1"/>
  <c r="A809" i="9" s="1"/>
  <c r="A949" i="9" s="1"/>
  <c r="A1089" i="9" s="1"/>
  <c r="A1229" i="9" s="1"/>
  <c r="A1369" i="9" s="1"/>
  <c r="A1509" i="9" s="1"/>
  <c r="A1649" i="9" s="1"/>
  <c r="A248" i="9"/>
  <c r="A247" i="9"/>
  <c r="A246" i="9"/>
  <c r="A386" i="9" s="1"/>
  <c r="A526" i="9" s="1"/>
  <c r="A666" i="9" s="1"/>
  <c r="A806" i="9" s="1"/>
  <c r="A946" i="9" s="1"/>
  <c r="A1086" i="9" s="1"/>
  <c r="A1226" i="9" s="1"/>
  <c r="A1366" i="9" s="1"/>
  <c r="A1506" i="9" s="1"/>
  <c r="A1646" i="9" s="1"/>
  <c r="A245" i="9"/>
  <c r="A385" i="9" s="1"/>
  <c r="A525" i="9" s="1"/>
  <c r="A665" i="9" s="1"/>
  <c r="A805" i="9" s="1"/>
  <c r="A945" i="9" s="1"/>
  <c r="A1085" i="9" s="1"/>
  <c r="A1225" i="9" s="1"/>
  <c r="A1365" i="9" s="1"/>
  <c r="A1505" i="9" s="1"/>
  <c r="A1645" i="9" s="1"/>
  <c r="A244" i="9"/>
  <c r="A243" i="9"/>
  <c r="A383" i="9" s="1"/>
  <c r="A523" i="9" s="1"/>
  <c r="A663" i="9" s="1"/>
  <c r="A803" i="9" s="1"/>
  <c r="A943" i="9" s="1"/>
  <c r="A1083" i="9" s="1"/>
  <c r="A1223" i="9" s="1"/>
  <c r="A1363" i="9" s="1"/>
  <c r="A1503" i="9" s="1"/>
  <c r="A1643" i="9" s="1"/>
  <c r="A242" i="9"/>
  <c r="A382" i="9" s="1"/>
  <c r="A522" i="9" s="1"/>
  <c r="A662" i="9" s="1"/>
  <c r="A802" i="9" s="1"/>
  <c r="A942" i="9" s="1"/>
  <c r="A1082" i="9" s="1"/>
  <c r="A1222" i="9" s="1"/>
  <c r="A1362" i="9" s="1"/>
  <c r="A1502" i="9" s="1"/>
  <c r="A1642" i="9" s="1"/>
  <c r="A241" i="9"/>
  <c r="A381" i="9" s="1"/>
  <c r="A521" i="9" s="1"/>
  <c r="A661" i="9" s="1"/>
  <c r="A801" i="9" s="1"/>
  <c r="A941" i="9" s="1"/>
  <c r="A1081" i="9" s="1"/>
  <c r="A1221" i="9" s="1"/>
  <c r="A1361" i="9" s="1"/>
  <c r="A1501" i="9" s="1"/>
  <c r="A1641" i="9" s="1"/>
  <c r="A240" i="9"/>
  <c r="A239" i="9"/>
  <c r="A238" i="9"/>
  <c r="A378" i="9" s="1"/>
  <c r="A518" i="9" s="1"/>
  <c r="A658" i="9" s="1"/>
  <c r="A798" i="9" s="1"/>
  <c r="A938" i="9" s="1"/>
  <c r="A1078" i="9" s="1"/>
  <c r="A1218" i="9" s="1"/>
  <c r="A1358" i="9" s="1"/>
  <c r="A1498" i="9" s="1"/>
  <c r="A1638" i="9" s="1"/>
  <c r="A237" i="9"/>
  <c r="A377" i="9" s="1"/>
  <c r="A517" i="9" s="1"/>
  <c r="A657" i="9" s="1"/>
  <c r="A797" i="9" s="1"/>
  <c r="A937" i="9" s="1"/>
  <c r="A1077" i="9" s="1"/>
  <c r="A1217" i="9" s="1"/>
  <c r="A1357" i="9" s="1"/>
  <c r="A1497" i="9" s="1"/>
  <c r="A1637" i="9" s="1"/>
  <c r="A236" i="9"/>
  <c r="A235" i="9"/>
  <c r="A375" i="9" s="1"/>
  <c r="A515" i="9" s="1"/>
  <c r="A655" i="9" s="1"/>
  <c r="A795" i="9" s="1"/>
  <c r="A935" i="9" s="1"/>
  <c r="A1075" i="9" s="1"/>
  <c r="A1215" i="9" s="1"/>
  <c r="A1355" i="9" s="1"/>
  <c r="A1495" i="9" s="1"/>
  <c r="A1635" i="9" s="1"/>
  <c r="A234" i="9"/>
  <c r="A374" i="9" s="1"/>
  <c r="A514" i="9" s="1"/>
  <c r="A654" i="9" s="1"/>
  <c r="A794" i="9" s="1"/>
  <c r="A934" i="9" s="1"/>
  <c r="A1074" i="9" s="1"/>
  <c r="A1214" i="9" s="1"/>
  <c r="A1354" i="9" s="1"/>
  <c r="A1494" i="9" s="1"/>
  <c r="A1634" i="9" s="1"/>
  <c r="A233" i="9"/>
  <c r="A373" i="9" s="1"/>
  <c r="A513" i="9" s="1"/>
  <c r="A653" i="9" s="1"/>
  <c r="A793" i="9" s="1"/>
  <c r="A933" i="9" s="1"/>
  <c r="A1073" i="9" s="1"/>
  <c r="A1213" i="9" s="1"/>
  <c r="A1353" i="9" s="1"/>
  <c r="A1493" i="9" s="1"/>
  <c r="A1633" i="9" s="1"/>
  <c r="A232" i="9"/>
  <c r="A231" i="9"/>
  <c r="A230" i="9"/>
  <c r="A370" i="9" s="1"/>
  <c r="A510" i="9" s="1"/>
  <c r="A650" i="9" s="1"/>
  <c r="A790" i="9" s="1"/>
  <c r="A930" i="9" s="1"/>
  <c r="A1070" i="9" s="1"/>
  <c r="A1210" i="9" s="1"/>
  <c r="A1350" i="9" s="1"/>
  <c r="A1490" i="9" s="1"/>
  <c r="A1630" i="9" s="1"/>
  <c r="A229" i="9"/>
  <c r="A369" i="9" s="1"/>
  <c r="A509" i="9" s="1"/>
  <c r="A649" i="9" s="1"/>
  <c r="A789" i="9" s="1"/>
  <c r="A929" i="9" s="1"/>
  <c r="A1069" i="9" s="1"/>
  <c r="A1209" i="9" s="1"/>
  <c r="A1349" i="9" s="1"/>
  <c r="A1489" i="9" s="1"/>
  <c r="A1629" i="9" s="1"/>
  <c r="A228" i="9"/>
  <c r="A227" i="9"/>
  <c r="A367" i="9" s="1"/>
  <c r="A507" i="9" s="1"/>
  <c r="A647" i="9" s="1"/>
  <c r="A787" i="9" s="1"/>
  <c r="A927" i="9" s="1"/>
  <c r="A1067" i="9" s="1"/>
  <c r="A1207" i="9" s="1"/>
  <c r="A1347" i="9" s="1"/>
  <c r="A1487" i="9" s="1"/>
  <c r="A1627" i="9" s="1"/>
  <c r="A226" i="9"/>
  <c r="A366" i="9" s="1"/>
  <c r="A506" i="9" s="1"/>
  <c r="A646" i="9" s="1"/>
  <c r="A786" i="9" s="1"/>
  <c r="A926" i="9" s="1"/>
  <c r="A1066" i="9" s="1"/>
  <c r="A1206" i="9" s="1"/>
  <c r="A1346" i="9" s="1"/>
  <c r="A1486" i="9" s="1"/>
  <c r="A1626" i="9" s="1"/>
  <c r="A225" i="9"/>
  <c r="A365" i="9" s="1"/>
  <c r="A505" i="9" s="1"/>
  <c r="A645" i="9" s="1"/>
  <c r="A785" i="9" s="1"/>
  <c r="A925" i="9" s="1"/>
  <c r="A1065" i="9" s="1"/>
  <c r="A1205" i="9" s="1"/>
  <c r="A1345" i="9" s="1"/>
  <c r="A1485" i="9" s="1"/>
  <c r="A1625" i="9" s="1"/>
  <c r="A224" i="9"/>
  <c r="A223" i="9"/>
  <c r="A222" i="9"/>
  <c r="A362" i="9" s="1"/>
  <c r="A502" i="9" s="1"/>
  <c r="A642" i="9" s="1"/>
  <c r="A782" i="9" s="1"/>
  <c r="A922" i="9" s="1"/>
  <c r="A1062" i="9" s="1"/>
  <c r="A1202" i="9" s="1"/>
  <c r="A1342" i="9" s="1"/>
  <c r="A1482" i="9" s="1"/>
  <c r="A1622" i="9" s="1"/>
  <c r="A221" i="9"/>
  <c r="A361" i="9" s="1"/>
  <c r="A501" i="9" s="1"/>
  <c r="A641" i="9" s="1"/>
  <c r="A781" i="9" s="1"/>
  <c r="A921" i="9" s="1"/>
  <c r="A1061" i="9" s="1"/>
  <c r="A1201" i="9" s="1"/>
  <c r="A1341" i="9" s="1"/>
  <c r="A1481" i="9" s="1"/>
  <c r="A1621" i="9" s="1"/>
  <c r="A220" i="9"/>
  <c r="A219" i="9"/>
  <c r="A359" i="9" s="1"/>
  <c r="A499" i="9" s="1"/>
  <c r="A639" i="9" s="1"/>
  <c r="A779" i="9" s="1"/>
  <c r="A919" i="9" s="1"/>
  <c r="A1059" i="9" s="1"/>
  <c r="A1199" i="9" s="1"/>
  <c r="A1339" i="9" s="1"/>
  <c r="A1479" i="9" s="1"/>
  <c r="A1619" i="9" s="1"/>
  <c r="A218" i="9"/>
  <c r="A358" i="9" s="1"/>
  <c r="A498" i="9" s="1"/>
  <c r="A638" i="9" s="1"/>
  <c r="A778" i="9" s="1"/>
  <c r="A918" i="9" s="1"/>
  <c r="A1058" i="9" s="1"/>
  <c r="A1198" i="9" s="1"/>
  <c r="A1338" i="9" s="1"/>
  <c r="A1478" i="9" s="1"/>
  <c r="A1618" i="9" s="1"/>
  <c r="A217" i="9"/>
  <c r="A357" i="9" s="1"/>
  <c r="A497" i="9" s="1"/>
  <c r="A637" i="9" s="1"/>
  <c r="A777" i="9" s="1"/>
  <c r="A917" i="9" s="1"/>
  <c r="A1057" i="9" s="1"/>
  <c r="A1197" i="9" s="1"/>
  <c r="A1337" i="9" s="1"/>
  <c r="A1477" i="9" s="1"/>
  <c r="A1617" i="9" s="1"/>
  <c r="A216" i="9"/>
  <c r="A215" i="9"/>
  <c r="A214" i="9"/>
  <c r="A354" i="9" s="1"/>
  <c r="A494" i="9" s="1"/>
  <c r="A634" i="9" s="1"/>
  <c r="A774" i="9" s="1"/>
  <c r="A914" i="9" s="1"/>
  <c r="A1054" i="9" s="1"/>
  <c r="A1194" i="9" s="1"/>
  <c r="A1334" i="9" s="1"/>
  <c r="A1474" i="9" s="1"/>
  <c r="A1614" i="9" s="1"/>
  <c r="A213" i="9"/>
  <c r="A353" i="9" s="1"/>
  <c r="A493" i="9" s="1"/>
  <c r="A633" i="9" s="1"/>
  <c r="A773" i="9" s="1"/>
  <c r="A913" i="9" s="1"/>
  <c r="A1053" i="9" s="1"/>
  <c r="A1193" i="9" s="1"/>
  <c r="A1333" i="9" s="1"/>
  <c r="A1473" i="9" s="1"/>
  <c r="A1613" i="9" s="1"/>
  <c r="A212" i="9"/>
  <c r="A211" i="9"/>
  <c r="A351" i="9" s="1"/>
  <c r="A491" i="9" s="1"/>
  <c r="A631" i="9" s="1"/>
  <c r="A771" i="9" s="1"/>
  <c r="A911" i="9" s="1"/>
  <c r="A1051" i="9" s="1"/>
  <c r="A1191" i="9" s="1"/>
  <c r="A1331" i="9" s="1"/>
  <c r="A1471" i="9" s="1"/>
  <c r="A1611" i="9" s="1"/>
  <c r="A210" i="9"/>
  <c r="A350" i="9" s="1"/>
  <c r="A490" i="9" s="1"/>
  <c r="A209" i="9"/>
  <c r="A349" i="9" s="1"/>
  <c r="A489" i="9" s="1"/>
  <c r="A629" i="9" s="1"/>
  <c r="A769" i="9" s="1"/>
  <c r="A909" i="9" s="1"/>
  <c r="A1049" i="9" s="1"/>
  <c r="A1189" i="9" s="1"/>
  <c r="A1329" i="9" s="1"/>
  <c r="A1469" i="9" s="1"/>
  <c r="A1609" i="9" s="1"/>
  <c r="A208" i="9"/>
  <c r="A207" i="9"/>
  <c r="A206" i="9"/>
  <c r="A346" i="9" s="1"/>
  <c r="A486" i="9" s="1"/>
  <c r="A626" i="9" s="1"/>
  <c r="A766" i="9" s="1"/>
  <c r="A906" i="9" s="1"/>
  <c r="A1046" i="9" s="1"/>
  <c r="A1186" i="9" s="1"/>
  <c r="A1326" i="9" s="1"/>
  <c r="A1466" i="9" s="1"/>
  <c r="A1606" i="9" s="1"/>
  <c r="A205" i="9"/>
  <c r="A345" i="9" s="1"/>
  <c r="A485" i="9" s="1"/>
  <c r="A625" i="9" s="1"/>
  <c r="A765" i="9" s="1"/>
  <c r="A905" i="9" s="1"/>
  <c r="A1045" i="9" s="1"/>
  <c r="A1185" i="9" s="1"/>
  <c r="A1325" i="9" s="1"/>
  <c r="A1465" i="9" s="1"/>
  <c r="A1605" i="9" s="1"/>
  <c r="A204" i="9"/>
  <c r="A203" i="9"/>
  <c r="A343" i="9" s="1"/>
  <c r="A483" i="9" s="1"/>
  <c r="A623" i="9" s="1"/>
  <c r="A763" i="9" s="1"/>
  <c r="A903" i="9" s="1"/>
  <c r="A1043" i="9" s="1"/>
  <c r="A1183" i="9" s="1"/>
  <c r="A1323" i="9" s="1"/>
  <c r="A1463" i="9" s="1"/>
  <c r="A1603" i="9" s="1"/>
  <c r="A202" i="9"/>
  <c r="A342" i="9" s="1"/>
  <c r="A482" i="9" s="1"/>
  <c r="A622" i="9" s="1"/>
  <c r="A762" i="9" s="1"/>
  <c r="A902" i="9" s="1"/>
  <c r="A1042" i="9" s="1"/>
  <c r="A1182" i="9" s="1"/>
  <c r="A1322" i="9" s="1"/>
  <c r="A1462" i="9" s="1"/>
  <c r="A1602" i="9" s="1"/>
  <c r="A201" i="9"/>
  <c r="A341" i="9" s="1"/>
  <c r="A481" i="9" s="1"/>
  <c r="A621" i="9" s="1"/>
  <c r="A761" i="9" s="1"/>
  <c r="A901" i="9" s="1"/>
  <c r="A1041" i="9" s="1"/>
  <c r="A1181" i="9" s="1"/>
  <c r="A1321" i="9" s="1"/>
  <c r="A1461" i="9" s="1"/>
  <c r="A1601" i="9" s="1"/>
  <c r="A200" i="9"/>
  <c r="A199" i="9"/>
  <c r="A198" i="9"/>
  <c r="A338" i="9" s="1"/>
  <c r="A478" i="9" s="1"/>
  <c r="A618" i="9" s="1"/>
  <c r="A758" i="9" s="1"/>
  <c r="A898" i="9" s="1"/>
  <c r="A1038" i="9" s="1"/>
  <c r="A1178" i="9" s="1"/>
  <c r="A1318" i="9" s="1"/>
  <c r="A1458" i="9" s="1"/>
  <c r="A1598" i="9" s="1"/>
  <c r="A197" i="9"/>
  <c r="A337" i="9" s="1"/>
  <c r="A477" i="9" s="1"/>
  <c r="A617" i="9" s="1"/>
  <c r="A757" i="9" s="1"/>
  <c r="A897" i="9" s="1"/>
  <c r="A1037" i="9" s="1"/>
  <c r="A1177" i="9" s="1"/>
  <c r="A1317" i="9" s="1"/>
  <c r="A1457" i="9" s="1"/>
  <c r="A1597" i="9" s="1"/>
  <c r="A196" i="9"/>
  <c r="A195" i="9"/>
  <c r="A335" i="9" s="1"/>
  <c r="A475" i="9" s="1"/>
  <c r="A615" i="9" s="1"/>
  <c r="A755" i="9" s="1"/>
  <c r="A895" i="9" s="1"/>
  <c r="A1035" i="9" s="1"/>
  <c r="A1175" i="9" s="1"/>
  <c r="A1315" i="9" s="1"/>
  <c r="A1455" i="9" s="1"/>
  <c r="A1595" i="9" s="1"/>
  <c r="A194" i="9"/>
  <c r="A334" i="9" s="1"/>
  <c r="A474" i="9" s="1"/>
  <c r="A614" i="9" s="1"/>
  <c r="A754" i="9" s="1"/>
  <c r="A894" i="9" s="1"/>
  <c r="A1034" i="9" s="1"/>
  <c r="A1174" i="9" s="1"/>
  <c r="A1314" i="9" s="1"/>
  <c r="A1454" i="9" s="1"/>
  <c r="A1594" i="9" s="1"/>
  <c r="A193" i="9"/>
  <c r="A333" i="9" s="1"/>
  <c r="A473" i="9" s="1"/>
  <c r="A613" i="9" s="1"/>
  <c r="A753" i="9" s="1"/>
  <c r="A893" i="9" s="1"/>
  <c r="A1033" i="9" s="1"/>
  <c r="A1173" i="9" s="1"/>
  <c r="A1313" i="9" s="1"/>
  <c r="A1453" i="9" s="1"/>
  <c r="A1593" i="9" s="1"/>
  <c r="A192" i="9"/>
  <c r="A191" i="9"/>
  <c r="A190" i="9"/>
  <c r="A330" i="9" s="1"/>
  <c r="A470" i="9" s="1"/>
  <c r="A610" i="9" s="1"/>
  <c r="A750" i="9" s="1"/>
  <c r="A890" i="9" s="1"/>
  <c r="A1030" i="9" s="1"/>
  <c r="A1170" i="9" s="1"/>
  <c r="A1310" i="9" s="1"/>
  <c r="A1450" i="9" s="1"/>
  <c r="A1590" i="9" s="1"/>
  <c r="A189" i="9"/>
  <c r="A329" i="9" s="1"/>
  <c r="A469" i="9" s="1"/>
  <c r="A609" i="9" s="1"/>
  <c r="A749" i="9" s="1"/>
  <c r="A889" i="9" s="1"/>
  <c r="A1029" i="9" s="1"/>
  <c r="A1169" i="9" s="1"/>
  <c r="A1309" i="9" s="1"/>
  <c r="A1449" i="9" s="1"/>
  <c r="A1589" i="9" s="1"/>
  <c r="A188" i="9"/>
  <c r="A187" i="9"/>
  <c r="A327" i="9" s="1"/>
  <c r="A467" i="9" s="1"/>
  <c r="A607" i="9" s="1"/>
  <c r="A747" i="9" s="1"/>
  <c r="A887" i="9" s="1"/>
  <c r="A1027" i="9" s="1"/>
  <c r="A1167" i="9" s="1"/>
  <c r="A1307" i="9" s="1"/>
  <c r="A1447" i="9" s="1"/>
  <c r="A1587" i="9" s="1"/>
  <c r="A186" i="9"/>
  <c r="A326" i="9" s="1"/>
  <c r="A466" i="9" s="1"/>
  <c r="A606" i="9" s="1"/>
  <c r="A746" i="9" s="1"/>
  <c r="A886" i="9" s="1"/>
  <c r="A1026" i="9" s="1"/>
  <c r="A1166" i="9" s="1"/>
  <c r="A1306" i="9" s="1"/>
  <c r="A1446" i="9" s="1"/>
  <c r="A1586" i="9" s="1"/>
  <c r="A185" i="9"/>
  <c r="A325" i="9" s="1"/>
  <c r="A465" i="9" s="1"/>
  <c r="A605" i="9" s="1"/>
  <c r="A745" i="9" s="1"/>
  <c r="A885" i="9" s="1"/>
  <c r="A1025" i="9" s="1"/>
  <c r="A1165" i="9" s="1"/>
  <c r="A1305" i="9" s="1"/>
  <c r="A1445" i="9" s="1"/>
  <c r="A1585" i="9" s="1"/>
  <c r="A184" i="9"/>
  <c r="A183" i="9"/>
  <c r="A182" i="9"/>
  <c r="A322" i="9" s="1"/>
  <c r="A462" i="9" s="1"/>
  <c r="A602" i="9" s="1"/>
  <c r="A742" i="9" s="1"/>
  <c r="A882" i="9" s="1"/>
  <c r="A1022" i="9" s="1"/>
  <c r="A1162" i="9" s="1"/>
  <c r="A1302" i="9" s="1"/>
  <c r="A1442" i="9" s="1"/>
  <c r="A1582" i="9" s="1"/>
  <c r="A181" i="9"/>
  <c r="A321" i="9" s="1"/>
  <c r="A461" i="9" s="1"/>
  <c r="A601" i="9" s="1"/>
  <c r="A741" i="9" s="1"/>
  <c r="A881" i="9" s="1"/>
  <c r="A1021" i="9" s="1"/>
  <c r="A1161" i="9" s="1"/>
  <c r="A1301" i="9" s="1"/>
  <c r="A1441" i="9" s="1"/>
  <c r="A1581" i="9" s="1"/>
  <c r="A180" i="9"/>
  <c r="A179" i="9"/>
  <c r="A319" i="9" s="1"/>
  <c r="A459" i="9" s="1"/>
  <c r="A599" i="9" s="1"/>
  <c r="A739" i="9" s="1"/>
  <c r="A879" i="9" s="1"/>
  <c r="A1019" i="9" s="1"/>
  <c r="A1159" i="9" s="1"/>
  <c r="A1299" i="9" s="1"/>
  <c r="A1439" i="9" s="1"/>
  <c r="A1579" i="9" s="1"/>
  <c r="A178" i="9"/>
  <c r="A318" i="9" s="1"/>
  <c r="A458" i="9" s="1"/>
  <c r="A177" i="9"/>
  <c r="A317" i="9" s="1"/>
  <c r="A457" i="9" s="1"/>
  <c r="A597" i="9" s="1"/>
  <c r="A737" i="9" s="1"/>
  <c r="A877" i="9" s="1"/>
  <c r="A1017" i="9" s="1"/>
  <c r="A1157" i="9" s="1"/>
  <c r="A1297" i="9" s="1"/>
  <c r="A1437" i="9" s="1"/>
  <c r="A1577" i="9" s="1"/>
  <c r="A176" i="9"/>
  <c r="A175" i="9"/>
  <c r="A174" i="9"/>
  <c r="A314" i="9" s="1"/>
  <c r="A454" i="9" s="1"/>
  <c r="A594" i="9" s="1"/>
  <c r="A734" i="9" s="1"/>
  <c r="A874" i="9" s="1"/>
  <c r="A1014" i="9" s="1"/>
  <c r="A1154" i="9" s="1"/>
  <c r="A1294" i="9" s="1"/>
  <c r="A1434" i="9" s="1"/>
  <c r="A1574" i="9" s="1"/>
  <c r="A173" i="9"/>
  <c r="A313" i="9" s="1"/>
  <c r="A453" i="9" s="1"/>
  <c r="A593" i="9" s="1"/>
  <c r="A733" i="9" s="1"/>
  <c r="A873" i="9" s="1"/>
  <c r="A1013" i="9" s="1"/>
  <c r="A1153" i="9" s="1"/>
  <c r="A1293" i="9" s="1"/>
  <c r="A1433" i="9" s="1"/>
  <c r="A1573" i="9" s="1"/>
  <c r="A172" i="9"/>
  <c r="A171" i="9"/>
  <c r="A311" i="9" s="1"/>
  <c r="A451" i="9" s="1"/>
  <c r="A591" i="9" s="1"/>
  <c r="A731" i="9" s="1"/>
  <c r="A871" i="9" s="1"/>
  <c r="A1011" i="9" s="1"/>
  <c r="A1151" i="9" s="1"/>
  <c r="A1291" i="9" s="1"/>
  <c r="A1431" i="9" s="1"/>
  <c r="A1571" i="9" s="1"/>
  <c r="A170" i="9"/>
  <c r="A310" i="9" s="1"/>
  <c r="A450" i="9" s="1"/>
  <c r="A590" i="9" s="1"/>
  <c r="A730" i="9" s="1"/>
  <c r="A870" i="9" s="1"/>
  <c r="A1010" i="9" s="1"/>
  <c r="A1150" i="9" s="1"/>
  <c r="A1290" i="9" s="1"/>
  <c r="A1430" i="9" s="1"/>
  <c r="A1570" i="9" s="1"/>
  <c r="A169" i="9"/>
  <c r="A309" i="9" s="1"/>
  <c r="A449" i="9" s="1"/>
  <c r="A589" i="9" s="1"/>
  <c r="A729" i="9" s="1"/>
  <c r="A869" i="9" s="1"/>
  <c r="A1009" i="9" s="1"/>
  <c r="A1149" i="9" s="1"/>
  <c r="A1289" i="9" s="1"/>
  <c r="A1429" i="9" s="1"/>
  <c r="A1569" i="9" s="1"/>
  <c r="A168" i="9"/>
  <c r="A167" i="9"/>
  <c r="A166" i="9"/>
  <c r="A306" i="9" s="1"/>
  <c r="A446" i="9" s="1"/>
  <c r="A586" i="9" s="1"/>
  <c r="A726" i="9" s="1"/>
  <c r="A866" i="9" s="1"/>
  <c r="A1006" i="9" s="1"/>
  <c r="A1146" i="9" s="1"/>
  <c r="A1286" i="9" s="1"/>
  <c r="A1426" i="9" s="1"/>
  <c r="A1566" i="9" s="1"/>
  <c r="A165" i="9"/>
  <c r="A305" i="9" s="1"/>
  <c r="A445" i="9" s="1"/>
  <c r="A585" i="9" s="1"/>
  <c r="A725" i="9" s="1"/>
  <c r="A865" i="9" s="1"/>
  <c r="A1005" i="9" s="1"/>
  <c r="A1145" i="9" s="1"/>
  <c r="A1285" i="9" s="1"/>
  <c r="A1425" i="9" s="1"/>
  <c r="A1565" i="9" s="1"/>
  <c r="A164" i="9"/>
  <c r="A163" i="9"/>
  <c r="A303" i="9" s="1"/>
  <c r="A443" i="9" s="1"/>
  <c r="A583" i="9" s="1"/>
  <c r="A723" i="9" s="1"/>
  <c r="A863" i="9" s="1"/>
  <c r="A1003" i="9" s="1"/>
  <c r="A1143" i="9" s="1"/>
  <c r="A1283" i="9" s="1"/>
  <c r="A1423" i="9" s="1"/>
  <c r="A1563" i="9" s="1"/>
  <c r="A162" i="9"/>
  <c r="A302" i="9" s="1"/>
  <c r="A442" i="9" s="1"/>
  <c r="A582" i="9" s="1"/>
  <c r="A722" i="9" s="1"/>
  <c r="A862" i="9" s="1"/>
  <c r="A1002" i="9" s="1"/>
  <c r="A1142" i="9" s="1"/>
  <c r="A1282" i="9" s="1"/>
  <c r="A1422" i="9" s="1"/>
  <c r="A1562" i="9" s="1"/>
  <c r="A161" i="9"/>
  <c r="A301" i="9" s="1"/>
  <c r="A441" i="9" s="1"/>
  <c r="A581" i="9" s="1"/>
  <c r="A721" i="9" s="1"/>
  <c r="A861" i="9" s="1"/>
  <c r="A1001" i="9" s="1"/>
  <c r="A1141" i="9" s="1"/>
  <c r="A1281" i="9" s="1"/>
  <c r="A1421" i="9" s="1"/>
  <c r="A1561" i="9" s="1"/>
  <c r="A160" i="9"/>
  <c r="A159" i="9"/>
  <c r="A158" i="9"/>
  <c r="A298" i="9" s="1"/>
  <c r="A438" i="9" s="1"/>
  <c r="A578" i="9" s="1"/>
  <c r="A718" i="9" s="1"/>
  <c r="A858" i="9" s="1"/>
  <c r="A998" i="9" s="1"/>
  <c r="A1138" i="9" s="1"/>
  <c r="A1278" i="9" s="1"/>
  <c r="A1418" i="9" s="1"/>
  <c r="A1558" i="9" s="1"/>
  <c r="A157" i="9"/>
  <c r="A297" i="9" s="1"/>
  <c r="A437" i="9" s="1"/>
  <c r="A577" i="9" s="1"/>
  <c r="A717" i="9" s="1"/>
  <c r="A857" i="9" s="1"/>
  <c r="A997" i="9" s="1"/>
  <c r="A1137" i="9" s="1"/>
  <c r="A1277" i="9" s="1"/>
  <c r="A1417" i="9" s="1"/>
  <c r="A1557" i="9" s="1"/>
  <c r="A156" i="9"/>
  <c r="A155" i="9"/>
  <c r="A295" i="9" s="1"/>
  <c r="A435" i="9" s="1"/>
  <c r="A575" i="9" s="1"/>
  <c r="A715" i="9" s="1"/>
  <c r="A855" i="9" s="1"/>
  <c r="A995" i="9" s="1"/>
  <c r="A1135" i="9" s="1"/>
  <c r="A1275" i="9" s="1"/>
  <c r="A1415" i="9" s="1"/>
  <c r="A1555" i="9" s="1"/>
  <c r="A154" i="9"/>
  <c r="A294" i="9" s="1"/>
  <c r="A434" i="9" s="1"/>
  <c r="A574" i="9" s="1"/>
  <c r="A714" i="9" s="1"/>
  <c r="A854" i="9" s="1"/>
  <c r="A994" i="9" s="1"/>
  <c r="A1134" i="9" s="1"/>
  <c r="A1274" i="9" s="1"/>
  <c r="A1414" i="9" s="1"/>
  <c r="A1554" i="9" s="1"/>
  <c r="A153" i="9"/>
  <c r="A293" i="9" s="1"/>
  <c r="A433" i="9" s="1"/>
  <c r="A573" i="9" s="1"/>
  <c r="A713" i="9" s="1"/>
  <c r="A853" i="9" s="1"/>
  <c r="A993" i="9" s="1"/>
  <c r="A1133" i="9" s="1"/>
  <c r="A1273" i="9" s="1"/>
  <c r="A1413" i="9" s="1"/>
  <c r="A1553" i="9" s="1"/>
  <c r="A152" i="9"/>
  <c r="A151" i="9"/>
  <c r="A150" i="9"/>
  <c r="A290" i="9" s="1"/>
  <c r="A430" i="9" s="1"/>
  <c r="A570" i="9" s="1"/>
  <c r="A710" i="9" s="1"/>
  <c r="A850" i="9" s="1"/>
  <c r="A990" i="9" s="1"/>
  <c r="A1130" i="9" s="1"/>
  <c r="A1270" i="9" s="1"/>
  <c r="A1410" i="9" s="1"/>
  <c r="A1550" i="9" s="1"/>
  <c r="A149" i="9"/>
  <c r="A289" i="9" s="1"/>
  <c r="A429" i="9" s="1"/>
  <c r="A569" i="9" s="1"/>
  <c r="A709" i="9" s="1"/>
  <c r="A849" i="9" s="1"/>
  <c r="A989" i="9" s="1"/>
  <c r="A1129" i="9" s="1"/>
  <c r="A1269" i="9" s="1"/>
  <c r="A1409" i="9" s="1"/>
  <c r="A1549" i="9" s="1"/>
  <c r="A148" i="9"/>
  <c r="A147" i="9"/>
  <c r="A287" i="9" s="1"/>
  <c r="A427" i="9" s="1"/>
  <c r="A567" i="9" s="1"/>
  <c r="A707" i="9" s="1"/>
  <c r="A847" i="9" s="1"/>
  <c r="A987" i="9" s="1"/>
  <c r="A1127" i="9" s="1"/>
  <c r="A1267" i="9" s="1"/>
  <c r="A1407" i="9" s="1"/>
  <c r="A1547" i="9" s="1"/>
  <c r="A146" i="9"/>
  <c r="A286" i="9" s="1"/>
  <c r="A426" i="9" s="1"/>
  <c r="A566" i="9" s="1"/>
  <c r="A706" i="9" s="1"/>
  <c r="A846" i="9" s="1"/>
  <c r="A986" i="9" s="1"/>
  <c r="A1126" i="9" s="1"/>
  <c r="A1266" i="9" s="1"/>
  <c r="A1406" i="9" s="1"/>
  <c r="A1546" i="9" s="1"/>
  <c r="A145" i="9"/>
  <c r="A285" i="9" s="1"/>
  <c r="A425" i="9" s="1"/>
  <c r="A565" i="9" s="1"/>
  <c r="A705" i="9" s="1"/>
  <c r="A845" i="9" s="1"/>
  <c r="A985" i="9" s="1"/>
  <c r="A1125" i="9" s="1"/>
  <c r="A1265" i="9" s="1"/>
  <c r="A1405" i="9" s="1"/>
  <c r="A1545" i="9" s="1"/>
  <c r="A144" i="9"/>
  <c r="A143" i="9"/>
  <c r="A142" i="9"/>
  <c r="A282" i="9" s="1"/>
  <c r="A422" i="9" s="1"/>
  <c r="A562" i="9" s="1"/>
  <c r="A702" i="9" s="1"/>
  <c r="A842" i="9" s="1"/>
  <c r="A982" i="9" s="1"/>
  <c r="A1122" i="9" s="1"/>
  <c r="A1262" i="9" s="1"/>
  <c r="A1402" i="9" s="1"/>
  <c r="A1542" i="9" s="1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L25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D238" i="3"/>
  <c r="E237" i="3"/>
  <c r="D237" i="3"/>
  <c r="E236" i="3"/>
  <c r="D236" i="3"/>
  <c r="E235" i="3"/>
  <c r="D235" i="3"/>
  <c r="E234" i="3"/>
  <c r="D234" i="3"/>
  <c r="E233" i="3"/>
  <c r="D233" i="3"/>
  <c r="E232" i="3"/>
  <c r="D232" i="3"/>
  <c r="E231" i="3"/>
  <c r="D231" i="3"/>
  <c r="E230" i="3"/>
  <c r="D230" i="3"/>
  <c r="E229" i="3"/>
  <c r="D229" i="3"/>
  <c r="E228" i="3"/>
  <c r="D228" i="3"/>
  <c r="E227" i="3"/>
  <c r="D227" i="3"/>
  <c r="E226" i="3"/>
  <c r="D226" i="3"/>
  <c r="E225" i="3"/>
  <c r="D225" i="3"/>
  <c r="E224" i="3"/>
  <c r="D224" i="3"/>
  <c r="E223" i="3"/>
  <c r="D223" i="3"/>
  <c r="E222" i="3"/>
  <c r="D222" i="3"/>
  <c r="E221" i="3"/>
  <c r="D221" i="3"/>
  <c r="E220" i="3"/>
  <c r="D220" i="3"/>
  <c r="E219" i="3"/>
  <c r="D219" i="3"/>
  <c r="E218" i="3"/>
  <c r="D218" i="3"/>
  <c r="E217" i="3"/>
  <c r="D217" i="3"/>
  <c r="E216" i="3"/>
  <c r="D216" i="3"/>
  <c r="E215" i="3"/>
  <c r="D215" i="3"/>
  <c r="E214" i="3"/>
  <c r="D214" i="3"/>
  <c r="E213" i="3"/>
  <c r="D213" i="3"/>
  <c r="E212" i="3"/>
  <c r="D212" i="3"/>
  <c r="E211" i="3"/>
  <c r="D211" i="3"/>
  <c r="E210" i="3"/>
  <c r="D210" i="3"/>
  <c r="E209" i="3"/>
  <c r="D209" i="3"/>
  <c r="E208" i="3"/>
  <c r="D208" i="3"/>
  <c r="E207" i="3"/>
  <c r="D207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D200" i="3"/>
  <c r="E199" i="3"/>
  <c r="D199" i="3"/>
  <c r="E198" i="3"/>
  <c r="D198" i="3"/>
  <c r="E197" i="3"/>
  <c r="D197" i="3"/>
  <c r="E196" i="3"/>
  <c r="D196" i="3"/>
  <c r="E195" i="3"/>
  <c r="D195" i="3"/>
  <c r="E194" i="3"/>
  <c r="D194" i="3"/>
  <c r="E193" i="3"/>
  <c r="D193" i="3"/>
  <c r="E192" i="3"/>
  <c r="D192" i="3"/>
  <c r="E191" i="3"/>
  <c r="D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A281" i="5"/>
  <c r="A421" i="5" s="1"/>
  <c r="A561" i="5" s="1"/>
  <c r="A701" i="5" s="1"/>
  <c r="A841" i="5" s="1"/>
  <c r="A981" i="5" s="1"/>
  <c r="A1121" i="5" s="1"/>
  <c r="A1261" i="5" s="1"/>
  <c r="A1401" i="5" s="1"/>
  <c r="A1541" i="5" s="1"/>
  <c r="A1681" i="5" s="1"/>
  <c r="A280" i="5"/>
  <c r="A420" i="5" s="1"/>
  <c r="A560" i="5" s="1"/>
  <c r="A700" i="5" s="1"/>
  <c r="A840" i="5" s="1"/>
  <c r="A980" i="5" s="1"/>
  <c r="A1120" i="5" s="1"/>
  <c r="A1260" i="5" s="1"/>
  <c r="A1400" i="5" s="1"/>
  <c r="A1540" i="5" s="1"/>
  <c r="A1680" i="5" s="1"/>
  <c r="A279" i="5"/>
  <c r="A419" i="5" s="1"/>
  <c r="A559" i="5" s="1"/>
  <c r="A699" i="5" s="1"/>
  <c r="A839" i="5" s="1"/>
  <c r="A979" i="5" s="1"/>
  <c r="A1119" i="5" s="1"/>
  <c r="A1259" i="5" s="1"/>
  <c r="A1399" i="5" s="1"/>
  <c r="A1539" i="5" s="1"/>
  <c r="A1679" i="5" s="1"/>
  <c r="A278" i="5"/>
  <c r="A418" i="5" s="1"/>
  <c r="A558" i="5" s="1"/>
  <c r="A698" i="5" s="1"/>
  <c r="A838" i="5" s="1"/>
  <c r="A978" i="5" s="1"/>
  <c r="A1118" i="5" s="1"/>
  <c r="A1258" i="5" s="1"/>
  <c r="A1398" i="5" s="1"/>
  <c r="A1538" i="5" s="1"/>
  <c r="A1678" i="5" s="1"/>
  <c r="A277" i="5"/>
  <c r="A417" i="5" s="1"/>
  <c r="A557" i="5" s="1"/>
  <c r="A697" i="5" s="1"/>
  <c r="A837" i="5" s="1"/>
  <c r="A977" i="5" s="1"/>
  <c r="A1117" i="5" s="1"/>
  <c r="A1257" i="5" s="1"/>
  <c r="A1397" i="5" s="1"/>
  <c r="A1537" i="5" s="1"/>
  <c r="A1677" i="5" s="1"/>
  <c r="A276" i="5"/>
  <c r="A416" i="5" s="1"/>
  <c r="A556" i="5" s="1"/>
  <c r="A696" i="5" s="1"/>
  <c r="A836" i="5" s="1"/>
  <c r="A976" i="5" s="1"/>
  <c r="A1116" i="5" s="1"/>
  <c r="A1256" i="5" s="1"/>
  <c r="A1396" i="5" s="1"/>
  <c r="A1536" i="5" s="1"/>
  <c r="A1676" i="5" s="1"/>
  <c r="A275" i="5"/>
  <c r="A415" i="5" s="1"/>
  <c r="A555" i="5" s="1"/>
  <c r="A695" i="5" s="1"/>
  <c r="A835" i="5" s="1"/>
  <c r="A975" i="5" s="1"/>
  <c r="A1115" i="5" s="1"/>
  <c r="A1255" i="5" s="1"/>
  <c r="A1395" i="5" s="1"/>
  <c r="A1535" i="5" s="1"/>
  <c r="A1675" i="5" s="1"/>
  <c r="A274" i="5"/>
  <c r="A414" i="5" s="1"/>
  <c r="A554" i="5" s="1"/>
  <c r="A694" i="5" s="1"/>
  <c r="A834" i="5" s="1"/>
  <c r="A974" i="5" s="1"/>
  <c r="A1114" i="5" s="1"/>
  <c r="A1254" i="5" s="1"/>
  <c r="A1394" i="5" s="1"/>
  <c r="A1534" i="5" s="1"/>
  <c r="A1674" i="5" s="1"/>
  <c r="A273" i="5"/>
  <c r="A413" i="5" s="1"/>
  <c r="A553" i="5" s="1"/>
  <c r="A693" i="5" s="1"/>
  <c r="A833" i="5" s="1"/>
  <c r="A973" i="5" s="1"/>
  <c r="A1113" i="5" s="1"/>
  <c r="A1253" i="5" s="1"/>
  <c r="A1393" i="5" s="1"/>
  <c r="A1533" i="5" s="1"/>
  <c r="A1673" i="5" s="1"/>
  <c r="A272" i="5"/>
  <c r="A412" i="5" s="1"/>
  <c r="A552" i="5" s="1"/>
  <c r="A692" i="5" s="1"/>
  <c r="A832" i="5" s="1"/>
  <c r="A972" i="5" s="1"/>
  <c r="A1112" i="5" s="1"/>
  <c r="A1252" i="5" s="1"/>
  <c r="A1392" i="5" s="1"/>
  <c r="A1532" i="5" s="1"/>
  <c r="A1672" i="5" s="1"/>
  <c r="A271" i="5"/>
  <c r="A411" i="5" s="1"/>
  <c r="A551" i="5" s="1"/>
  <c r="A691" i="5" s="1"/>
  <c r="A831" i="5" s="1"/>
  <c r="A971" i="5" s="1"/>
  <c r="A1111" i="5" s="1"/>
  <c r="A1251" i="5" s="1"/>
  <c r="A1391" i="5" s="1"/>
  <c r="A1531" i="5" s="1"/>
  <c r="A1671" i="5" s="1"/>
  <c r="A270" i="5"/>
  <c r="A410" i="5" s="1"/>
  <c r="A550" i="5" s="1"/>
  <c r="A690" i="5" s="1"/>
  <c r="A830" i="5" s="1"/>
  <c r="A970" i="5" s="1"/>
  <c r="A1110" i="5" s="1"/>
  <c r="A1250" i="5" s="1"/>
  <c r="A1390" i="5" s="1"/>
  <c r="A1530" i="5" s="1"/>
  <c r="A1670" i="5" s="1"/>
  <c r="A269" i="5"/>
  <c r="A409" i="5" s="1"/>
  <c r="A549" i="5" s="1"/>
  <c r="A689" i="5" s="1"/>
  <c r="A829" i="5" s="1"/>
  <c r="A969" i="5" s="1"/>
  <c r="A1109" i="5" s="1"/>
  <c r="A1249" i="5" s="1"/>
  <c r="A1389" i="5" s="1"/>
  <c r="A1529" i="5" s="1"/>
  <c r="A1669" i="5" s="1"/>
  <c r="A268" i="5"/>
  <c r="A408" i="5" s="1"/>
  <c r="A548" i="5" s="1"/>
  <c r="A688" i="5" s="1"/>
  <c r="A828" i="5" s="1"/>
  <c r="A968" i="5" s="1"/>
  <c r="A1108" i="5" s="1"/>
  <c r="A1248" i="5" s="1"/>
  <c r="A1388" i="5" s="1"/>
  <c r="A1528" i="5" s="1"/>
  <c r="A1668" i="5" s="1"/>
  <c r="A267" i="5"/>
  <c r="A407" i="5" s="1"/>
  <c r="A547" i="5" s="1"/>
  <c r="A687" i="5" s="1"/>
  <c r="A827" i="5" s="1"/>
  <c r="A967" i="5" s="1"/>
  <c r="A1107" i="5" s="1"/>
  <c r="A1247" i="5" s="1"/>
  <c r="A1387" i="5" s="1"/>
  <c r="A1527" i="5" s="1"/>
  <c r="A1667" i="5" s="1"/>
  <c r="A266" i="5"/>
  <c r="A406" i="5" s="1"/>
  <c r="A546" i="5" s="1"/>
  <c r="A686" i="5" s="1"/>
  <c r="A826" i="5" s="1"/>
  <c r="A966" i="5" s="1"/>
  <c r="A1106" i="5" s="1"/>
  <c r="A1246" i="5" s="1"/>
  <c r="A1386" i="5" s="1"/>
  <c r="A1526" i="5" s="1"/>
  <c r="A1666" i="5" s="1"/>
  <c r="A265" i="5"/>
  <c r="A405" i="5" s="1"/>
  <c r="A545" i="5" s="1"/>
  <c r="A685" i="5" s="1"/>
  <c r="A825" i="5" s="1"/>
  <c r="A965" i="5" s="1"/>
  <c r="A1105" i="5" s="1"/>
  <c r="A1245" i="5" s="1"/>
  <c r="A1385" i="5" s="1"/>
  <c r="A1525" i="5" s="1"/>
  <c r="A1665" i="5" s="1"/>
  <c r="A264" i="5"/>
  <c r="A404" i="5" s="1"/>
  <c r="A544" i="5" s="1"/>
  <c r="A684" i="5" s="1"/>
  <c r="A824" i="5" s="1"/>
  <c r="A964" i="5" s="1"/>
  <c r="A1104" i="5" s="1"/>
  <c r="A1244" i="5" s="1"/>
  <c r="A1384" i="5" s="1"/>
  <c r="A1524" i="5" s="1"/>
  <c r="A1664" i="5" s="1"/>
  <c r="A263" i="5"/>
  <c r="A403" i="5" s="1"/>
  <c r="A543" i="5" s="1"/>
  <c r="A683" i="5" s="1"/>
  <c r="A823" i="5" s="1"/>
  <c r="A963" i="5" s="1"/>
  <c r="A1103" i="5" s="1"/>
  <c r="A1243" i="5" s="1"/>
  <c r="A1383" i="5" s="1"/>
  <c r="A1523" i="5" s="1"/>
  <c r="A1663" i="5" s="1"/>
  <c r="A262" i="5"/>
  <c r="A402" i="5" s="1"/>
  <c r="A542" i="5" s="1"/>
  <c r="A682" i="5" s="1"/>
  <c r="A822" i="5" s="1"/>
  <c r="A962" i="5" s="1"/>
  <c r="A1102" i="5" s="1"/>
  <c r="A1242" i="5" s="1"/>
  <c r="A1382" i="5" s="1"/>
  <c r="A1522" i="5" s="1"/>
  <c r="A1662" i="5" s="1"/>
  <c r="A261" i="5"/>
  <c r="A401" i="5" s="1"/>
  <c r="A541" i="5" s="1"/>
  <c r="A681" i="5" s="1"/>
  <c r="A821" i="5" s="1"/>
  <c r="A961" i="5" s="1"/>
  <c r="A1101" i="5" s="1"/>
  <c r="A1241" i="5" s="1"/>
  <c r="A1381" i="5" s="1"/>
  <c r="A1521" i="5" s="1"/>
  <c r="A1661" i="5" s="1"/>
  <c r="A260" i="5"/>
  <c r="A400" i="5" s="1"/>
  <c r="A540" i="5" s="1"/>
  <c r="A680" i="5" s="1"/>
  <c r="A820" i="5" s="1"/>
  <c r="A960" i="5" s="1"/>
  <c r="A1100" i="5" s="1"/>
  <c r="A1240" i="5" s="1"/>
  <c r="A1380" i="5" s="1"/>
  <c r="A1520" i="5" s="1"/>
  <c r="A1660" i="5" s="1"/>
  <c r="A259" i="5"/>
  <c r="A399" i="5" s="1"/>
  <c r="A539" i="5" s="1"/>
  <c r="A679" i="5" s="1"/>
  <c r="A819" i="5" s="1"/>
  <c r="A959" i="5" s="1"/>
  <c r="A1099" i="5" s="1"/>
  <c r="A1239" i="5" s="1"/>
  <c r="A1379" i="5" s="1"/>
  <c r="A1519" i="5" s="1"/>
  <c r="A1659" i="5" s="1"/>
  <c r="A258" i="5"/>
  <c r="A398" i="5" s="1"/>
  <c r="A538" i="5" s="1"/>
  <c r="A678" i="5" s="1"/>
  <c r="A818" i="5" s="1"/>
  <c r="A958" i="5" s="1"/>
  <c r="A1098" i="5" s="1"/>
  <c r="A1238" i="5" s="1"/>
  <c r="A1378" i="5" s="1"/>
  <c r="A1518" i="5" s="1"/>
  <c r="A1658" i="5" s="1"/>
  <c r="A257" i="5"/>
  <c r="A397" i="5" s="1"/>
  <c r="A537" i="5" s="1"/>
  <c r="A677" i="5" s="1"/>
  <c r="A817" i="5" s="1"/>
  <c r="A957" i="5" s="1"/>
  <c r="A1097" i="5" s="1"/>
  <c r="A1237" i="5" s="1"/>
  <c r="A1377" i="5" s="1"/>
  <c r="A1517" i="5" s="1"/>
  <c r="A1657" i="5" s="1"/>
  <c r="A256" i="5"/>
  <c r="A396" i="5" s="1"/>
  <c r="A536" i="5" s="1"/>
  <c r="A676" i="5" s="1"/>
  <c r="A816" i="5" s="1"/>
  <c r="A956" i="5" s="1"/>
  <c r="A1096" i="5" s="1"/>
  <c r="A1236" i="5" s="1"/>
  <c r="A1376" i="5" s="1"/>
  <c r="A1516" i="5" s="1"/>
  <c r="A1656" i="5" s="1"/>
  <c r="A255" i="5"/>
  <c r="A395" i="5" s="1"/>
  <c r="A535" i="5" s="1"/>
  <c r="A675" i="5" s="1"/>
  <c r="A815" i="5" s="1"/>
  <c r="A955" i="5" s="1"/>
  <c r="A1095" i="5" s="1"/>
  <c r="A1235" i="5" s="1"/>
  <c r="A1375" i="5" s="1"/>
  <c r="A1515" i="5" s="1"/>
  <c r="A1655" i="5" s="1"/>
  <c r="A254" i="5"/>
  <c r="A394" i="5" s="1"/>
  <c r="A534" i="5" s="1"/>
  <c r="A674" i="5" s="1"/>
  <c r="A814" i="5" s="1"/>
  <c r="A954" i="5" s="1"/>
  <c r="A1094" i="5" s="1"/>
  <c r="A1234" i="5" s="1"/>
  <c r="A1374" i="5" s="1"/>
  <c r="A1514" i="5" s="1"/>
  <c r="A1654" i="5" s="1"/>
  <c r="A253" i="5"/>
  <c r="A393" i="5" s="1"/>
  <c r="A533" i="5" s="1"/>
  <c r="A673" i="5" s="1"/>
  <c r="A813" i="5" s="1"/>
  <c r="A953" i="5" s="1"/>
  <c r="A1093" i="5" s="1"/>
  <c r="A1233" i="5" s="1"/>
  <c r="A1373" i="5" s="1"/>
  <c r="A1513" i="5" s="1"/>
  <c r="A1653" i="5" s="1"/>
  <c r="A252" i="5"/>
  <c r="A392" i="5" s="1"/>
  <c r="A532" i="5" s="1"/>
  <c r="A672" i="5" s="1"/>
  <c r="A812" i="5" s="1"/>
  <c r="A952" i="5" s="1"/>
  <c r="A1092" i="5" s="1"/>
  <c r="A1232" i="5" s="1"/>
  <c r="A1372" i="5" s="1"/>
  <c r="A1512" i="5" s="1"/>
  <c r="A1652" i="5" s="1"/>
  <c r="A251" i="5"/>
  <c r="A391" i="5" s="1"/>
  <c r="A531" i="5" s="1"/>
  <c r="A671" i="5" s="1"/>
  <c r="A811" i="5" s="1"/>
  <c r="A951" i="5" s="1"/>
  <c r="A1091" i="5" s="1"/>
  <c r="A1231" i="5" s="1"/>
  <c r="A1371" i="5" s="1"/>
  <c r="A1511" i="5" s="1"/>
  <c r="A1651" i="5" s="1"/>
  <c r="A250" i="5"/>
  <c r="A390" i="5" s="1"/>
  <c r="A530" i="5" s="1"/>
  <c r="A670" i="5" s="1"/>
  <c r="A810" i="5" s="1"/>
  <c r="A950" i="5" s="1"/>
  <c r="A1090" i="5" s="1"/>
  <c r="A1230" i="5" s="1"/>
  <c r="A1370" i="5" s="1"/>
  <c r="A1510" i="5" s="1"/>
  <c r="A1650" i="5" s="1"/>
  <c r="A249" i="5"/>
  <c r="A389" i="5" s="1"/>
  <c r="A529" i="5" s="1"/>
  <c r="A669" i="5" s="1"/>
  <c r="A809" i="5" s="1"/>
  <c r="A949" i="5" s="1"/>
  <c r="A1089" i="5" s="1"/>
  <c r="A1229" i="5" s="1"/>
  <c r="A1369" i="5" s="1"/>
  <c r="A1509" i="5" s="1"/>
  <c r="A1649" i="5" s="1"/>
  <c r="A248" i="5"/>
  <c r="A388" i="5" s="1"/>
  <c r="A528" i="5" s="1"/>
  <c r="A668" i="5" s="1"/>
  <c r="A808" i="5" s="1"/>
  <c r="A948" i="5" s="1"/>
  <c r="A1088" i="5" s="1"/>
  <c r="A1228" i="5" s="1"/>
  <c r="A1368" i="5" s="1"/>
  <c r="A1508" i="5" s="1"/>
  <c r="A1648" i="5" s="1"/>
  <c r="A247" i="5"/>
  <c r="A387" i="5" s="1"/>
  <c r="A527" i="5" s="1"/>
  <c r="A667" i="5" s="1"/>
  <c r="A807" i="5" s="1"/>
  <c r="A947" i="5" s="1"/>
  <c r="A1087" i="5" s="1"/>
  <c r="A1227" i="5" s="1"/>
  <c r="A1367" i="5" s="1"/>
  <c r="A1507" i="5" s="1"/>
  <c r="A1647" i="5" s="1"/>
  <c r="A246" i="5"/>
  <c r="A386" i="5" s="1"/>
  <c r="A526" i="5" s="1"/>
  <c r="A666" i="5" s="1"/>
  <c r="A806" i="5" s="1"/>
  <c r="A946" i="5" s="1"/>
  <c r="A1086" i="5" s="1"/>
  <c r="A1226" i="5" s="1"/>
  <c r="A1366" i="5" s="1"/>
  <c r="A1506" i="5" s="1"/>
  <c r="A1646" i="5" s="1"/>
  <c r="A245" i="5"/>
  <c r="A385" i="5" s="1"/>
  <c r="A525" i="5" s="1"/>
  <c r="A665" i="5" s="1"/>
  <c r="A805" i="5" s="1"/>
  <c r="A945" i="5" s="1"/>
  <c r="A1085" i="5" s="1"/>
  <c r="A1225" i="5" s="1"/>
  <c r="A1365" i="5" s="1"/>
  <c r="A1505" i="5" s="1"/>
  <c r="A1645" i="5" s="1"/>
  <c r="A244" i="5"/>
  <c r="A384" i="5" s="1"/>
  <c r="A524" i="5" s="1"/>
  <c r="A664" i="5" s="1"/>
  <c r="A804" i="5" s="1"/>
  <c r="A944" i="5" s="1"/>
  <c r="A1084" i="5" s="1"/>
  <c r="A1224" i="5" s="1"/>
  <c r="A1364" i="5" s="1"/>
  <c r="A1504" i="5" s="1"/>
  <c r="A1644" i="5" s="1"/>
  <c r="A243" i="5"/>
  <c r="A383" i="5" s="1"/>
  <c r="A523" i="5" s="1"/>
  <c r="A663" i="5" s="1"/>
  <c r="A803" i="5" s="1"/>
  <c r="A943" i="5" s="1"/>
  <c r="A1083" i="5" s="1"/>
  <c r="A1223" i="5" s="1"/>
  <c r="A1363" i="5" s="1"/>
  <c r="A1503" i="5" s="1"/>
  <c r="A1643" i="5" s="1"/>
  <c r="A242" i="5"/>
  <c r="A382" i="5" s="1"/>
  <c r="A522" i="5" s="1"/>
  <c r="A662" i="5" s="1"/>
  <c r="A802" i="5" s="1"/>
  <c r="A942" i="5" s="1"/>
  <c r="A1082" i="5" s="1"/>
  <c r="A1222" i="5" s="1"/>
  <c r="A1362" i="5" s="1"/>
  <c r="A1502" i="5" s="1"/>
  <c r="A1642" i="5" s="1"/>
  <c r="A241" i="5"/>
  <c r="A381" i="5" s="1"/>
  <c r="A521" i="5" s="1"/>
  <c r="A661" i="5" s="1"/>
  <c r="A801" i="5" s="1"/>
  <c r="A941" i="5" s="1"/>
  <c r="A1081" i="5" s="1"/>
  <c r="A1221" i="5" s="1"/>
  <c r="A1361" i="5" s="1"/>
  <c r="A1501" i="5" s="1"/>
  <c r="A1641" i="5" s="1"/>
  <c r="A240" i="5"/>
  <c r="A380" i="5" s="1"/>
  <c r="A520" i="5" s="1"/>
  <c r="A660" i="5" s="1"/>
  <c r="A800" i="5" s="1"/>
  <c r="A940" i="5" s="1"/>
  <c r="A1080" i="5" s="1"/>
  <c r="A1220" i="5" s="1"/>
  <c r="A1360" i="5" s="1"/>
  <c r="A1500" i="5" s="1"/>
  <c r="A1640" i="5" s="1"/>
  <c r="A239" i="5"/>
  <c r="A379" i="5" s="1"/>
  <c r="A519" i="5" s="1"/>
  <c r="A659" i="5" s="1"/>
  <c r="A799" i="5" s="1"/>
  <c r="A939" i="5" s="1"/>
  <c r="A1079" i="5" s="1"/>
  <c r="A1219" i="5" s="1"/>
  <c r="A1359" i="5" s="1"/>
  <c r="A1499" i="5" s="1"/>
  <c r="A1639" i="5" s="1"/>
  <c r="A238" i="5"/>
  <c r="A378" i="5" s="1"/>
  <c r="A518" i="5" s="1"/>
  <c r="A658" i="5" s="1"/>
  <c r="A798" i="5" s="1"/>
  <c r="A938" i="5" s="1"/>
  <c r="A1078" i="5" s="1"/>
  <c r="A1218" i="5" s="1"/>
  <c r="A1358" i="5" s="1"/>
  <c r="A1498" i="5" s="1"/>
  <c r="A1638" i="5" s="1"/>
  <c r="A237" i="5"/>
  <c r="A377" i="5" s="1"/>
  <c r="A517" i="5" s="1"/>
  <c r="A657" i="5" s="1"/>
  <c r="A797" i="5" s="1"/>
  <c r="A937" i="5" s="1"/>
  <c r="A1077" i="5" s="1"/>
  <c r="A1217" i="5" s="1"/>
  <c r="A1357" i="5" s="1"/>
  <c r="A1497" i="5" s="1"/>
  <c r="A1637" i="5" s="1"/>
  <c r="A236" i="5"/>
  <c r="A376" i="5" s="1"/>
  <c r="A516" i="5" s="1"/>
  <c r="A656" i="5" s="1"/>
  <c r="A796" i="5" s="1"/>
  <c r="A936" i="5" s="1"/>
  <c r="A1076" i="5" s="1"/>
  <c r="A1216" i="5" s="1"/>
  <c r="A1356" i="5" s="1"/>
  <c r="A1496" i="5" s="1"/>
  <c r="A1636" i="5" s="1"/>
  <c r="A235" i="5"/>
  <c r="A375" i="5" s="1"/>
  <c r="A515" i="5" s="1"/>
  <c r="A655" i="5" s="1"/>
  <c r="A795" i="5" s="1"/>
  <c r="A935" i="5" s="1"/>
  <c r="A1075" i="5" s="1"/>
  <c r="A1215" i="5" s="1"/>
  <c r="A1355" i="5" s="1"/>
  <c r="A1495" i="5" s="1"/>
  <c r="A1635" i="5" s="1"/>
  <c r="A234" i="5"/>
  <c r="A374" i="5" s="1"/>
  <c r="A514" i="5" s="1"/>
  <c r="A654" i="5" s="1"/>
  <c r="A794" i="5" s="1"/>
  <c r="A934" i="5" s="1"/>
  <c r="A1074" i="5" s="1"/>
  <c r="A1214" i="5" s="1"/>
  <c r="A1354" i="5" s="1"/>
  <c r="A1494" i="5" s="1"/>
  <c r="A1634" i="5" s="1"/>
  <c r="A233" i="5"/>
  <c r="A373" i="5" s="1"/>
  <c r="A513" i="5" s="1"/>
  <c r="A653" i="5" s="1"/>
  <c r="A793" i="5" s="1"/>
  <c r="A933" i="5" s="1"/>
  <c r="A1073" i="5" s="1"/>
  <c r="A1213" i="5" s="1"/>
  <c r="A1353" i="5" s="1"/>
  <c r="A1493" i="5" s="1"/>
  <c r="A1633" i="5" s="1"/>
  <c r="A232" i="5"/>
  <c r="A372" i="5" s="1"/>
  <c r="A512" i="5" s="1"/>
  <c r="A652" i="5" s="1"/>
  <c r="A792" i="5" s="1"/>
  <c r="A932" i="5" s="1"/>
  <c r="A1072" i="5" s="1"/>
  <c r="A1212" i="5" s="1"/>
  <c r="A1352" i="5" s="1"/>
  <c r="A1492" i="5" s="1"/>
  <c r="A1632" i="5" s="1"/>
  <c r="A231" i="5"/>
  <c r="A371" i="5" s="1"/>
  <c r="A511" i="5" s="1"/>
  <c r="A651" i="5" s="1"/>
  <c r="A791" i="5" s="1"/>
  <c r="A931" i="5" s="1"/>
  <c r="A1071" i="5" s="1"/>
  <c r="A1211" i="5" s="1"/>
  <c r="A1351" i="5" s="1"/>
  <c r="A1491" i="5" s="1"/>
  <c r="A1631" i="5" s="1"/>
  <c r="A230" i="5"/>
  <c r="A370" i="5" s="1"/>
  <c r="A510" i="5" s="1"/>
  <c r="A650" i="5" s="1"/>
  <c r="A790" i="5" s="1"/>
  <c r="A930" i="5" s="1"/>
  <c r="A1070" i="5" s="1"/>
  <c r="A1210" i="5" s="1"/>
  <c r="A1350" i="5" s="1"/>
  <c r="A1490" i="5" s="1"/>
  <c r="A1630" i="5" s="1"/>
  <c r="A229" i="5"/>
  <c r="A369" i="5" s="1"/>
  <c r="A509" i="5" s="1"/>
  <c r="A649" i="5" s="1"/>
  <c r="A789" i="5" s="1"/>
  <c r="A929" i="5" s="1"/>
  <c r="A1069" i="5" s="1"/>
  <c r="A1209" i="5" s="1"/>
  <c r="A1349" i="5" s="1"/>
  <c r="A1489" i="5" s="1"/>
  <c r="A1629" i="5" s="1"/>
  <c r="A228" i="5"/>
  <c r="A368" i="5" s="1"/>
  <c r="A508" i="5" s="1"/>
  <c r="A648" i="5" s="1"/>
  <c r="A788" i="5" s="1"/>
  <c r="A928" i="5" s="1"/>
  <c r="A1068" i="5" s="1"/>
  <c r="A1208" i="5" s="1"/>
  <c r="A1348" i="5" s="1"/>
  <c r="A1488" i="5" s="1"/>
  <c r="A1628" i="5" s="1"/>
  <c r="A227" i="5"/>
  <c r="A367" i="5" s="1"/>
  <c r="A507" i="5" s="1"/>
  <c r="A647" i="5" s="1"/>
  <c r="A787" i="5" s="1"/>
  <c r="A927" i="5" s="1"/>
  <c r="A1067" i="5" s="1"/>
  <c r="A1207" i="5" s="1"/>
  <c r="A1347" i="5" s="1"/>
  <c r="A1487" i="5" s="1"/>
  <c r="A1627" i="5" s="1"/>
  <c r="A226" i="5"/>
  <c r="A366" i="5" s="1"/>
  <c r="A506" i="5" s="1"/>
  <c r="A646" i="5" s="1"/>
  <c r="A786" i="5" s="1"/>
  <c r="A926" i="5" s="1"/>
  <c r="A1066" i="5" s="1"/>
  <c r="A1206" i="5" s="1"/>
  <c r="A1346" i="5" s="1"/>
  <c r="A1486" i="5" s="1"/>
  <c r="A1626" i="5" s="1"/>
  <c r="A225" i="5"/>
  <c r="A365" i="5" s="1"/>
  <c r="A505" i="5" s="1"/>
  <c r="A645" i="5" s="1"/>
  <c r="A785" i="5" s="1"/>
  <c r="A925" i="5" s="1"/>
  <c r="A1065" i="5" s="1"/>
  <c r="A1205" i="5" s="1"/>
  <c r="A1345" i="5" s="1"/>
  <c r="A1485" i="5" s="1"/>
  <c r="A1625" i="5" s="1"/>
  <c r="A224" i="5"/>
  <c r="A364" i="5" s="1"/>
  <c r="A504" i="5" s="1"/>
  <c r="A644" i="5" s="1"/>
  <c r="A784" i="5" s="1"/>
  <c r="A924" i="5" s="1"/>
  <c r="A1064" i="5" s="1"/>
  <c r="A1204" i="5" s="1"/>
  <c r="A1344" i="5" s="1"/>
  <c r="A1484" i="5" s="1"/>
  <c r="A1624" i="5" s="1"/>
  <c r="A223" i="5"/>
  <c r="A363" i="5" s="1"/>
  <c r="A503" i="5" s="1"/>
  <c r="A643" i="5" s="1"/>
  <c r="A783" i="5" s="1"/>
  <c r="A923" i="5" s="1"/>
  <c r="A1063" i="5" s="1"/>
  <c r="A1203" i="5" s="1"/>
  <c r="A1343" i="5" s="1"/>
  <c r="A1483" i="5" s="1"/>
  <c r="A1623" i="5" s="1"/>
  <c r="A222" i="5"/>
  <c r="A362" i="5" s="1"/>
  <c r="A502" i="5" s="1"/>
  <c r="A642" i="5" s="1"/>
  <c r="A782" i="5" s="1"/>
  <c r="A922" i="5" s="1"/>
  <c r="A1062" i="5" s="1"/>
  <c r="A1202" i="5" s="1"/>
  <c r="A1342" i="5" s="1"/>
  <c r="A1482" i="5" s="1"/>
  <c r="A1622" i="5" s="1"/>
  <c r="A221" i="5"/>
  <c r="A361" i="5" s="1"/>
  <c r="A501" i="5" s="1"/>
  <c r="A641" i="5" s="1"/>
  <c r="A781" i="5" s="1"/>
  <c r="A921" i="5" s="1"/>
  <c r="A1061" i="5" s="1"/>
  <c r="A1201" i="5" s="1"/>
  <c r="A1341" i="5" s="1"/>
  <c r="A1481" i="5" s="1"/>
  <c r="A1621" i="5" s="1"/>
  <c r="A220" i="5"/>
  <c r="A360" i="5" s="1"/>
  <c r="A500" i="5" s="1"/>
  <c r="A640" i="5" s="1"/>
  <c r="A780" i="5" s="1"/>
  <c r="A920" i="5" s="1"/>
  <c r="A1060" i="5" s="1"/>
  <c r="A1200" i="5" s="1"/>
  <c r="A1340" i="5" s="1"/>
  <c r="A1480" i="5" s="1"/>
  <c r="A1620" i="5" s="1"/>
  <c r="A219" i="5"/>
  <c r="A359" i="5" s="1"/>
  <c r="A499" i="5" s="1"/>
  <c r="A639" i="5" s="1"/>
  <c r="A779" i="5" s="1"/>
  <c r="A919" i="5" s="1"/>
  <c r="A1059" i="5" s="1"/>
  <c r="A1199" i="5" s="1"/>
  <c r="A1339" i="5" s="1"/>
  <c r="A1479" i="5" s="1"/>
  <c r="A1619" i="5" s="1"/>
  <c r="A218" i="5"/>
  <c r="A358" i="5" s="1"/>
  <c r="A498" i="5" s="1"/>
  <c r="A638" i="5" s="1"/>
  <c r="A778" i="5" s="1"/>
  <c r="A918" i="5" s="1"/>
  <c r="A1058" i="5" s="1"/>
  <c r="A1198" i="5" s="1"/>
  <c r="A1338" i="5" s="1"/>
  <c r="A1478" i="5" s="1"/>
  <c r="A1618" i="5" s="1"/>
  <c r="A217" i="5"/>
  <c r="A357" i="5" s="1"/>
  <c r="A497" i="5" s="1"/>
  <c r="A637" i="5" s="1"/>
  <c r="A777" i="5" s="1"/>
  <c r="A917" i="5" s="1"/>
  <c r="A1057" i="5" s="1"/>
  <c r="A1197" i="5" s="1"/>
  <c r="A1337" i="5" s="1"/>
  <c r="A1477" i="5" s="1"/>
  <c r="A1617" i="5" s="1"/>
  <c r="A216" i="5"/>
  <c r="A356" i="5" s="1"/>
  <c r="A496" i="5" s="1"/>
  <c r="A636" i="5" s="1"/>
  <c r="A776" i="5" s="1"/>
  <c r="A916" i="5" s="1"/>
  <c r="A1056" i="5" s="1"/>
  <c r="A1196" i="5" s="1"/>
  <c r="A1336" i="5" s="1"/>
  <c r="A1476" i="5" s="1"/>
  <c r="A1616" i="5" s="1"/>
  <c r="A215" i="5"/>
  <c r="A355" i="5" s="1"/>
  <c r="A495" i="5" s="1"/>
  <c r="A635" i="5" s="1"/>
  <c r="A775" i="5" s="1"/>
  <c r="A915" i="5" s="1"/>
  <c r="A1055" i="5" s="1"/>
  <c r="A1195" i="5" s="1"/>
  <c r="A1335" i="5" s="1"/>
  <c r="A1475" i="5" s="1"/>
  <c r="A1615" i="5" s="1"/>
  <c r="A214" i="5"/>
  <c r="A354" i="5" s="1"/>
  <c r="A494" i="5" s="1"/>
  <c r="A634" i="5" s="1"/>
  <c r="A774" i="5" s="1"/>
  <c r="A914" i="5" s="1"/>
  <c r="A1054" i="5" s="1"/>
  <c r="A1194" i="5" s="1"/>
  <c r="A1334" i="5" s="1"/>
  <c r="A1474" i="5" s="1"/>
  <c r="A1614" i="5" s="1"/>
  <c r="A213" i="5"/>
  <c r="A353" i="5" s="1"/>
  <c r="A493" i="5" s="1"/>
  <c r="A633" i="5" s="1"/>
  <c r="A773" i="5" s="1"/>
  <c r="A913" i="5" s="1"/>
  <c r="A1053" i="5" s="1"/>
  <c r="A1193" i="5" s="1"/>
  <c r="A1333" i="5" s="1"/>
  <c r="A1473" i="5" s="1"/>
  <c r="A1613" i="5" s="1"/>
  <c r="A212" i="5"/>
  <c r="A352" i="5" s="1"/>
  <c r="A492" i="5" s="1"/>
  <c r="A632" i="5" s="1"/>
  <c r="A772" i="5" s="1"/>
  <c r="A912" i="5" s="1"/>
  <c r="A1052" i="5" s="1"/>
  <c r="A1192" i="5" s="1"/>
  <c r="A1332" i="5" s="1"/>
  <c r="A1472" i="5" s="1"/>
  <c r="A1612" i="5" s="1"/>
  <c r="A211" i="5"/>
  <c r="A351" i="5" s="1"/>
  <c r="A491" i="5" s="1"/>
  <c r="A631" i="5" s="1"/>
  <c r="A771" i="5" s="1"/>
  <c r="A911" i="5" s="1"/>
  <c r="A1051" i="5" s="1"/>
  <c r="A1191" i="5" s="1"/>
  <c r="A1331" i="5" s="1"/>
  <c r="A1471" i="5" s="1"/>
  <c r="A1611" i="5" s="1"/>
  <c r="A210" i="5"/>
  <c r="A350" i="5" s="1"/>
  <c r="A490" i="5" s="1"/>
  <c r="A630" i="5" s="1"/>
  <c r="A770" i="5" s="1"/>
  <c r="A910" i="5" s="1"/>
  <c r="A1050" i="5" s="1"/>
  <c r="A1190" i="5" s="1"/>
  <c r="A1330" i="5" s="1"/>
  <c r="A1470" i="5" s="1"/>
  <c r="A1610" i="5" s="1"/>
  <c r="A209" i="5"/>
  <c r="A349" i="5" s="1"/>
  <c r="A489" i="5" s="1"/>
  <c r="A629" i="5" s="1"/>
  <c r="A769" i="5" s="1"/>
  <c r="A909" i="5" s="1"/>
  <c r="A1049" i="5" s="1"/>
  <c r="A1189" i="5" s="1"/>
  <c r="A1329" i="5" s="1"/>
  <c r="A1469" i="5" s="1"/>
  <c r="A1609" i="5" s="1"/>
  <c r="A208" i="5"/>
  <c r="A348" i="5" s="1"/>
  <c r="A488" i="5" s="1"/>
  <c r="A628" i="5" s="1"/>
  <c r="A768" i="5" s="1"/>
  <c r="A908" i="5" s="1"/>
  <c r="A1048" i="5" s="1"/>
  <c r="A1188" i="5" s="1"/>
  <c r="A1328" i="5" s="1"/>
  <c r="A1468" i="5" s="1"/>
  <c r="A1608" i="5" s="1"/>
  <c r="A207" i="5"/>
  <c r="A347" i="5" s="1"/>
  <c r="A487" i="5" s="1"/>
  <c r="A627" i="5" s="1"/>
  <c r="A767" i="5" s="1"/>
  <c r="A907" i="5" s="1"/>
  <c r="A1047" i="5" s="1"/>
  <c r="A1187" i="5" s="1"/>
  <c r="A1327" i="5" s="1"/>
  <c r="A1467" i="5" s="1"/>
  <c r="A1607" i="5" s="1"/>
  <c r="A206" i="5"/>
  <c r="A346" i="5" s="1"/>
  <c r="A486" i="5" s="1"/>
  <c r="A626" i="5" s="1"/>
  <c r="A766" i="5" s="1"/>
  <c r="A906" i="5" s="1"/>
  <c r="A1046" i="5" s="1"/>
  <c r="A1186" i="5" s="1"/>
  <c r="A1326" i="5" s="1"/>
  <c r="A1466" i="5" s="1"/>
  <c r="A1606" i="5" s="1"/>
  <c r="A205" i="5"/>
  <c r="A345" i="5" s="1"/>
  <c r="A485" i="5" s="1"/>
  <c r="A625" i="5" s="1"/>
  <c r="A765" i="5" s="1"/>
  <c r="A905" i="5" s="1"/>
  <c r="A1045" i="5" s="1"/>
  <c r="A1185" i="5" s="1"/>
  <c r="A1325" i="5" s="1"/>
  <c r="A1465" i="5" s="1"/>
  <c r="A1605" i="5" s="1"/>
  <c r="A204" i="5"/>
  <c r="A344" i="5" s="1"/>
  <c r="A484" i="5" s="1"/>
  <c r="A624" i="5" s="1"/>
  <c r="A764" i="5" s="1"/>
  <c r="A904" i="5" s="1"/>
  <c r="A1044" i="5" s="1"/>
  <c r="A1184" i="5" s="1"/>
  <c r="A1324" i="5" s="1"/>
  <c r="A1464" i="5" s="1"/>
  <c r="A1604" i="5" s="1"/>
  <c r="A203" i="5"/>
  <c r="A343" i="5" s="1"/>
  <c r="A483" i="5" s="1"/>
  <c r="A623" i="5" s="1"/>
  <c r="A763" i="5" s="1"/>
  <c r="A903" i="5" s="1"/>
  <c r="A1043" i="5" s="1"/>
  <c r="A1183" i="5" s="1"/>
  <c r="A1323" i="5" s="1"/>
  <c r="A1463" i="5" s="1"/>
  <c r="A1603" i="5" s="1"/>
  <c r="A202" i="5"/>
  <c r="A342" i="5" s="1"/>
  <c r="A482" i="5" s="1"/>
  <c r="A622" i="5" s="1"/>
  <c r="A762" i="5" s="1"/>
  <c r="A902" i="5" s="1"/>
  <c r="A1042" i="5" s="1"/>
  <c r="A1182" i="5" s="1"/>
  <c r="A1322" i="5" s="1"/>
  <c r="A1462" i="5" s="1"/>
  <c r="A1602" i="5" s="1"/>
  <c r="A201" i="5"/>
  <c r="A341" i="5" s="1"/>
  <c r="A481" i="5" s="1"/>
  <c r="A621" i="5" s="1"/>
  <c r="A761" i="5" s="1"/>
  <c r="A901" i="5" s="1"/>
  <c r="A1041" i="5" s="1"/>
  <c r="A1181" i="5" s="1"/>
  <c r="A1321" i="5" s="1"/>
  <c r="A1461" i="5" s="1"/>
  <c r="A1601" i="5" s="1"/>
  <c r="A200" i="5"/>
  <c r="A340" i="5" s="1"/>
  <c r="A480" i="5" s="1"/>
  <c r="A620" i="5" s="1"/>
  <c r="A760" i="5" s="1"/>
  <c r="A900" i="5" s="1"/>
  <c r="A1040" i="5" s="1"/>
  <c r="A1180" i="5" s="1"/>
  <c r="A1320" i="5" s="1"/>
  <c r="A1460" i="5" s="1"/>
  <c r="A1600" i="5" s="1"/>
  <c r="A199" i="5"/>
  <c r="A339" i="5" s="1"/>
  <c r="A479" i="5" s="1"/>
  <c r="A619" i="5" s="1"/>
  <c r="A759" i="5" s="1"/>
  <c r="A899" i="5" s="1"/>
  <c r="A1039" i="5" s="1"/>
  <c r="A1179" i="5" s="1"/>
  <c r="A1319" i="5" s="1"/>
  <c r="A1459" i="5" s="1"/>
  <c r="A1599" i="5" s="1"/>
  <c r="A198" i="5"/>
  <c r="A338" i="5" s="1"/>
  <c r="A478" i="5" s="1"/>
  <c r="A618" i="5" s="1"/>
  <c r="A758" i="5" s="1"/>
  <c r="A898" i="5" s="1"/>
  <c r="A1038" i="5" s="1"/>
  <c r="A1178" i="5" s="1"/>
  <c r="A1318" i="5" s="1"/>
  <c r="A1458" i="5" s="1"/>
  <c r="A1598" i="5" s="1"/>
  <c r="A197" i="5"/>
  <c r="A337" i="5" s="1"/>
  <c r="A477" i="5" s="1"/>
  <c r="A617" i="5" s="1"/>
  <c r="A757" i="5" s="1"/>
  <c r="A897" i="5" s="1"/>
  <c r="A1037" i="5" s="1"/>
  <c r="A1177" i="5" s="1"/>
  <c r="A1317" i="5" s="1"/>
  <c r="A1457" i="5" s="1"/>
  <c r="A1597" i="5" s="1"/>
  <c r="A196" i="5"/>
  <c r="A336" i="5" s="1"/>
  <c r="A476" i="5" s="1"/>
  <c r="A616" i="5" s="1"/>
  <c r="A756" i="5" s="1"/>
  <c r="A896" i="5" s="1"/>
  <c r="A1036" i="5" s="1"/>
  <c r="A1176" i="5" s="1"/>
  <c r="A1316" i="5" s="1"/>
  <c r="A1456" i="5" s="1"/>
  <c r="A1596" i="5" s="1"/>
  <c r="A195" i="5"/>
  <c r="A335" i="5" s="1"/>
  <c r="A475" i="5" s="1"/>
  <c r="A615" i="5" s="1"/>
  <c r="A755" i="5" s="1"/>
  <c r="A895" i="5" s="1"/>
  <c r="A1035" i="5" s="1"/>
  <c r="A1175" i="5" s="1"/>
  <c r="A1315" i="5" s="1"/>
  <c r="A1455" i="5" s="1"/>
  <c r="A1595" i="5" s="1"/>
  <c r="A194" i="5"/>
  <c r="A334" i="5" s="1"/>
  <c r="A474" i="5" s="1"/>
  <c r="A614" i="5" s="1"/>
  <c r="A754" i="5" s="1"/>
  <c r="A894" i="5" s="1"/>
  <c r="A1034" i="5" s="1"/>
  <c r="A1174" i="5" s="1"/>
  <c r="A1314" i="5" s="1"/>
  <c r="A1454" i="5" s="1"/>
  <c r="A1594" i="5" s="1"/>
  <c r="A193" i="5"/>
  <c r="A333" i="5" s="1"/>
  <c r="A473" i="5" s="1"/>
  <c r="A613" i="5" s="1"/>
  <c r="A753" i="5" s="1"/>
  <c r="A893" i="5" s="1"/>
  <c r="A1033" i="5" s="1"/>
  <c r="A1173" i="5" s="1"/>
  <c r="A1313" i="5" s="1"/>
  <c r="A1453" i="5" s="1"/>
  <c r="A1593" i="5" s="1"/>
  <c r="A192" i="5"/>
  <c r="A332" i="5" s="1"/>
  <c r="A472" i="5" s="1"/>
  <c r="A612" i="5" s="1"/>
  <c r="A752" i="5" s="1"/>
  <c r="A892" i="5" s="1"/>
  <c r="A1032" i="5" s="1"/>
  <c r="A1172" i="5" s="1"/>
  <c r="A1312" i="5" s="1"/>
  <c r="A1452" i="5" s="1"/>
  <c r="A1592" i="5" s="1"/>
  <c r="A191" i="5"/>
  <c r="A331" i="5" s="1"/>
  <c r="A471" i="5" s="1"/>
  <c r="A611" i="5" s="1"/>
  <c r="A751" i="5" s="1"/>
  <c r="A891" i="5" s="1"/>
  <c r="A1031" i="5" s="1"/>
  <c r="A1171" i="5" s="1"/>
  <c r="A1311" i="5" s="1"/>
  <c r="A1451" i="5" s="1"/>
  <c r="A1591" i="5" s="1"/>
  <c r="A190" i="5"/>
  <c r="A330" i="5" s="1"/>
  <c r="A470" i="5" s="1"/>
  <c r="A610" i="5" s="1"/>
  <c r="A750" i="5" s="1"/>
  <c r="A890" i="5" s="1"/>
  <c r="A1030" i="5" s="1"/>
  <c r="A1170" i="5" s="1"/>
  <c r="A1310" i="5" s="1"/>
  <c r="A1450" i="5" s="1"/>
  <c r="A1590" i="5" s="1"/>
  <c r="A189" i="5"/>
  <c r="A329" i="5" s="1"/>
  <c r="A469" i="5" s="1"/>
  <c r="A609" i="5" s="1"/>
  <c r="A749" i="5" s="1"/>
  <c r="A889" i="5" s="1"/>
  <c r="A1029" i="5" s="1"/>
  <c r="A1169" i="5" s="1"/>
  <c r="A1309" i="5" s="1"/>
  <c r="A1449" i="5" s="1"/>
  <c r="A1589" i="5" s="1"/>
  <c r="A188" i="5"/>
  <c r="A328" i="5" s="1"/>
  <c r="A468" i="5" s="1"/>
  <c r="A608" i="5" s="1"/>
  <c r="A748" i="5" s="1"/>
  <c r="A888" i="5" s="1"/>
  <c r="A1028" i="5" s="1"/>
  <c r="A1168" i="5" s="1"/>
  <c r="A1308" i="5" s="1"/>
  <c r="A1448" i="5" s="1"/>
  <c r="A1588" i="5" s="1"/>
  <c r="A187" i="5"/>
  <c r="A327" i="5" s="1"/>
  <c r="A467" i="5" s="1"/>
  <c r="A607" i="5" s="1"/>
  <c r="A747" i="5" s="1"/>
  <c r="A887" i="5" s="1"/>
  <c r="A1027" i="5" s="1"/>
  <c r="A1167" i="5" s="1"/>
  <c r="A1307" i="5" s="1"/>
  <c r="A1447" i="5" s="1"/>
  <c r="A1587" i="5" s="1"/>
  <c r="A186" i="5"/>
  <c r="A326" i="5" s="1"/>
  <c r="A466" i="5" s="1"/>
  <c r="A606" i="5" s="1"/>
  <c r="A746" i="5" s="1"/>
  <c r="A886" i="5" s="1"/>
  <c r="A1026" i="5" s="1"/>
  <c r="A1166" i="5" s="1"/>
  <c r="A1306" i="5" s="1"/>
  <c r="A1446" i="5" s="1"/>
  <c r="A1586" i="5" s="1"/>
  <c r="A185" i="5"/>
  <c r="A325" i="5" s="1"/>
  <c r="A465" i="5" s="1"/>
  <c r="A605" i="5" s="1"/>
  <c r="A745" i="5" s="1"/>
  <c r="A885" i="5" s="1"/>
  <c r="A1025" i="5" s="1"/>
  <c r="A1165" i="5" s="1"/>
  <c r="A1305" i="5" s="1"/>
  <c r="A1445" i="5" s="1"/>
  <c r="A1585" i="5" s="1"/>
  <c r="A184" i="5"/>
  <c r="A324" i="5" s="1"/>
  <c r="A464" i="5" s="1"/>
  <c r="A604" i="5" s="1"/>
  <c r="A744" i="5" s="1"/>
  <c r="A884" i="5" s="1"/>
  <c r="A1024" i="5" s="1"/>
  <c r="A1164" i="5" s="1"/>
  <c r="A1304" i="5" s="1"/>
  <c r="A1444" i="5" s="1"/>
  <c r="A1584" i="5" s="1"/>
  <c r="A183" i="5"/>
  <c r="A323" i="5" s="1"/>
  <c r="A463" i="5" s="1"/>
  <c r="A603" i="5" s="1"/>
  <c r="A743" i="5" s="1"/>
  <c r="A883" i="5" s="1"/>
  <c r="A1023" i="5" s="1"/>
  <c r="A1163" i="5" s="1"/>
  <c r="A1303" i="5" s="1"/>
  <c r="A1443" i="5" s="1"/>
  <c r="A1583" i="5" s="1"/>
  <c r="A182" i="5"/>
  <c r="A322" i="5" s="1"/>
  <c r="A462" i="5" s="1"/>
  <c r="A602" i="5" s="1"/>
  <c r="A742" i="5" s="1"/>
  <c r="A882" i="5" s="1"/>
  <c r="A1022" i="5" s="1"/>
  <c r="A1162" i="5" s="1"/>
  <c r="A1302" i="5" s="1"/>
  <c r="A1442" i="5" s="1"/>
  <c r="A1582" i="5" s="1"/>
  <c r="A181" i="5"/>
  <c r="A321" i="5" s="1"/>
  <c r="A461" i="5" s="1"/>
  <c r="A601" i="5" s="1"/>
  <c r="A741" i="5" s="1"/>
  <c r="A881" i="5" s="1"/>
  <c r="A1021" i="5" s="1"/>
  <c r="A1161" i="5" s="1"/>
  <c r="A1301" i="5" s="1"/>
  <c r="A1441" i="5" s="1"/>
  <c r="A1581" i="5" s="1"/>
  <c r="A180" i="5"/>
  <c r="A320" i="5" s="1"/>
  <c r="A460" i="5" s="1"/>
  <c r="A600" i="5" s="1"/>
  <c r="A740" i="5" s="1"/>
  <c r="A880" i="5" s="1"/>
  <c r="A1020" i="5" s="1"/>
  <c r="A1160" i="5" s="1"/>
  <c r="A1300" i="5" s="1"/>
  <c r="A1440" i="5" s="1"/>
  <c r="A1580" i="5" s="1"/>
  <c r="A179" i="5"/>
  <c r="A319" i="5" s="1"/>
  <c r="A459" i="5" s="1"/>
  <c r="A599" i="5" s="1"/>
  <c r="A739" i="5" s="1"/>
  <c r="A879" i="5" s="1"/>
  <c r="A1019" i="5" s="1"/>
  <c r="A1159" i="5" s="1"/>
  <c r="A1299" i="5" s="1"/>
  <c r="A1439" i="5" s="1"/>
  <c r="A1579" i="5" s="1"/>
  <c r="A178" i="5"/>
  <c r="A318" i="5" s="1"/>
  <c r="A458" i="5" s="1"/>
  <c r="A598" i="5" s="1"/>
  <c r="A738" i="5" s="1"/>
  <c r="A878" i="5" s="1"/>
  <c r="A1018" i="5" s="1"/>
  <c r="A1158" i="5" s="1"/>
  <c r="A1298" i="5" s="1"/>
  <c r="A1438" i="5" s="1"/>
  <c r="A1578" i="5" s="1"/>
  <c r="A177" i="5"/>
  <c r="A317" i="5" s="1"/>
  <c r="A457" i="5" s="1"/>
  <c r="A597" i="5" s="1"/>
  <c r="A737" i="5" s="1"/>
  <c r="A877" i="5" s="1"/>
  <c r="A1017" i="5" s="1"/>
  <c r="A1157" i="5" s="1"/>
  <c r="A1297" i="5" s="1"/>
  <c r="A1437" i="5" s="1"/>
  <c r="A1577" i="5" s="1"/>
  <c r="A176" i="5"/>
  <c r="A316" i="5" s="1"/>
  <c r="A456" i="5" s="1"/>
  <c r="A596" i="5" s="1"/>
  <c r="A736" i="5" s="1"/>
  <c r="A876" i="5" s="1"/>
  <c r="A1016" i="5" s="1"/>
  <c r="A1156" i="5" s="1"/>
  <c r="A1296" i="5" s="1"/>
  <c r="A1436" i="5" s="1"/>
  <c r="A1576" i="5" s="1"/>
  <c r="A175" i="5"/>
  <c r="A315" i="5" s="1"/>
  <c r="A455" i="5" s="1"/>
  <c r="A595" i="5" s="1"/>
  <c r="A735" i="5" s="1"/>
  <c r="A875" i="5" s="1"/>
  <c r="A1015" i="5" s="1"/>
  <c r="A1155" i="5" s="1"/>
  <c r="A1295" i="5" s="1"/>
  <c r="A1435" i="5" s="1"/>
  <c r="A1575" i="5" s="1"/>
  <c r="A174" i="5"/>
  <c r="A314" i="5" s="1"/>
  <c r="A454" i="5" s="1"/>
  <c r="A594" i="5" s="1"/>
  <c r="A734" i="5" s="1"/>
  <c r="A874" i="5" s="1"/>
  <c r="A1014" i="5" s="1"/>
  <c r="A1154" i="5" s="1"/>
  <c r="A1294" i="5" s="1"/>
  <c r="A1434" i="5" s="1"/>
  <c r="A1574" i="5" s="1"/>
  <c r="A173" i="5"/>
  <c r="A313" i="5" s="1"/>
  <c r="A453" i="5" s="1"/>
  <c r="A593" i="5" s="1"/>
  <c r="A733" i="5" s="1"/>
  <c r="A873" i="5" s="1"/>
  <c r="A1013" i="5" s="1"/>
  <c r="A1153" i="5" s="1"/>
  <c r="A1293" i="5" s="1"/>
  <c r="A1433" i="5" s="1"/>
  <c r="A1573" i="5" s="1"/>
  <c r="A172" i="5"/>
  <c r="A312" i="5" s="1"/>
  <c r="A452" i="5" s="1"/>
  <c r="A592" i="5" s="1"/>
  <c r="A732" i="5" s="1"/>
  <c r="A872" i="5" s="1"/>
  <c r="A1012" i="5" s="1"/>
  <c r="A1152" i="5" s="1"/>
  <c r="A1292" i="5" s="1"/>
  <c r="A1432" i="5" s="1"/>
  <c r="A1572" i="5" s="1"/>
  <c r="A171" i="5"/>
  <c r="A311" i="5" s="1"/>
  <c r="A451" i="5" s="1"/>
  <c r="A591" i="5" s="1"/>
  <c r="A731" i="5" s="1"/>
  <c r="A871" i="5" s="1"/>
  <c r="A1011" i="5" s="1"/>
  <c r="A1151" i="5" s="1"/>
  <c r="A1291" i="5" s="1"/>
  <c r="A1431" i="5" s="1"/>
  <c r="A1571" i="5" s="1"/>
  <c r="A170" i="5"/>
  <c r="A310" i="5" s="1"/>
  <c r="A450" i="5" s="1"/>
  <c r="A590" i="5" s="1"/>
  <c r="A730" i="5" s="1"/>
  <c r="A870" i="5" s="1"/>
  <c r="A1010" i="5" s="1"/>
  <c r="A1150" i="5" s="1"/>
  <c r="A1290" i="5" s="1"/>
  <c r="A1430" i="5" s="1"/>
  <c r="A1570" i="5" s="1"/>
  <c r="A169" i="5"/>
  <c r="A309" i="5" s="1"/>
  <c r="A449" i="5" s="1"/>
  <c r="A589" i="5" s="1"/>
  <c r="A729" i="5" s="1"/>
  <c r="A869" i="5" s="1"/>
  <c r="A1009" i="5" s="1"/>
  <c r="A1149" i="5" s="1"/>
  <c r="A1289" i="5" s="1"/>
  <c r="A1429" i="5" s="1"/>
  <c r="A1569" i="5" s="1"/>
  <c r="A168" i="5"/>
  <c r="A308" i="5" s="1"/>
  <c r="A448" i="5" s="1"/>
  <c r="A588" i="5" s="1"/>
  <c r="A728" i="5" s="1"/>
  <c r="A868" i="5" s="1"/>
  <c r="A1008" i="5" s="1"/>
  <c r="A1148" i="5" s="1"/>
  <c r="A1288" i="5" s="1"/>
  <c r="A1428" i="5" s="1"/>
  <c r="A1568" i="5" s="1"/>
  <c r="A167" i="5"/>
  <c r="A307" i="5" s="1"/>
  <c r="A447" i="5" s="1"/>
  <c r="A587" i="5" s="1"/>
  <c r="A727" i="5" s="1"/>
  <c r="A867" i="5" s="1"/>
  <c r="A1007" i="5" s="1"/>
  <c r="A1147" i="5" s="1"/>
  <c r="A1287" i="5" s="1"/>
  <c r="A1427" i="5" s="1"/>
  <c r="A1567" i="5" s="1"/>
  <c r="A166" i="5"/>
  <c r="A306" i="5" s="1"/>
  <c r="A446" i="5" s="1"/>
  <c r="A586" i="5" s="1"/>
  <c r="A726" i="5" s="1"/>
  <c r="A866" i="5" s="1"/>
  <c r="A1006" i="5" s="1"/>
  <c r="A1146" i="5" s="1"/>
  <c r="A1286" i="5" s="1"/>
  <c r="A1426" i="5" s="1"/>
  <c r="A1566" i="5" s="1"/>
  <c r="A165" i="5"/>
  <c r="A305" i="5" s="1"/>
  <c r="A445" i="5" s="1"/>
  <c r="A585" i="5" s="1"/>
  <c r="A725" i="5" s="1"/>
  <c r="A865" i="5" s="1"/>
  <c r="A1005" i="5" s="1"/>
  <c r="A1145" i="5" s="1"/>
  <c r="A1285" i="5" s="1"/>
  <c r="A1425" i="5" s="1"/>
  <c r="A1565" i="5" s="1"/>
  <c r="A164" i="5"/>
  <c r="A304" i="5" s="1"/>
  <c r="A444" i="5" s="1"/>
  <c r="A584" i="5" s="1"/>
  <c r="A724" i="5" s="1"/>
  <c r="A864" i="5" s="1"/>
  <c r="A1004" i="5" s="1"/>
  <c r="A1144" i="5" s="1"/>
  <c r="A1284" i="5" s="1"/>
  <c r="A1424" i="5" s="1"/>
  <c r="A1564" i="5" s="1"/>
  <c r="A163" i="5"/>
  <c r="A303" i="5" s="1"/>
  <c r="A443" i="5" s="1"/>
  <c r="A583" i="5" s="1"/>
  <c r="A723" i="5" s="1"/>
  <c r="A863" i="5" s="1"/>
  <c r="A1003" i="5" s="1"/>
  <c r="A1143" i="5" s="1"/>
  <c r="A1283" i="5" s="1"/>
  <c r="A1423" i="5" s="1"/>
  <c r="A1563" i="5" s="1"/>
  <c r="A162" i="5"/>
  <c r="A302" i="5" s="1"/>
  <c r="A442" i="5" s="1"/>
  <c r="A582" i="5" s="1"/>
  <c r="A722" i="5" s="1"/>
  <c r="A862" i="5" s="1"/>
  <c r="A1002" i="5" s="1"/>
  <c r="A1142" i="5" s="1"/>
  <c r="A1282" i="5" s="1"/>
  <c r="A1422" i="5" s="1"/>
  <c r="A1562" i="5" s="1"/>
  <c r="A161" i="5"/>
  <c r="A301" i="5" s="1"/>
  <c r="A441" i="5" s="1"/>
  <c r="A581" i="5" s="1"/>
  <c r="A721" i="5" s="1"/>
  <c r="A861" i="5" s="1"/>
  <c r="A1001" i="5" s="1"/>
  <c r="A1141" i="5" s="1"/>
  <c r="A1281" i="5" s="1"/>
  <c r="A1421" i="5" s="1"/>
  <c r="A1561" i="5" s="1"/>
  <c r="A160" i="5"/>
  <c r="A300" i="5" s="1"/>
  <c r="A440" i="5" s="1"/>
  <c r="A580" i="5" s="1"/>
  <c r="A720" i="5" s="1"/>
  <c r="A860" i="5" s="1"/>
  <c r="A1000" i="5" s="1"/>
  <c r="A1140" i="5" s="1"/>
  <c r="A1280" i="5" s="1"/>
  <c r="A1420" i="5" s="1"/>
  <c r="A1560" i="5" s="1"/>
  <c r="A159" i="5"/>
  <c r="A299" i="5" s="1"/>
  <c r="A439" i="5" s="1"/>
  <c r="A579" i="5" s="1"/>
  <c r="A719" i="5" s="1"/>
  <c r="A859" i="5" s="1"/>
  <c r="A999" i="5" s="1"/>
  <c r="A1139" i="5" s="1"/>
  <c r="A1279" i="5" s="1"/>
  <c r="A1419" i="5" s="1"/>
  <c r="A1559" i="5" s="1"/>
  <c r="A158" i="5"/>
  <c r="A298" i="5" s="1"/>
  <c r="A438" i="5" s="1"/>
  <c r="A578" i="5" s="1"/>
  <c r="A718" i="5" s="1"/>
  <c r="A858" i="5" s="1"/>
  <c r="A998" i="5" s="1"/>
  <c r="A1138" i="5" s="1"/>
  <c r="A1278" i="5" s="1"/>
  <c r="A1418" i="5" s="1"/>
  <c r="A1558" i="5" s="1"/>
  <c r="A157" i="5"/>
  <c r="A297" i="5" s="1"/>
  <c r="A437" i="5" s="1"/>
  <c r="A577" i="5" s="1"/>
  <c r="A717" i="5" s="1"/>
  <c r="A857" i="5" s="1"/>
  <c r="A997" i="5" s="1"/>
  <c r="A1137" i="5" s="1"/>
  <c r="A1277" i="5" s="1"/>
  <c r="A1417" i="5" s="1"/>
  <c r="A1557" i="5" s="1"/>
  <c r="A156" i="5"/>
  <c r="A296" i="5" s="1"/>
  <c r="A436" i="5" s="1"/>
  <c r="A576" i="5" s="1"/>
  <c r="A716" i="5" s="1"/>
  <c r="A856" i="5" s="1"/>
  <c r="A996" i="5" s="1"/>
  <c r="A1136" i="5" s="1"/>
  <c r="A1276" i="5" s="1"/>
  <c r="A1416" i="5" s="1"/>
  <c r="A1556" i="5" s="1"/>
  <c r="A155" i="5"/>
  <c r="A295" i="5" s="1"/>
  <c r="A435" i="5" s="1"/>
  <c r="A575" i="5" s="1"/>
  <c r="A715" i="5" s="1"/>
  <c r="A855" i="5" s="1"/>
  <c r="A995" i="5" s="1"/>
  <c r="A1135" i="5" s="1"/>
  <c r="A1275" i="5" s="1"/>
  <c r="A1415" i="5" s="1"/>
  <c r="A1555" i="5" s="1"/>
  <c r="A154" i="5"/>
  <c r="A294" i="5" s="1"/>
  <c r="A434" i="5" s="1"/>
  <c r="A574" i="5" s="1"/>
  <c r="A714" i="5" s="1"/>
  <c r="A854" i="5" s="1"/>
  <c r="A994" i="5" s="1"/>
  <c r="A1134" i="5" s="1"/>
  <c r="A1274" i="5" s="1"/>
  <c r="A1414" i="5" s="1"/>
  <c r="A1554" i="5" s="1"/>
  <c r="A153" i="5"/>
  <c r="A293" i="5" s="1"/>
  <c r="A433" i="5" s="1"/>
  <c r="A573" i="5" s="1"/>
  <c r="A713" i="5" s="1"/>
  <c r="A853" i="5" s="1"/>
  <c r="A993" i="5" s="1"/>
  <c r="A1133" i="5" s="1"/>
  <c r="A1273" i="5" s="1"/>
  <c r="A1413" i="5" s="1"/>
  <c r="A1553" i="5" s="1"/>
  <c r="A152" i="5"/>
  <c r="A292" i="5" s="1"/>
  <c r="A432" i="5" s="1"/>
  <c r="A572" i="5" s="1"/>
  <c r="A712" i="5" s="1"/>
  <c r="A852" i="5" s="1"/>
  <c r="A992" i="5" s="1"/>
  <c r="A1132" i="5" s="1"/>
  <c r="A1272" i="5" s="1"/>
  <c r="A1412" i="5" s="1"/>
  <c r="A1552" i="5" s="1"/>
  <c r="A151" i="5"/>
  <c r="A291" i="5" s="1"/>
  <c r="A431" i="5" s="1"/>
  <c r="A571" i="5" s="1"/>
  <c r="A711" i="5" s="1"/>
  <c r="A851" i="5" s="1"/>
  <c r="A991" i="5" s="1"/>
  <c r="A1131" i="5" s="1"/>
  <c r="A1271" i="5" s="1"/>
  <c r="A1411" i="5" s="1"/>
  <c r="A1551" i="5" s="1"/>
  <c r="A150" i="5"/>
  <c r="A290" i="5" s="1"/>
  <c r="A430" i="5" s="1"/>
  <c r="A570" i="5" s="1"/>
  <c r="A710" i="5" s="1"/>
  <c r="A850" i="5" s="1"/>
  <c r="A990" i="5" s="1"/>
  <c r="A1130" i="5" s="1"/>
  <c r="A1270" i="5" s="1"/>
  <c r="A1410" i="5" s="1"/>
  <c r="A1550" i="5" s="1"/>
  <c r="A149" i="5"/>
  <c r="A289" i="5" s="1"/>
  <c r="A429" i="5" s="1"/>
  <c r="A569" i="5" s="1"/>
  <c r="A709" i="5" s="1"/>
  <c r="A849" i="5" s="1"/>
  <c r="A989" i="5" s="1"/>
  <c r="A1129" i="5" s="1"/>
  <c r="A1269" i="5" s="1"/>
  <c r="A1409" i="5" s="1"/>
  <c r="A1549" i="5" s="1"/>
  <c r="A148" i="5"/>
  <c r="A288" i="5" s="1"/>
  <c r="A428" i="5" s="1"/>
  <c r="A568" i="5" s="1"/>
  <c r="A708" i="5" s="1"/>
  <c r="A848" i="5" s="1"/>
  <c r="A988" i="5" s="1"/>
  <c r="A1128" i="5" s="1"/>
  <c r="A1268" i="5" s="1"/>
  <c r="A1408" i="5" s="1"/>
  <c r="A1548" i="5" s="1"/>
  <c r="A147" i="5"/>
  <c r="A287" i="5" s="1"/>
  <c r="A427" i="5" s="1"/>
  <c r="A567" i="5" s="1"/>
  <c r="A707" i="5" s="1"/>
  <c r="A847" i="5" s="1"/>
  <c r="A987" i="5" s="1"/>
  <c r="A1127" i="5" s="1"/>
  <c r="A1267" i="5" s="1"/>
  <c r="A1407" i="5" s="1"/>
  <c r="A1547" i="5" s="1"/>
  <c r="A146" i="5"/>
  <c r="A286" i="5" s="1"/>
  <c r="A426" i="5" s="1"/>
  <c r="A566" i="5" s="1"/>
  <c r="A706" i="5" s="1"/>
  <c r="A846" i="5" s="1"/>
  <c r="A986" i="5" s="1"/>
  <c r="A1126" i="5" s="1"/>
  <c r="A1266" i="5" s="1"/>
  <c r="A1406" i="5" s="1"/>
  <c r="A1546" i="5" s="1"/>
  <c r="A145" i="5"/>
  <c r="A285" i="5" s="1"/>
  <c r="A425" i="5" s="1"/>
  <c r="A565" i="5" s="1"/>
  <c r="A705" i="5" s="1"/>
  <c r="A845" i="5" s="1"/>
  <c r="A985" i="5" s="1"/>
  <c r="A1125" i="5" s="1"/>
  <c r="A1265" i="5" s="1"/>
  <c r="A1405" i="5" s="1"/>
  <c r="A1545" i="5" s="1"/>
  <c r="A144" i="5"/>
  <c r="A284" i="5" s="1"/>
  <c r="A424" i="5" s="1"/>
  <c r="A564" i="5" s="1"/>
  <c r="A704" i="5" s="1"/>
  <c r="A844" i="5" s="1"/>
  <c r="A984" i="5" s="1"/>
  <c r="A1124" i="5" s="1"/>
  <c r="A1264" i="5" s="1"/>
  <c r="A1404" i="5" s="1"/>
  <c r="A1544" i="5" s="1"/>
  <c r="A143" i="5"/>
  <c r="A283" i="5" s="1"/>
  <c r="A423" i="5" s="1"/>
  <c r="A563" i="5" s="1"/>
  <c r="A703" i="5" s="1"/>
  <c r="A843" i="5" s="1"/>
  <c r="A983" i="5" s="1"/>
  <c r="A1123" i="5" s="1"/>
  <c r="A1263" i="5" s="1"/>
  <c r="A1403" i="5" s="1"/>
  <c r="A1543" i="5" s="1"/>
  <c r="A142" i="5"/>
  <c r="A282" i="5" s="1"/>
  <c r="A422" i="5" s="1"/>
  <c r="A562" i="5" s="1"/>
  <c r="A702" i="5" s="1"/>
  <c r="A842" i="5" s="1"/>
  <c r="A982" i="5" s="1"/>
  <c r="A1122" i="5" s="1"/>
  <c r="A1262" i="5" s="1"/>
  <c r="A1402" i="5" s="1"/>
  <c r="A1542" i="5" s="1"/>
  <c r="A281" i="4"/>
  <c r="A421" i="4" s="1"/>
  <c r="A561" i="4" s="1"/>
  <c r="A701" i="4" s="1"/>
  <c r="A841" i="4" s="1"/>
  <c r="A981" i="4" s="1"/>
  <c r="A1121" i="4" s="1"/>
  <c r="A1261" i="4" s="1"/>
  <c r="A1401" i="4" s="1"/>
  <c r="A1541" i="4" s="1"/>
  <c r="A1681" i="4" s="1"/>
  <c r="A280" i="4"/>
  <c r="A420" i="4" s="1"/>
  <c r="A560" i="4" s="1"/>
  <c r="A700" i="4" s="1"/>
  <c r="A840" i="4" s="1"/>
  <c r="A980" i="4" s="1"/>
  <c r="A1120" i="4" s="1"/>
  <c r="A1260" i="4" s="1"/>
  <c r="A1400" i="4" s="1"/>
  <c r="A1540" i="4" s="1"/>
  <c r="A1680" i="4" s="1"/>
  <c r="A279" i="4"/>
  <c r="A419" i="4" s="1"/>
  <c r="A559" i="4" s="1"/>
  <c r="A699" i="4" s="1"/>
  <c r="A839" i="4" s="1"/>
  <c r="A979" i="4" s="1"/>
  <c r="A1119" i="4" s="1"/>
  <c r="A1259" i="4" s="1"/>
  <c r="A1399" i="4" s="1"/>
  <c r="A1539" i="4" s="1"/>
  <c r="A1679" i="4" s="1"/>
  <c r="A278" i="4"/>
  <c r="A418" i="4" s="1"/>
  <c r="A558" i="4" s="1"/>
  <c r="A698" i="4" s="1"/>
  <c r="A838" i="4" s="1"/>
  <c r="A978" i="4" s="1"/>
  <c r="A1118" i="4" s="1"/>
  <c r="A1258" i="4" s="1"/>
  <c r="A1398" i="4" s="1"/>
  <c r="A1538" i="4" s="1"/>
  <c r="A1678" i="4" s="1"/>
  <c r="A277" i="4"/>
  <c r="A417" i="4" s="1"/>
  <c r="A557" i="4" s="1"/>
  <c r="A697" i="4" s="1"/>
  <c r="A837" i="4" s="1"/>
  <c r="A977" i="4" s="1"/>
  <c r="A1117" i="4" s="1"/>
  <c r="A1257" i="4" s="1"/>
  <c r="A1397" i="4" s="1"/>
  <c r="A1537" i="4" s="1"/>
  <c r="A1677" i="4" s="1"/>
  <c r="A276" i="4"/>
  <c r="A416" i="4" s="1"/>
  <c r="A556" i="4" s="1"/>
  <c r="A696" i="4" s="1"/>
  <c r="A836" i="4" s="1"/>
  <c r="A976" i="4" s="1"/>
  <c r="A1116" i="4" s="1"/>
  <c r="A1256" i="4" s="1"/>
  <c r="A1396" i="4" s="1"/>
  <c r="A1536" i="4" s="1"/>
  <c r="A1676" i="4" s="1"/>
  <c r="A275" i="4"/>
  <c r="A415" i="4" s="1"/>
  <c r="A555" i="4" s="1"/>
  <c r="A695" i="4" s="1"/>
  <c r="A835" i="4" s="1"/>
  <c r="A975" i="4" s="1"/>
  <c r="A1115" i="4" s="1"/>
  <c r="A1255" i="4" s="1"/>
  <c r="A1395" i="4" s="1"/>
  <c r="A1535" i="4" s="1"/>
  <c r="A1675" i="4" s="1"/>
  <c r="A274" i="4"/>
  <c r="A414" i="4" s="1"/>
  <c r="A554" i="4" s="1"/>
  <c r="A694" i="4" s="1"/>
  <c r="A834" i="4" s="1"/>
  <c r="A974" i="4" s="1"/>
  <c r="A1114" i="4" s="1"/>
  <c r="A1254" i="4" s="1"/>
  <c r="A1394" i="4" s="1"/>
  <c r="A1534" i="4" s="1"/>
  <c r="A1674" i="4" s="1"/>
  <c r="A273" i="4"/>
  <c r="A413" i="4" s="1"/>
  <c r="A553" i="4" s="1"/>
  <c r="A693" i="4" s="1"/>
  <c r="A833" i="4" s="1"/>
  <c r="A973" i="4" s="1"/>
  <c r="A1113" i="4" s="1"/>
  <c r="A1253" i="4" s="1"/>
  <c r="A1393" i="4" s="1"/>
  <c r="A1533" i="4" s="1"/>
  <c r="A1673" i="4" s="1"/>
  <c r="A272" i="4"/>
  <c r="A412" i="4" s="1"/>
  <c r="A552" i="4" s="1"/>
  <c r="A692" i="4" s="1"/>
  <c r="A832" i="4" s="1"/>
  <c r="A972" i="4" s="1"/>
  <c r="A1112" i="4" s="1"/>
  <c r="A1252" i="4" s="1"/>
  <c r="A1392" i="4" s="1"/>
  <c r="A1532" i="4" s="1"/>
  <c r="A1672" i="4" s="1"/>
  <c r="A271" i="4"/>
  <c r="A411" i="4" s="1"/>
  <c r="A551" i="4" s="1"/>
  <c r="A691" i="4" s="1"/>
  <c r="A831" i="4" s="1"/>
  <c r="A971" i="4" s="1"/>
  <c r="A1111" i="4" s="1"/>
  <c r="A1251" i="4" s="1"/>
  <c r="A1391" i="4" s="1"/>
  <c r="A1531" i="4" s="1"/>
  <c r="A1671" i="4" s="1"/>
  <c r="A270" i="4"/>
  <c r="A410" i="4" s="1"/>
  <c r="A550" i="4" s="1"/>
  <c r="A690" i="4" s="1"/>
  <c r="A830" i="4" s="1"/>
  <c r="A970" i="4" s="1"/>
  <c r="A1110" i="4" s="1"/>
  <c r="A1250" i="4" s="1"/>
  <c r="A1390" i="4" s="1"/>
  <c r="A1530" i="4" s="1"/>
  <c r="A1670" i="4" s="1"/>
  <c r="A269" i="4"/>
  <c r="A409" i="4" s="1"/>
  <c r="A549" i="4" s="1"/>
  <c r="A689" i="4" s="1"/>
  <c r="A829" i="4" s="1"/>
  <c r="A969" i="4" s="1"/>
  <c r="A1109" i="4" s="1"/>
  <c r="A1249" i="4" s="1"/>
  <c r="A1389" i="4" s="1"/>
  <c r="A1529" i="4" s="1"/>
  <c r="A1669" i="4" s="1"/>
  <c r="A268" i="4"/>
  <c r="A408" i="4" s="1"/>
  <c r="A548" i="4" s="1"/>
  <c r="A688" i="4" s="1"/>
  <c r="A828" i="4" s="1"/>
  <c r="A968" i="4" s="1"/>
  <c r="A1108" i="4" s="1"/>
  <c r="A1248" i="4" s="1"/>
  <c r="A1388" i="4" s="1"/>
  <c r="A1528" i="4" s="1"/>
  <c r="A1668" i="4" s="1"/>
  <c r="A267" i="4"/>
  <c r="A407" i="4" s="1"/>
  <c r="A547" i="4" s="1"/>
  <c r="A687" i="4" s="1"/>
  <c r="A827" i="4" s="1"/>
  <c r="A967" i="4" s="1"/>
  <c r="A1107" i="4" s="1"/>
  <c r="A1247" i="4" s="1"/>
  <c r="A1387" i="4" s="1"/>
  <c r="A1527" i="4" s="1"/>
  <c r="A1667" i="4" s="1"/>
  <c r="A266" i="4"/>
  <c r="A406" i="4" s="1"/>
  <c r="A546" i="4" s="1"/>
  <c r="A686" i="4" s="1"/>
  <c r="A826" i="4" s="1"/>
  <c r="A966" i="4" s="1"/>
  <c r="A1106" i="4" s="1"/>
  <c r="A1246" i="4" s="1"/>
  <c r="A1386" i="4" s="1"/>
  <c r="A1526" i="4" s="1"/>
  <c r="A1666" i="4" s="1"/>
  <c r="A265" i="4"/>
  <c r="A405" i="4" s="1"/>
  <c r="A545" i="4" s="1"/>
  <c r="A685" i="4" s="1"/>
  <c r="A825" i="4" s="1"/>
  <c r="A965" i="4" s="1"/>
  <c r="A1105" i="4" s="1"/>
  <c r="A1245" i="4" s="1"/>
  <c r="A1385" i="4" s="1"/>
  <c r="A1525" i="4" s="1"/>
  <c r="A1665" i="4" s="1"/>
  <c r="A264" i="4"/>
  <c r="A404" i="4" s="1"/>
  <c r="A544" i="4" s="1"/>
  <c r="A684" i="4" s="1"/>
  <c r="A824" i="4" s="1"/>
  <c r="A964" i="4" s="1"/>
  <c r="A1104" i="4" s="1"/>
  <c r="A1244" i="4" s="1"/>
  <c r="A1384" i="4" s="1"/>
  <c r="A1524" i="4" s="1"/>
  <c r="A1664" i="4" s="1"/>
  <c r="A263" i="4"/>
  <c r="A403" i="4" s="1"/>
  <c r="A543" i="4" s="1"/>
  <c r="A683" i="4" s="1"/>
  <c r="A823" i="4" s="1"/>
  <c r="A963" i="4" s="1"/>
  <c r="A1103" i="4" s="1"/>
  <c r="A1243" i="4" s="1"/>
  <c r="A1383" i="4" s="1"/>
  <c r="A1523" i="4" s="1"/>
  <c r="A1663" i="4" s="1"/>
  <c r="A262" i="4"/>
  <c r="A402" i="4" s="1"/>
  <c r="A542" i="4" s="1"/>
  <c r="A682" i="4" s="1"/>
  <c r="A822" i="4" s="1"/>
  <c r="A962" i="4" s="1"/>
  <c r="A1102" i="4" s="1"/>
  <c r="A1242" i="4" s="1"/>
  <c r="A1382" i="4" s="1"/>
  <c r="A1522" i="4" s="1"/>
  <c r="A1662" i="4" s="1"/>
  <c r="A261" i="4"/>
  <c r="A401" i="4" s="1"/>
  <c r="A541" i="4" s="1"/>
  <c r="A681" i="4" s="1"/>
  <c r="A821" i="4" s="1"/>
  <c r="A961" i="4" s="1"/>
  <c r="A1101" i="4" s="1"/>
  <c r="A1241" i="4" s="1"/>
  <c r="A1381" i="4" s="1"/>
  <c r="A1521" i="4" s="1"/>
  <c r="A1661" i="4" s="1"/>
  <c r="A260" i="4"/>
  <c r="A400" i="4" s="1"/>
  <c r="A540" i="4" s="1"/>
  <c r="A680" i="4" s="1"/>
  <c r="A820" i="4" s="1"/>
  <c r="A960" i="4" s="1"/>
  <c r="A1100" i="4" s="1"/>
  <c r="A1240" i="4" s="1"/>
  <c r="A1380" i="4" s="1"/>
  <c r="A1520" i="4" s="1"/>
  <c r="A1660" i="4" s="1"/>
  <c r="A259" i="4"/>
  <c r="A399" i="4" s="1"/>
  <c r="A539" i="4" s="1"/>
  <c r="A679" i="4" s="1"/>
  <c r="A819" i="4" s="1"/>
  <c r="A959" i="4" s="1"/>
  <c r="A1099" i="4" s="1"/>
  <c r="A1239" i="4" s="1"/>
  <c r="A1379" i="4" s="1"/>
  <c r="A1519" i="4" s="1"/>
  <c r="A1659" i="4" s="1"/>
  <c r="A258" i="4"/>
  <c r="A398" i="4" s="1"/>
  <c r="A538" i="4" s="1"/>
  <c r="A678" i="4" s="1"/>
  <c r="A818" i="4" s="1"/>
  <c r="A958" i="4" s="1"/>
  <c r="A1098" i="4" s="1"/>
  <c r="A1238" i="4" s="1"/>
  <c r="A1378" i="4" s="1"/>
  <c r="A1518" i="4" s="1"/>
  <c r="A1658" i="4" s="1"/>
  <c r="A257" i="4"/>
  <c r="A397" i="4" s="1"/>
  <c r="A537" i="4" s="1"/>
  <c r="A677" i="4" s="1"/>
  <c r="A817" i="4" s="1"/>
  <c r="A957" i="4" s="1"/>
  <c r="A1097" i="4" s="1"/>
  <c r="A1237" i="4" s="1"/>
  <c r="A1377" i="4" s="1"/>
  <c r="A1517" i="4" s="1"/>
  <c r="A1657" i="4" s="1"/>
  <c r="A256" i="4"/>
  <c r="A396" i="4" s="1"/>
  <c r="A536" i="4" s="1"/>
  <c r="A676" i="4" s="1"/>
  <c r="A816" i="4" s="1"/>
  <c r="A956" i="4" s="1"/>
  <c r="A1096" i="4" s="1"/>
  <c r="A1236" i="4" s="1"/>
  <c r="A1376" i="4" s="1"/>
  <c r="A1516" i="4" s="1"/>
  <c r="A1656" i="4" s="1"/>
  <c r="A255" i="4"/>
  <c r="A395" i="4" s="1"/>
  <c r="A535" i="4" s="1"/>
  <c r="A675" i="4" s="1"/>
  <c r="A815" i="4" s="1"/>
  <c r="A955" i="4" s="1"/>
  <c r="A1095" i="4" s="1"/>
  <c r="A1235" i="4" s="1"/>
  <c r="A1375" i="4" s="1"/>
  <c r="A1515" i="4" s="1"/>
  <c r="A1655" i="4" s="1"/>
  <c r="A254" i="4"/>
  <c r="A394" i="4" s="1"/>
  <c r="A534" i="4" s="1"/>
  <c r="A674" i="4" s="1"/>
  <c r="A814" i="4" s="1"/>
  <c r="A954" i="4" s="1"/>
  <c r="A1094" i="4" s="1"/>
  <c r="A1234" i="4" s="1"/>
  <c r="A1374" i="4" s="1"/>
  <c r="A1514" i="4" s="1"/>
  <c r="A1654" i="4" s="1"/>
  <c r="A253" i="4"/>
  <c r="A393" i="4" s="1"/>
  <c r="A533" i="4" s="1"/>
  <c r="A673" i="4" s="1"/>
  <c r="A813" i="4" s="1"/>
  <c r="A953" i="4" s="1"/>
  <c r="A1093" i="4" s="1"/>
  <c r="A1233" i="4" s="1"/>
  <c r="A1373" i="4" s="1"/>
  <c r="A1513" i="4" s="1"/>
  <c r="A1653" i="4" s="1"/>
  <c r="A252" i="4"/>
  <c r="A392" i="4" s="1"/>
  <c r="A532" i="4" s="1"/>
  <c r="A672" i="4" s="1"/>
  <c r="A812" i="4" s="1"/>
  <c r="A952" i="4" s="1"/>
  <c r="A1092" i="4" s="1"/>
  <c r="A1232" i="4" s="1"/>
  <c r="A1372" i="4" s="1"/>
  <c r="A1512" i="4" s="1"/>
  <c r="A1652" i="4" s="1"/>
  <c r="A251" i="4"/>
  <c r="A391" i="4" s="1"/>
  <c r="A531" i="4" s="1"/>
  <c r="A671" i="4" s="1"/>
  <c r="A811" i="4" s="1"/>
  <c r="A951" i="4" s="1"/>
  <c r="A1091" i="4" s="1"/>
  <c r="A1231" i="4" s="1"/>
  <c r="A1371" i="4" s="1"/>
  <c r="A1511" i="4" s="1"/>
  <c r="A1651" i="4" s="1"/>
  <c r="A250" i="4"/>
  <c r="A390" i="4" s="1"/>
  <c r="A530" i="4" s="1"/>
  <c r="A670" i="4" s="1"/>
  <c r="A810" i="4" s="1"/>
  <c r="A950" i="4" s="1"/>
  <c r="A1090" i="4" s="1"/>
  <c r="A1230" i="4" s="1"/>
  <c r="A1370" i="4" s="1"/>
  <c r="A1510" i="4" s="1"/>
  <c r="A1650" i="4" s="1"/>
  <c r="A249" i="4"/>
  <c r="A389" i="4" s="1"/>
  <c r="A529" i="4" s="1"/>
  <c r="A669" i="4" s="1"/>
  <c r="A809" i="4" s="1"/>
  <c r="A949" i="4" s="1"/>
  <c r="A1089" i="4" s="1"/>
  <c r="A1229" i="4" s="1"/>
  <c r="A1369" i="4" s="1"/>
  <c r="A1509" i="4" s="1"/>
  <c r="A1649" i="4" s="1"/>
  <c r="A248" i="4"/>
  <c r="A388" i="4" s="1"/>
  <c r="A528" i="4" s="1"/>
  <c r="A668" i="4" s="1"/>
  <c r="A808" i="4" s="1"/>
  <c r="A948" i="4" s="1"/>
  <c r="A1088" i="4" s="1"/>
  <c r="A1228" i="4" s="1"/>
  <c r="A1368" i="4" s="1"/>
  <c r="A1508" i="4" s="1"/>
  <c r="A1648" i="4" s="1"/>
  <c r="A247" i="4"/>
  <c r="A387" i="4" s="1"/>
  <c r="A527" i="4" s="1"/>
  <c r="A667" i="4" s="1"/>
  <c r="A807" i="4" s="1"/>
  <c r="A947" i="4" s="1"/>
  <c r="A1087" i="4" s="1"/>
  <c r="A1227" i="4" s="1"/>
  <c r="A1367" i="4" s="1"/>
  <c r="A1507" i="4" s="1"/>
  <c r="A1647" i="4" s="1"/>
  <c r="A246" i="4"/>
  <c r="A386" i="4" s="1"/>
  <c r="A526" i="4" s="1"/>
  <c r="A666" i="4" s="1"/>
  <c r="A806" i="4" s="1"/>
  <c r="A946" i="4" s="1"/>
  <c r="A1086" i="4" s="1"/>
  <c r="A1226" i="4" s="1"/>
  <c r="A1366" i="4" s="1"/>
  <c r="A1506" i="4" s="1"/>
  <c r="A1646" i="4" s="1"/>
  <c r="A245" i="4"/>
  <c r="A385" i="4" s="1"/>
  <c r="A525" i="4" s="1"/>
  <c r="A665" i="4" s="1"/>
  <c r="A805" i="4" s="1"/>
  <c r="A945" i="4" s="1"/>
  <c r="A1085" i="4" s="1"/>
  <c r="A1225" i="4" s="1"/>
  <c r="A1365" i="4" s="1"/>
  <c r="A1505" i="4" s="1"/>
  <c r="A1645" i="4" s="1"/>
  <c r="A244" i="4"/>
  <c r="A384" i="4" s="1"/>
  <c r="A524" i="4" s="1"/>
  <c r="A664" i="4" s="1"/>
  <c r="A804" i="4" s="1"/>
  <c r="A944" i="4" s="1"/>
  <c r="A1084" i="4" s="1"/>
  <c r="A1224" i="4" s="1"/>
  <c r="A1364" i="4" s="1"/>
  <c r="A1504" i="4" s="1"/>
  <c r="A1644" i="4" s="1"/>
  <c r="A243" i="4"/>
  <c r="A383" i="4" s="1"/>
  <c r="A523" i="4" s="1"/>
  <c r="A663" i="4" s="1"/>
  <c r="A803" i="4" s="1"/>
  <c r="A943" i="4" s="1"/>
  <c r="A1083" i="4" s="1"/>
  <c r="A1223" i="4" s="1"/>
  <c r="A1363" i="4" s="1"/>
  <c r="A1503" i="4" s="1"/>
  <c r="A1643" i="4" s="1"/>
  <c r="A242" i="4"/>
  <c r="A382" i="4" s="1"/>
  <c r="A522" i="4" s="1"/>
  <c r="A662" i="4" s="1"/>
  <c r="A802" i="4" s="1"/>
  <c r="A942" i="4" s="1"/>
  <c r="A1082" i="4" s="1"/>
  <c r="A1222" i="4" s="1"/>
  <c r="A1362" i="4" s="1"/>
  <c r="A1502" i="4" s="1"/>
  <c r="A1642" i="4" s="1"/>
  <c r="A241" i="4"/>
  <c r="A381" i="4" s="1"/>
  <c r="A521" i="4" s="1"/>
  <c r="A661" i="4" s="1"/>
  <c r="A801" i="4" s="1"/>
  <c r="A941" i="4" s="1"/>
  <c r="A1081" i="4" s="1"/>
  <c r="A1221" i="4" s="1"/>
  <c r="A1361" i="4" s="1"/>
  <c r="A1501" i="4" s="1"/>
  <c r="A1641" i="4" s="1"/>
  <c r="A240" i="4"/>
  <c r="A380" i="4" s="1"/>
  <c r="A520" i="4" s="1"/>
  <c r="A660" i="4" s="1"/>
  <c r="A800" i="4" s="1"/>
  <c r="A940" i="4" s="1"/>
  <c r="A1080" i="4" s="1"/>
  <c r="A1220" i="4" s="1"/>
  <c r="A1360" i="4" s="1"/>
  <c r="A1500" i="4" s="1"/>
  <c r="A1640" i="4" s="1"/>
  <c r="A239" i="4"/>
  <c r="A379" i="4" s="1"/>
  <c r="A519" i="4" s="1"/>
  <c r="A659" i="4" s="1"/>
  <c r="A799" i="4" s="1"/>
  <c r="A939" i="4" s="1"/>
  <c r="A1079" i="4" s="1"/>
  <c r="A1219" i="4" s="1"/>
  <c r="A1359" i="4" s="1"/>
  <c r="A1499" i="4" s="1"/>
  <c r="A1639" i="4" s="1"/>
  <c r="A238" i="4"/>
  <c r="A378" i="4" s="1"/>
  <c r="A518" i="4" s="1"/>
  <c r="A658" i="4" s="1"/>
  <c r="A798" i="4" s="1"/>
  <c r="A938" i="4" s="1"/>
  <c r="A1078" i="4" s="1"/>
  <c r="A1218" i="4" s="1"/>
  <c r="A1358" i="4" s="1"/>
  <c r="A1498" i="4" s="1"/>
  <c r="A1638" i="4" s="1"/>
  <c r="A237" i="4"/>
  <c r="A377" i="4" s="1"/>
  <c r="A517" i="4" s="1"/>
  <c r="A657" i="4" s="1"/>
  <c r="A797" i="4" s="1"/>
  <c r="A937" i="4" s="1"/>
  <c r="A1077" i="4" s="1"/>
  <c r="A1217" i="4" s="1"/>
  <c r="A1357" i="4" s="1"/>
  <c r="A1497" i="4" s="1"/>
  <c r="A1637" i="4" s="1"/>
  <c r="A236" i="4"/>
  <c r="A376" i="4" s="1"/>
  <c r="A516" i="4" s="1"/>
  <c r="A656" i="4" s="1"/>
  <c r="A796" i="4" s="1"/>
  <c r="A936" i="4" s="1"/>
  <c r="A1076" i="4" s="1"/>
  <c r="A1216" i="4" s="1"/>
  <c r="A1356" i="4" s="1"/>
  <c r="A1496" i="4" s="1"/>
  <c r="A1636" i="4" s="1"/>
  <c r="A235" i="4"/>
  <c r="A375" i="4" s="1"/>
  <c r="A515" i="4" s="1"/>
  <c r="A655" i="4" s="1"/>
  <c r="A795" i="4" s="1"/>
  <c r="A935" i="4" s="1"/>
  <c r="A1075" i="4" s="1"/>
  <c r="A1215" i="4" s="1"/>
  <c r="A1355" i="4" s="1"/>
  <c r="A1495" i="4" s="1"/>
  <c r="A1635" i="4" s="1"/>
  <c r="A234" i="4"/>
  <c r="A374" i="4" s="1"/>
  <c r="A514" i="4" s="1"/>
  <c r="A654" i="4" s="1"/>
  <c r="A794" i="4" s="1"/>
  <c r="A934" i="4" s="1"/>
  <c r="A1074" i="4" s="1"/>
  <c r="A1214" i="4" s="1"/>
  <c r="A1354" i="4" s="1"/>
  <c r="A1494" i="4" s="1"/>
  <c r="A1634" i="4" s="1"/>
  <c r="A233" i="4"/>
  <c r="A373" i="4" s="1"/>
  <c r="A513" i="4" s="1"/>
  <c r="A653" i="4" s="1"/>
  <c r="A793" i="4" s="1"/>
  <c r="A933" i="4" s="1"/>
  <c r="A1073" i="4" s="1"/>
  <c r="A1213" i="4" s="1"/>
  <c r="A1353" i="4" s="1"/>
  <c r="A1493" i="4" s="1"/>
  <c r="A1633" i="4" s="1"/>
  <c r="A232" i="4"/>
  <c r="A372" i="4" s="1"/>
  <c r="A512" i="4" s="1"/>
  <c r="A652" i="4" s="1"/>
  <c r="A792" i="4" s="1"/>
  <c r="A932" i="4" s="1"/>
  <c r="A1072" i="4" s="1"/>
  <c r="A1212" i="4" s="1"/>
  <c r="A1352" i="4" s="1"/>
  <c r="A1492" i="4" s="1"/>
  <c r="A1632" i="4" s="1"/>
  <c r="A231" i="4"/>
  <c r="A371" i="4" s="1"/>
  <c r="A511" i="4" s="1"/>
  <c r="A651" i="4" s="1"/>
  <c r="A791" i="4" s="1"/>
  <c r="A931" i="4" s="1"/>
  <c r="A1071" i="4" s="1"/>
  <c r="A1211" i="4" s="1"/>
  <c r="A1351" i="4" s="1"/>
  <c r="A1491" i="4" s="1"/>
  <c r="A1631" i="4" s="1"/>
  <c r="A230" i="4"/>
  <c r="A370" i="4" s="1"/>
  <c r="A510" i="4" s="1"/>
  <c r="A650" i="4" s="1"/>
  <c r="A790" i="4" s="1"/>
  <c r="A930" i="4" s="1"/>
  <c r="A1070" i="4" s="1"/>
  <c r="A1210" i="4" s="1"/>
  <c r="A1350" i="4" s="1"/>
  <c r="A1490" i="4" s="1"/>
  <c r="A1630" i="4" s="1"/>
  <c r="A229" i="4"/>
  <c r="A369" i="4" s="1"/>
  <c r="A509" i="4" s="1"/>
  <c r="A649" i="4" s="1"/>
  <c r="A789" i="4" s="1"/>
  <c r="A929" i="4" s="1"/>
  <c r="A1069" i="4" s="1"/>
  <c r="A1209" i="4" s="1"/>
  <c r="A1349" i="4" s="1"/>
  <c r="A1489" i="4" s="1"/>
  <c r="A1629" i="4" s="1"/>
  <c r="A228" i="4"/>
  <c r="A368" i="4" s="1"/>
  <c r="A508" i="4" s="1"/>
  <c r="A648" i="4" s="1"/>
  <c r="A788" i="4" s="1"/>
  <c r="A928" i="4" s="1"/>
  <c r="A1068" i="4" s="1"/>
  <c r="A1208" i="4" s="1"/>
  <c r="A1348" i="4" s="1"/>
  <c r="A1488" i="4" s="1"/>
  <c r="A1628" i="4" s="1"/>
  <c r="A227" i="4"/>
  <c r="A367" i="4" s="1"/>
  <c r="A507" i="4" s="1"/>
  <c r="A647" i="4" s="1"/>
  <c r="A787" i="4" s="1"/>
  <c r="A927" i="4" s="1"/>
  <c r="A1067" i="4" s="1"/>
  <c r="A1207" i="4" s="1"/>
  <c r="A1347" i="4" s="1"/>
  <c r="A1487" i="4" s="1"/>
  <c r="A1627" i="4" s="1"/>
  <c r="A226" i="4"/>
  <c r="A366" i="4" s="1"/>
  <c r="A506" i="4" s="1"/>
  <c r="A646" i="4" s="1"/>
  <c r="A786" i="4" s="1"/>
  <c r="A926" i="4" s="1"/>
  <c r="A1066" i="4" s="1"/>
  <c r="A1206" i="4" s="1"/>
  <c r="A1346" i="4" s="1"/>
  <c r="A1486" i="4" s="1"/>
  <c r="A1626" i="4" s="1"/>
  <c r="A225" i="4"/>
  <c r="A365" i="4" s="1"/>
  <c r="A505" i="4" s="1"/>
  <c r="A645" i="4" s="1"/>
  <c r="A785" i="4" s="1"/>
  <c r="A925" i="4" s="1"/>
  <c r="A1065" i="4" s="1"/>
  <c r="A1205" i="4" s="1"/>
  <c r="A1345" i="4" s="1"/>
  <c r="A1485" i="4" s="1"/>
  <c r="A1625" i="4" s="1"/>
  <c r="A224" i="4"/>
  <c r="A364" i="4" s="1"/>
  <c r="A504" i="4" s="1"/>
  <c r="A644" i="4" s="1"/>
  <c r="A784" i="4" s="1"/>
  <c r="A924" i="4" s="1"/>
  <c r="A1064" i="4" s="1"/>
  <c r="A1204" i="4" s="1"/>
  <c r="A1344" i="4" s="1"/>
  <c r="A1484" i="4" s="1"/>
  <c r="A1624" i="4" s="1"/>
  <c r="A223" i="4"/>
  <c r="A363" i="4" s="1"/>
  <c r="A503" i="4" s="1"/>
  <c r="A643" i="4" s="1"/>
  <c r="A783" i="4" s="1"/>
  <c r="A923" i="4" s="1"/>
  <c r="A1063" i="4" s="1"/>
  <c r="A1203" i="4" s="1"/>
  <c r="A1343" i="4" s="1"/>
  <c r="A1483" i="4" s="1"/>
  <c r="A1623" i="4" s="1"/>
  <c r="A222" i="4"/>
  <c r="A362" i="4" s="1"/>
  <c r="A502" i="4" s="1"/>
  <c r="A642" i="4" s="1"/>
  <c r="A782" i="4" s="1"/>
  <c r="A922" i="4" s="1"/>
  <c r="A1062" i="4" s="1"/>
  <c r="A1202" i="4" s="1"/>
  <c r="A1342" i="4" s="1"/>
  <c r="A1482" i="4" s="1"/>
  <c r="A1622" i="4" s="1"/>
  <c r="A221" i="4"/>
  <c r="A361" i="4" s="1"/>
  <c r="A501" i="4" s="1"/>
  <c r="A641" i="4" s="1"/>
  <c r="A781" i="4" s="1"/>
  <c r="A921" i="4" s="1"/>
  <c r="A1061" i="4" s="1"/>
  <c r="A1201" i="4" s="1"/>
  <c r="A1341" i="4" s="1"/>
  <c r="A1481" i="4" s="1"/>
  <c r="A1621" i="4" s="1"/>
  <c r="A220" i="4"/>
  <c r="A360" i="4" s="1"/>
  <c r="A500" i="4" s="1"/>
  <c r="A640" i="4" s="1"/>
  <c r="A780" i="4" s="1"/>
  <c r="A920" i="4" s="1"/>
  <c r="A1060" i="4" s="1"/>
  <c r="A1200" i="4" s="1"/>
  <c r="A1340" i="4" s="1"/>
  <c r="A1480" i="4" s="1"/>
  <c r="A1620" i="4" s="1"/>
  <c r="A219" i="4"/>
  <c r="A359" i="4" s="1"/>
  <c r="A499" i="4" s="1"/>
  <c r="A639" i="4" s="1"/>
  <c r="A779" i="4" s="1"/>
  <c r="A919" i="4" s="1"/>
  <c r="A1059" i="4" s="1"/>
  <c r="A1199" i="4" s="1"/>
  <c r="A1339" i="4" s="1"/>
  <c r="A1479" i="4" s="1"/>
  <c r="A1619" i="4" s="1"/>
  <c r="A218" i="4"/>
  <c r="A358" i="4" s="1"/>
  <c r="A498" i="4" s="1"/>
  <c r="A638" i="4" s="1"/>
  <c r="A778" i="4" s="1"/>
  <c r="A918" i="4" s="1"/>
  <c r="A1058" i="4" s="1"/>
  <c r="A1198" i="4" s="1"/>
  <c r="A1338" i="4" s="1"/>
  <c r="A1478" i="4" s="1"/>
  <c r="A1618" i="4" s="1"/>
  <c r="A217" i="4"/>
  <c r="A357" i="4" s="1"/>
  <c r="A497" i="4" s="1"/>
  <c r="A637" i="4" s="1"/>
  <c r="A777" i="4" s="1"/>
  <c r="A917" i="4" s="1"/>
  <c r="A1057" i="4" s="1"/>
  <c r="A1197" i="4" s="1"/>
  <c r="A1337" i="4" s="1"/>
  <c r="A1477" i="4" s="1"/>
  <c r="A1617" i="4" s="1"/>
  <c r="A216" i="4"/>
  <c r="A356" i="4" s="1"/>
  <c r="A496" i="4" s="1"/>
  <c r="A636" i="4" s="1"/>
  <c r="A776" i="4" s="1"/>
  <c r="A916" i="4" s="1"/>
  <c r="A1056" i="4" s="1"/>
  <c r="A1196" i="4" s="1"/>
  <c r="A1336" i="4" s="1"/>
  <c r="A1476" i="4" s="1"/>
  <c r="A1616" i="4" s="1"/>
  <c r="A215" i="4"/>
  <c r="A355" i="4" s="1"/>
  <c r="A495" i="4" s="1"/>
  <c r="A635" i="4" s="1"/>
  <c r="A775" i="4" s="1"/>
  <c r="A915" i="4" s="1"/>
  <c r="A1055" i="4" s="1"/>
  <c r="A1195" i="4" s="1"/>
  <c r="A1335" i="4" s="1"/>
  <c r="A1475" i="4" s="1"/>
  <c r="A1615" i="4" s="1"/>
  <c r="A214" i="4"/>
  <c r="A354" i="4" s="1"/>
  <c r="A494" i="4" s="1"/>
  <c r="A634" i="4" s="1"/>
  <c r="A774" i="4" s="1"/>
  <c r="A914" i="4" s="1"/>
  <c r="A1054" i="4" s="1"/>
  <c r="A1194" i="4" s="1"/>
  <c r="A1334" i="4" s="1"/>
  <c r="A1474" i="4" s="1"/>
  <c r="A1614" i="4" s="1"/>
  <c r="A213" i="4"/>
  <c r="A353" i="4" s="1"/>
  <c r="A493" i="4" s="1"/>
  <c r="A633" i="4" s="1"/>
  <c r="A773" i="4" s="1"/>
  <c r="A913" i="4" s="1"/>
  <c r="A1053" i="4" s="1"/>
  <c r="A1193" i="4" s="1"/>
  <c r="A1333" i="4" s="1"/>
  <c r="A1473" i="4" s="1"/>
  <c r="A1613" i="4" s="1"/>
  <c r="A212" i="4"/>
  <c r="A352" i="4" s="1"/>
  <c r="A492" i="4" s="1"/>
  <c r="A632" i="4" s="1"/>
  <c r="A772" i="4" s="1"/>
  <c r="A912" i="4" s="1"/>
  <c r="A1052" i="4" s="1"/>
  <c r="A1192" i="4" s="1"/>
  <c r="A1332" i="4" s="1"/>
  <c r="A1472" i="4" s="1"/>
  <c r="A1612" i="4" s="1"/>
  <c r="A211" i="4"/>
  <c r="A351" i="4" s="1"/>
  <c r="A491" i="4" s="1"/>
  <c r="A631" i="4" s="1"/>
  <c r="A771" i="4" s="1"/>
  <c r="A911" i="4" s="1"/>
  <c r="A1051" i="4" s="1"/>
  <c r="A1191" i="4" s="1"/>
  <c r="A1331" i="4" s="1"/>
  <c r="A1471" i="4" s="1"/>
  <c r="A1611" i="4" s="1"/>
  <c r="A210" i="4"/>
  <c r="A350" i="4" s="1"/>
  <c r="A490" i="4" s="1"/>
  <c r="A630" i="4" s="1"/>
  <c r="A770" i="4" s="1"/>
  <c r="A910" i="4" s="1"/>
  <c r="A1050" i="4" s="1"/>
  <c r="A1190" i="4" s="1"/>
  <c r="A1330" i="4" s="1"/>
  <c r="A1470" i="4" s="1"/>
  <c r="A1610" i="4" s="1"/>
  <c r="A209" i="4"/>
  <c r="A349" i="4" s="1"/>
  <c r="A489" i="4" s="1"/>
  <c r="A629" i="4" s="1"/>
  <c r="A769" i="4" s="1"/>
  <c r="A909" i="4" s="1"/>
  <c r="A1049" i="4" s="1"/>
  <c r="A1189" i="4" s="1"/>
  <c r="A1329" i="4" s="1"/>
  <c r="A1469" i="4" s="1"/>
  <c r="A1609" i="4" s="1"/>
  <c r="A208" i="4"/>
  <c r="A348" i="4" s="1"/>
  <c r="A488" i="4" s="1"/>
  <c r="A628" i="4" s="1"/>
  <c r="A768" i="4" s="1"/>
  <c r="A908" i="4" s="1"/>
  <c r="A1048" i="4" s="1"/>
  <c r="A1188" i="4" s="1"/>
  <c r="A1328" i="4" s="1"/>
  <c r="A1468" i="4" s="1"/>
  <c r="A1608" i="4" s="1"/>
  <c r="A207" i="4"/>
  <c r="A347" i="4" s="1"/>
  <c r="A487" i="4" s="1"/>
  <c r="A627" i="4" s="1"/>
  <c r="A767" i="4" s="1"/>
  <c r="A907" i="4" s="1"/>
  <c r="A1047" i="4" s="1"/>
  <c r="A1187" i="4" s="1"/>
  <c r="A1327" i="4" s="1"/>
  <c r="A1467" i="4" s="1"/>
  <c r="A1607" i="4" s="1"/>
  <c r="A206" i="4"/>
  <c r="A346" i="4" s="1"/>
  <c r="A486" i="4" s="1"/>
  <c r="A626" i="4" s="1"/>
  <c r="A766" i="4" s="1"/>
  <c r="A906" i="4" s="1"/>
  <c r="A1046" i="4" s="1"/>
  <c r="A1186" i="4" s="1"/>
  <c r="A1326" i="4" s="1"/>
  <c r="A1466" i="4" s="1"/>
  <c r="A1606" i="4" s="1"/>
  <c r="A205" i="4"/>
  <c r="A345" i="4" s="1"/>
  <c r="A485" i="4" s="1"/>
  <c r="A625" i="4" s="1"/>
  <c r="A765" i="4" s="1"/>
  <c r="A905" i="4" s="1"/>
  <c r="A1045" i="4" s="1"/>
  <c r="A1185" i="4" s="1"/>
  <c r="A1325" i="4" s="1"/>
  <c r="A1465" i="4" s="1"/>
  <c r="A1605" i="4" s="1"/>
  <c r="A204" i="4"/>
  <c r="A344" i="4" s="1"/>
  <c r="A484" i="4" s="1"/>
  <c r="A624" i="4" s="1"/>
  <c r="A764" i="4" s="1"/>
  <c r="A904" i="4" s="1"/>
  <c r="A1044" i="4" s="1"/>
  <c r="A1184" i="4" s="1"/>
  <c r="A1324" i="4" s="1"/>
  <c r="A1464" i="4" s="1"/>
  <c r="A1604" i="4" s="1"/>
  <c r="A203" i="4"/>
  <c r="A343" i="4" s="1"/>
  <c r="A483" i="4" s="1"/>
  <c r="A623" i="4" s="1"/>
  <c r="A763" i="4" s="1"/>
  <c r="A903" i="4" s="1"/>
  <c r="A1043" i="4" s="1"/>
  <c r="A1183" i="4" s="1"/>
  <c r="A1323" i="4" s="1"/>
  <c r="A1463" i="4" s="1"/>
  <c r="A1603" i="4" s="1"/>
  <c r="A202" i="4"/>
  <c r="A342" i="4" s="1"/>
  <c r="A482" i="4" s="1"/>
  <c r="A622" i="4" s="1"/>
  <c r="A762" i="4" s="1"/>
  <c r="A902" i="4" s="1"/>
  <c r="A1042" i="4" s="1"/>
  <c r="A1182" i="4" s="1"/>
  <c r="A1322" i="4" s="1"/>
  <c r="A1462" i="4" s="1"/>
  <c r="A1602" i="4" s="1"/>
  <c r="A201" i="4"/>
  <c r="A341" i="4" s="1"/>
  <c r="A481" i="4" s="1"/>
  <c r="A621" i="4" s="1"/>
  <c r="A761" i="4" s="1"/>
  <c r="A901" i="4" s="1"/>
  <c r="A1041" i="4" s="1"/>
  <c r="A1181" i="4" s="1"/>
  <c r="A1321" i="4" s="1"/>
  <c r="A1461" i="4" s="1"/>
  <c r="A1601" i="4" s="1"/>
  <c r="A200" i="4"/>
  <c r="A340" i="4" s="1"/>
  <c r="A480" i="4" s="1"/>
  <c r="A620" i="4" s="1"/>
  <c r="A760" i="4" s="1"/>
  <c r="A900" i="4" s="1"/>
  <c r="A1040" i="4" s="1"/>
  <c r="A1180" i="4" s="1"/>
  <c r="A1320" i="4" s="1"/>
  <c r="A1460" i="4" s="1"/>
  <c r="A1600" i="4" s="1"/>
  <c r="A199" i="4"/>
  <c r="A339" i="4" s="1"/>
  <c r="A479" i="4" s="1"/>
  <c r="A619" i="4" s="1"/>
  <c r="A759" i="4" s="1"/>
  <c r="A899" i="4" s="1"/>
  <c r="A1039" i="4" s="1"/>
  <c r="A1179" i="4" s="1"/>
  <c r="A1319" i="4" s="1"/>
  <c r="A1459" i="4" s="1"/>
  <c r="A1599" i="4" s="1"/>
  <c r="A198" i="4"/>
  <c r="A338" i="4" s="1"/>
  <c r="A478" i="4" s="1"/>
  <c r="A618" i="4" s="1"/>
  <c r="A758" i="4" s="1"/>
  <c r="A898" i="4" s="1"/>
  <c r="A1038" i="4" s="1"/>
  <c r="A1178" i="4" s="1"/>
  <c r="A1318" i="4" s="1"/>
  <c r="A1458" i="4" s="1"/>
  <c r="A1598" i="4" s="1"/>
  <c r="A197" i="4"/>
  <c r="A337" i="4" s="1"/>
  <c r="A477" i="4" s="1"/>
  <c r="A617" i="4" s="1"/>
  <c r="A757" i="4" s="1"/>
  <c r="A897" i="4" s="1"/>
  <c r="A1037" i="4" s="1"/>
  <c r="A1177" i="4" s="1"/>
  <c r="A1317" i="4" s="1"/>
  <c r="A1457" i="4" s="1"/>
  <c r="A1597" i="4" s="1"/>
  <c r="A196" i="4"/>
  <c r="A336" i="4" s="1"/>
  <c r="A476" i="4" s="1"/>
  <c r="A616" i="4" s="1"/>
  <c r="A756" i="4" s="1"/>
  <c r="A896" i="4" s="1"/>
  <c r="A1036" i="4" s="1"/>
  <c r="A1176" i="4" s="1"/>
  <c r="A1316" i="4" s="1"/>
  <c r="A1456" i="4" s="1"/>
  <c r="A1596" i="4" s="1"/>
  <c r="A195" i="4"/>
  <c r="A335" i="4" s="1"/>
  <c r="A475" i="4" s="1"/>
  <c r="A615" i="4" s="1"/>
  <c r="A755" i="4" s="1"/>
  <c r="A895" i="4" s="1"/>
  <c r="A1035" i="4" s="1"/>
  <c r="A1175" i="4" s="1"/>
  <c r="A1315" i="4" s="1"/>
  <c r="A1455" i="4" s="1"/>
  <c r="A1595" i="4" s="1"/>
  <c r="A194" i="4"/>
  <c r="A334" i="4" s="1"/>
  <c r="A474" i="4" s="1"/>
  <c r="A614" i="4" s="1"/>
  <c r="A754" i="4" s="1"/>
  <c r="A894" i="4" s="1"/>
  <c r="A1034" i="4" s="1"/>
  <c r="A1174" i="4" s="1"/>
  <c r="A1314" i="4" s="1"/>
  <c r="A1454" i="4" s="1"/>
  <c r="A1594" i="4" s="1"/>
  <c r="A193" i="4"/>
  <c r="A333" i="4" s="1"/>
  <c r="A473" i="4" s="1"/>
  <c r="A613" i="4" s="1"/>
  <c r="A753" i="4" s="1"/>
  <c r="A893" i="4" s="1"/>
  <c r="A1033" i="4" s="1"/>
  <c r="A1173" i="4" s="1"/>
  <c r="A1313" i="4" s="1"/>
  <c r="A1453" i="4" s="1"/>
  <c r="A1593" i="4" s="1"/>
  <c r="A192" i="4"/>
  <c r="A332" i="4" s="1"/>
  <c r="A472" i="4" s="1"/>
  <c r="A612" i="4" s="1"/>
  <c r="A752" i="4" s="1"/>
  <c r="A892" i="4" s="1"/>
  <c r="A1032" i="4" s="1"/>
  <c r="A1172" i="4" s="1"/>
  <c r="A1312" i="4" s="1"/>
  <c r="A1452" i="4" s="1"/>
  <c r="A1592" i="4" s="1"/>
  <c r="A191" i="4"/>
  <c r="A331" i="4" s="1"/>
  <c r="A471" i="4" s="1"/>
  <c r="A611" i="4" s="1"/>
  <c r="A751" i="4" s="1"/>
  <c r="A891" i="4" s="1"/>
  <c r="A1031" i="4" s="1"/>
  <c r="A1171" i="4" s="1"/>
  <c r="A1311" i="4" s="1"/>
  <c r="A1451" i="4" s="1"/>
  <c r="A1591" i="4" s="1"/>
  <c r="A190" i="4"/>
  <c r="A330" i="4" s="1"/>
  <c r="A470" i="4" s="1"/>
  <c r="A610" i="4" s="1"/>
  <c r="A750" i="4" s="1"/>
  <c r="A890" i="4" s="1"/>
  <c r="A1030" i="4" s="1"/>
  <c r="A1170" i="4" s="1"/>
  <c r="A1310" i="4" s="1"/>
  <c r="A1450" i="4" s="1"/>
  <c r="A1590" i="4" s="1"/>
  <c r="A189" i="4"/>
  <c r="A329" i="4" s="1"/>
  <c r="A469" i="4" s="1"/>
  <c r="A609" i="4" s="1"/>
  <c r="A749" i="4" s="1"/>
  <c r="A889" i="4" s="1"/>
  <c r="A1029" i="4" s="1"/>
  <c r="A1169" i="4" s="1"/>
  <c r="A1309" i="4" s="1"/>
  <c r="A1449" i="4" s="1"/>
  <c r="A1589" i="4" s="1"/>
  <c r="A188" i="4"/>
  <c r="A328" i="4" s="1"/>
  <c r="A468" i="4" s="1"/>
  <c r="A608" i="4" s="1"/>
  <c r="A748" i="4" s="1"/>
  <c r="A888" i="4" s="1"/>
  <c r="A1028" i="4" s="1"/>
  <c r="A1168" i="4" s="1"/>
  <c r="A1308" i="4" s="1"/>
  <c r="A1448" i="4" s="1"/>
  <c r="A1588" i="4" s="1"/>
  <c r="A187" i="4"/>
  <c r="A327" i="4" s="1"/>
  <c r="A467" i="4" s="1"/>
  <c r="A607" i="4" s="1"/>
  <c r="A747" i="4" s="1"/>
  <c r="A887" i="4" s="1"/>
  <c r="A1027" i="4" s="1"/>
  <c r="A1167" i="4" s="1"/>
  <c r="A1307" i="4" s="1"/>
  <c r="A1447" i="4" s="1"/>
  <c r="A1587" i="4" s="1"/>
  <c r="A186" i="4"/>
  <c r="A326" i="4" s="1"/>
  <c r="A466" i="4" s="1"/>
  <c r="A606" i="4" s="1"/>
  <c r="A746" i="4" s="1"/>
  <c r="A886" i="4" s="1"/>
  <c r="A1026" i="4" s="1"/>
  <c r="A1166" i="4" s="1"/>
  <c r="A1306" i="4" s="1"/>
  <c r="A1446" i="4" s="1"/>
  <c r="A1586" i="4" s="1"/>
  <c r="A185" i="4"/>
  <c r="A325" i="4" s="1"/>
  <c r="A465" i="4" s="1"/>
  <c r="A605" i="4" s="1"/>
  <c r="A745" i="4" s="1"/>
  <c r="A885" i="4" s="1"/>
  <c r="A1025" i="4" s="1"/>
  <c r="A1165" i="4" s="1"/>
  <c r="A1305" i="4" s="1"/>
  <c r="A1445" i="4" s="1"/>
  <c r="A1585" i="4" s="1"/>
  <c r="A184" i="4"/>
  <c r="A324" i="4" s="1"/>
  <c r="A464" i="4" s="1"/>
  <c r="A604" i="4" s="1"/>
  <c r="A744" i="4" s="1"/>
  <c r="A884" i="4" s="1"/>
  <c r="A1024" i="4" s="1"/>
  <c r="A1164" i="4" s="1"/>
  <c r="A1304" i="4" s="1"/>
  <c r="A1444" i="4" s="1"/>
  <c r="A1584" i="4" s="1"/>
  <c r="A183" i="4"/>
  <c r="A323" i="4" s="1"/>
  <c r="A463" i="4" s="1"/>
  <c r="A603" i="4" s="1"/>
  <c r="A743" i="4" s="1"/>
  <c r="A883" i="4" s="1"/>
  <c r="A1023" i="4" s="1"/>
  <c r="A1163" i="4" s="1"/>
  <c r="A1303" i="4" s="1"/>
  <c r="A1443" i="4" s="1"/>
  <c r="A1583" i="4" s="1"/>
  <c r="A182" i="4"/>
  <c r="A322" i="4" s="1"/>
  <c r="A462" i="4" s="1"/>
  <c r="A602" i="4" s="1"/>
  <c r="A742" i="4" s="1"/>
  <c r="A882" i="4" s="1"/>
  <c r="A1022" i="4" s="1"/>
  <c r="A1162" i="4" s="1"/>
  <c r="A1302" i="4" s="1"/>
  <c r="A1442" i="4" s="1"/>
  <c r="A1582" i="4" s="1"/>
  <c r="A181" i="4"/>
  <c r="A321" i="4" s="1"/>
  <c r="A461" i="4" s="1"/>
  <c r="A601" i="4" s="1"/>
  <c r="A741" i="4" s="1"/>
  <c r="A881" i="4" s="1"/>
  <c r="A1021" i="4" s="1"/>
  <c r="A1161" i="4" s="1"/>
  <c r="A1301" i="4" s="1"/>
  <c r="A1441" i="4" s="1"/>
  <c r="A1581" i="4" s="1"/>
  <c r="A180" i="4"/>
  <c r="A320" i="4" s="1"/>
  <c r="A460" i="4" s="1"/>
  <c r="A600" i="4" s="1"/>
  <c r="A740" i="4" s="1"/>
  <c r="A880" i="4" s="1"/>
  <c r="A1020" i="4" s="1"/>
  <c r="A1160" i="4" s="1"/>
  <c r="A1300" i="4" s="1"/>
  <c r="A1440" i="4" s="1"/>
  <c r="A1580" i="4" s="1"/>
  <c r="A179" i="4"/>
  <c r="A319" i="4" s="1"/>
  <c r="A459" i="4" s="1"/>
  <c r="A599" i="4" s="1"/>
  <c r="A739" i="4" s="1"/>
  <c r="A879" i="4" s="1"/>
  <c r="A1019" i="4" s="1"/>
  <c r="A1159" i="4" s="1"/>
  <c r="A1299" i="4" s="1"/>
  <c r="A1439" i="4" s="1"/>
  <c r="A1579" i="4" s="1"/>
  <c r="A178" i="4"/>
  <c r="A318" i="4" s="1"/>
  <c r="A458" i="4" s="1"/>
  <c r="A598" i="4" s="1"/>
  <c r="A738" i="4" s="1"/>
  <c r="A878" i="4" s="1"/>
  <c r="A1018" i="4" s="1"/>
  <c r="A1158" i="4" s="1"/>
  <c r="A1298" i="4" s="1"/>
  <c r="A1438" i="4" s="1"/>
  <c r="A1578" i="4" s="1"/>
  <c r="A177" i="4"/>
  <c r="A317" i="4" s="1"/>
  <c r="A457" i="4" s="1"/>
  <c r="A597" i="4" s="1"/>
  <c r="A737" i="4" s="1"/>
  <c r="A877" i="4" s="1"/>
  <c r="A1017" i="4" s="1"/>
  <c r="A1157" i="4" s="1"/>
  <c r="A1297" i="4" s="1"/>
  <c r="A1437" i="4" s="1"/>
  <c r="A1577" i="4" s="1"/>
  <c r="A176" i="4"/>
  <c r="A316" i="4" s="1"/>
  <c r="A456" i="4" s="1"/>
  <c r="A596" i="4" s="1"/>
  <c r="A736" i="4" s="1"/>
  <c r="A876" i="4" s="1"/>
  <c r="A1016" i="4" s="1"/>
  <c r="A1156" i="4" s="1"/>
  <c r="A1296" i="4" s="1"/>
  <c r="A1436" i="4" s="1"/>
  <c r="A1576" i="4" s="1"/>
  <c r="A175" i="4"/>
  <c r="A315" i="4" s="1"/>
  <c r="A455" i="4" s="1"/>
  <c r="A595" i="4" s="1"/>
  <c r="A735" i="4" s="1"/>
  <c r="A875" i="4" s="1"/>
  <c r="A1015" i="4" s="1"/>
  <c r="A1155" i="4" s="1"/>
  <c r="A1295" i="4" s="1"/>
  <c r="A1435" i="4" s="1"/>
  <c r="A1575" i="4" s="1"/>
  <c r="A174" i="4"/>
  <c r="A314" i="4" s="1"/>
  <c r="A454" i="4" s="1"/>
  <c r="A594" i="4" s="1"/>
  <c r="A734" i="4" s="1"/>
  <c r="A874" i="4" s="1"/>
  <c r="A1014" i="4" s="1"/>
  <c r="A1154" i="4" s="1"/>
  <c r="A1294" i="4" s="1"/>
  <c r="A1434" i="4" s="1"/>
  <c r="A1574" i="4" s="1"/>
  <c r="A173" i="4"/>
  <c r="A313" i="4" s="1"/>
  <c r="A453" i="4" s="1"/>
  <c r="A593" i="4" s="1"/>
  <c r="A733" i="4" s="1"/>
  <c r="A873" i="4" s="1"/>
  <c r="A1013" i="4" s="1"/>
  <c r="A1153" i="4" s="1"/>
  <c r="A1293" i="4" s="1"/>
  <c r="A1433" i="4" s="1"/>
  <c r="A1573" i="4" s="1"/>
  <c r="A172" i="4"/>
  <c r="A312" i="4" s="1"/>
  <c r="A452" i="4" s="1"/>
  <c r="A592" i="4" s="1"/>
  <c r="A732" i="4" s="1"/>
  <c r="A872" i="4" s="1"/>
  <c r="A1012" i="4" s="1"/>
  <c r="A1152" i="4" s="1"/>
  <c r="A1292" i="4" s="1"/>
  <c r="A1432" i="4" s="1"/>
  <c r="A1572" i="4" s="1"/>
  <c r="A171" i="4"/>
  <c r="A311" i="4" s="1"/>
  <c r="A451" i="4" s="1"/>
  <c r="A591" i="4" s="1"/>
  <c r="A731" i="4" s="1"/>
  <c r="A871" i="4" s="1"/>
  <c r="A1011" i="4" s="1"/>
  <c r="A1151" i="4" s="1"/>
  <c r="A1291" i="4" s="1"/>
  <c r="A1431" i="4" s="1"/>
  <c r="A1571" i="4" s="1"/>
  <c r="A170" i="4"/>
  <c r="A310" i="4" s="1"/>
  <c r="A450" i="4" s="1"/>
  <c r="A590" i="4" s="1"/>
  <c r="A730" i="4" s="1"/>
  <c r="A870" i="4" s="1"/>
  <c r="A1010" i="4" s="1"/>
  <c r="A1150" i="4" s="1"/>
  <c r="A1290" i="4" s="1"/>
  <c r="A1430" i="4" s="1"/>
  <c r="A1570" i="4" s="1"/>
  <c r="A169" i="4"/>
  <c r="A309" i="4" s="1"/>
  <c r="A449" i="4" s="1"/>
  <c r="A589" i="4" s="1"/>
  <c r="A729" i="4" s="1"/>
  <c r="A869" i="4" s="1"/>
  <c r="A1009" i="4" s="1"/>
  <c r="A1149" i="4" s="1"/>
  <c r="A1289" i="4" s="1"/>
  <c r="A1429" i="4" s="1"/>
  <c r="A1569" i="4" s="1"/>
  <c r="A168" i="4"/>
  <c r="A308" i="4" s="1"/>
  <c r="A448" i="4" s="1"/>
  <c r="A588" i="4" s="1"/>
  <c r="A728" i="4" s="1"/>
  <c r="A868" i="4" s="1"/>
  <c r="A1008" i="4" s="1"/>
  <c r="A1148" i="4" s="1"/>
  <c r="A1288" i="4" s="1"/>
  <c r="A1428" i="4" s="1"/>
  <c r="A1568" i="4" s="1"/>
  <c r="A167" i="4"/>
  <c r="A307" i="4" s="1"/>
  <c r="A447" i="4" s="1"/>
  <c r="A587" i="4" s="1"/>
  <c r="A727" i="4" s="1"/>
  <c r="A867" i="4" s="1"/>
  <c r="A1007" i="4" s="1"/>
  <c r="A1147" i="4" s="1"/>
  <c r="A1287" i="4" s="1"/>
  <c r="A1427" i="4" s="1"/>
  <c r="A1567" i="4" s="1"/>
  <c r="A166" i="4"/>
  <c r="A306" i="4" s="1"/>
  <c r="A446" i="4" s="1"/>
  <c r="A586" i="4" s="1"/>
  <c r="A726" i="4" s="1"/>
  <c r="A866" i="4" s="1"/>
  <c r="A1006" i="4" s="1"/>
  <c r="A1146" i="4" s="1"/>
  <c r="A1286" i="4" s="1"/>
  <c r="A1426" i="4" s="1"/>
  <c r="A1566" i="4" s="1"/>
  <c r="A165" i="4"/>
  <c r="A305" i="4" s="1"/>
  <c r="A445" i="4" s="1"/>
  <c r="A585" i="4" s="1"/>
  <c r="A725" i="4" s="1"/>
  <c r="A865" i="4" s="1"/>
  <c r="A1005" i="4" s="1"/>
  <c r="A1145" i="4" s="1"/>
  <c r="A1285" i="4" s="1"/>
  <c r="A1425" i="4" s="1"/>
  <c r="A1565" i="4" s="1"/>
  <c r="A164" i="4"/>
  <c r="A304" i="4" s="1"/>
  <c r="A444" i="4" s="1"/>
  <c r="A584" i="4" s="1"/>
  <c r="A724" i="4" s="1"/>
  <c r="A864" i="4" s="1"/>
  <c r="A1004" i="4" s="1"/>
  <c r="A1144" i="4" s="1"/>
  <c r="A1284" i="4" s="1"/>
  <c r="A1424" i="4" s="1"/>
  <c r="A1564" i="4" s="1"/>
  <c r="A163" i="4"/>
  <c r="A303" i="4" s="1"/>
  <c r="A443" i="4" s="1"/>
  <c r="A583" i="4" s="1"/>
  <c r="A723" i="4" s="1"/>
  <c r="A863" i="4" s="1"/>
  <c r="A1003" i="4" s="1"/>
  <c r="A1143" i="4" s="1"/>
  <c r="A1283" i="4" s="1"/>
  <c r="A1423" i="4" s="1"/>
  <c r="A1563" i="4" s="1"/>
  <c r="A162" i="4"/>
  <c r="A302" i="4" s="1"/>
  <c r="A442" i="4" s="1"/>
  <c r="A582" i="4" s="1"/>
  <c r="A722" i="4" s="1"/>
  <c r="A862" i="4" s="1"/>
  <c r="A1002" i="4" s="1"/>
  <c r="A1142" i="4" s="1"/>
  <c r="A1282" i="4" s="1"/>
  <c r="A1422" i="4" s="1"/>
  <c r="A1562" i="4" s="1"/>
  <c r="A161" i="4"/>
  <c r="A301" i="4" s="1"/>
  <c r="A441" i="4" s="1"/>
  <c r="A581" i="4" s="1"/>
  <c r="A721" i="4" s="1"/>
  <c r="A861" i="4" s="1"/>
  <c r="A1001" i="4" s="1"/>
  <c r="A1141" i="4" s="1"/>
  <c r="A1281" i="4" s="1"/>
  <c r="A1421" i="4" s="1"/>
  <c r="A1561" i="4" s="1"/>
  <c r="A160" i="4"/>
  <c r="A300" i="4" s="1"/>
  <c r="A440" i="4" s="1"/>
  <c r="A580" i="4" s="1"/>
  <c r="A720" i="4" s="1"/>
  <c r="A860" i="4" s="1"/>
  <c r="A1000" i="4" s="1"/>
  <c r="A1140" i="4" s="1"/>
  <c r="A1280" i="4" s="1"/>
  <c r="A1420" i="4" s="1"/>
  <c r="A1560" i="4" s="1"/>
  <c r="A159" i="4"/>
  <c r="A299" i="4" s="1"/>
  <c r="A439" i="4" s="1"/>
  <c r="A579" i="4" s="1"/>
  <c r="A719" i="4" s="1"/>
  <c r="A859" i="4" s="1"/>
  <c r="A999" i="4" s="1"/>
  <c r="A1139" i="4" s="1"/>
  <c r="A1279" i="4" s="1"/>
  <c r="A1419" i="4" s="1"/>
  <c r="A1559" i="4" s="1"/>
  <c r="A158" i="4"/>
  <c r="A298" i="4" s="1"/>
  <c r="A438" i="4" s="1"/>
  <c r="A578" i="4" s="1"/>
  <c r="A718" i="4" s="1"/>
  <c r="A858" i="4" s="1"/>
  <c r="A998" i="4" s="1"/>
  <c r="A1138" i="4" s="1"/>
  <c r="A1278" i="4" s="1"/>
  <c r="A1418" i="4" s="1"/>
  <c r="A1558" i="4" s="1"/>
  <c r="A157" i="4"/>
  <c r="A297" i="4" s="1"/>
  <c r="A437" i="4" s="1"/>
  <c r="A577" i="4" s="1"/>
  <c r="A717" i="4" s="1"/>
  <c r="A857" i="4" s="1"/>
  <c r="A997" i="4" s="1"/>
  <c r="A1137" i="4" s="1"/>
  <c r="A1277" i="4" s="1"/>
  <c r="A1417" i="4" s="1"/>
  <c r="A1557" i="4" s="1"/>
  <c r="A156" i="4"/>
  <c r="A296" i="4" s="1"/>
  <c r="A436" i="4" s="1"/>
  <c r="A576" i="4" s="1"/>
  <c r="A716" i="4" s="1"/>
  <c r="A856" i="4" s="1"/>
  <c r="A996" i="4" s="1"/>
  <c r="A1136" i="4" s="1"/>
  <c r="A1276" i="4" s="1"/>
  <c r="A1416" i="4" s="1"/>
  <c r="A1556" i="4" s="1"/>
  <c r="A155" i="4"/>
  <c r="A295" i="4" s="1"/>
  <c r="A435" i="4" s="1"/>
  <c r="A575" i="4" s="1"/>
  <c r="A715" i="4" s="1"/>
  <c r="A855" i="4" s="1"/>
  <c r="A995" i="4" s="1"/>
  <c r="A1135" i="4" s="1"/>
  <c r="A1275" i="4" s="1"/>
  <c r="A1415" i="4" s="1"/>
  <c r="A1555" i="4" s="1"/>
  <c r="A154" i="4"/>
  <c r="A294" i="4" s="1"/>
  <c r="A434" i="4" s="1"/>
  <c r="A574" i="4" s="1"/>
  <c r="A714" i="4" s="1"/>
  <c r="A854" i="4" s="1"/>
  <c r="A994" i="4" s="1"/>
  <c r="A1134" i="4" s="1"/>
  <c r="A1274" i="4" s="1"/>
  <c r="A1414" i="4" s="1"/>
  <c r="A1554" i="4" s="1"/>
  <c r="A153" i="4"/>
  <c r="A293" i="4" s="1"/>
  <c r="A433" i="4" s="1"/>
  <c r="A573" i="4" s="1"/>
  <c r="A713" i="4" s="1"/>
  <c r="A853" i="4" s="1"/>
  <c r="A993" i="4" s="1"/>
  <c r="A1133" i="4" s="1"/>
  <c r="A1273" i="4" s="1"/>
  <c r="A1413" i="4" s="1"/>
  <c r="A1553" i="4" s="1"/>
  <c r="A152" i="4"/>
  <c r="A292" i="4" s="1"/>
  <c r="A432" i="4" s="1"/>
  <c r="A572" i="4" s="1"/>
  <c r="A712" i="4" s="1"/>
  <c r="A852" i="4" s="1"/>
  <c r="A992" i="4" s="1"/>
  <c r="A1132" i="4" s="1"/>
  <c r="A1272" i="4" s="1"/>
  <c r="A1412" i="4" s="1"/>
  <c r="A1552" i="4" s="1"/>
  <c r="A151" i="4"/>
  <c r="A291" i="4" s="1"/>
  <c r="A431" i="4" s="1"/>
  <c r="A571" i="4" s="1"/>
  <c r="A711" i="4" s="1"/>
  <c r="A851" i="4" s="1"/>
  <c r="A991" i="4" s="1"/>
  <c r="A1131" i="4" s="1"/>
  <c r="A1271" i="4" s="1"/>
  <c r="A1411" i="4" s="1"/>
  <c r="A1551" i="4" s="1"/>
  <c r="A150" i="4"/>
  <c r="A290" i="4" s="1"/>
  <c r="A430" i="4" s="1"/>
  <c r="A570" i="4" s="1"/>
  <c r="A710" i="4" s="1"/>
  <c r="A850" i="4" s="1"/>
  <c r="A990" i="4" s="1"/>
  <c r="A1130" i="4" s="1"/>
  <c r="A1270" i="4" s="1"/>
  <c r="A1410" i="4" s="1"/>
  <c r="A1550" i="4" s="1"/>
  <c r="A149" i="4"/>
  <c r="A289" i="4" s="1"/>
  <c r="A429" i="4" s="1"/>
  <c r="A569" i="4" s="1"/>
  <c r="A709" i="4" s="1"/>
  <c r="A849" i="4" s="1"/>
  <c r="A989" i="4" s="1"/>
  <c r="A1129" i="4" s="1"/>
  <c r="A1269" i="4" s="1"/>
  <c r="A1409" i="4" s="1"/>
  <c r="A1549" i="4" s="1"/>
  <c r="A148" i="4"/>
  <c r="A288" i="4" s="1"/>
  <c r="A428" i="4" s="1"/>
  <c r="A568" i="4" s="1"/>
  <c r="A708" i="4" s="1"/>
  <c r="A848" i="4" s="1"/>
  <c r="A988" i="4" s="1"/>
  <c r="A1128" i="4" s="1"/>
  <c r="A1268" i="4" s="1"/>
  <c r="A1408" i="4" s="1"/>
  <c r="A1548" i="4" s="1"/>
  <c r="A147" i="4"/>
  <c r="A287" i="4" s="1"/>
  <c r="A427" i="4" s="1"/>
  <c r="A567" i="4" s="1"/>
  <c r="A707" i="4" s="1"/>
  <c r="A847" i="4" s="1"/>
  <c r="A987" i="4" s="1"/>
  <c r="A1127" i="4" s="1"/>
  <c r="A1267" i="4" s="1"/>
  <c r="A1407" i="4" s="1"/>
  <c r="A1547" i="4" s="1"/>
  <c r="A146" i="4"/>
  <c r="A286" i="4" s="1"/>
  <c r="A426" i="4" s="1"/>
  <c r="A566" i="4" s="1"/>
  <c r="A706" i="4" s="1"/>
  <c r="A846" i="4" s="1"/>
  <c r="A986" i="4" s="1"/>
  <c r="A1126" i="4" s="1"/>
  <c r="A1266" i="4" s="1"/>
  <c r="A1406" i="4" s="1"/>
  <c r="A1546" i="4" s="1"/>
  <c r="A145" i="4"/>
  <c r="A285" i="4" s="1"/>
  <c r="A425" i="4" s="1"/>
  <c r="A565" i="4" s="1"/>
  <c r="A705" i="4" s="1"/>
  <c r="A845" i="4" s="1"/>
  <c r="A985" i="4" s="1"/>
  <c r="A1125" i="4" s="1"/>
  <c r="A1265" i="4" s="1"/>
  <c r="A1405" i="4" s="1"/>
  <c r="A1545" i="4" s="1"/>
  <c r="A144" i="4"/>
  <c r="A284" i="4" s="1"/>
  <c r="A424" i="4" s="1"/>
  <c r="A564" i="4" s="1"/>
  <c r="A704" i="4" s="1"/>
  <c r="A844" i="4" s="1"/>
  <c r="A984" i="4" s="1"/>
  <c r="A1124" i="4" s="1"/>
  <c r="A1264" i="4" s="1"/>
  <c r="A1404" i="4" s="1"/>
  <c r="A1544" i="4" s="1"/>
  <c r="A143" i="4"/>
  <c r="A283" i="4" s="1"/>
  <c r="A423" i="4" s="1"/>
  <c r="A563" i="4" s="1"/>
  <c r="A703" i="4" s="1"/>
  <c r="A843" i="4" s="1"/>
  <c r="A983" i="4" s="1"/>
  <c r="A1123" i="4" s="1"/>
  <c r="A1263" i="4" s="1"/>
  <c r="A1403" i="4" s="1"/>
  <c r="A1543" i="4" s="1"/>
  <c r="A142" i="4"/>
  <c r="A282" i="4" s="1"/>
  <c r="A422" i="4" s="1"/>
  <c r="A562" i="4" s="1"/>
  <c r="A702" i="4" s="1"/>
  <c r="A842" i="4" s="1"/>
  <c r="A982" i="4" s="1"/>
  <c r="A1122" i="4" s="1"/>
  <c r="A1262" i="4" s="1"/>
  <c r="A1402" i="4" s="1"/>
  <c r="A1542" i="4" s="1"/>
  <c r="A143" i="3"/>
  <c r="A283" i="3" s="1"/>
  <c r="A423" i="3" s="1"/>
  <c r="A563" i="3" s="1"/>
  <c r="A703" i="3" s="1"/>
  <c r="A843" i="3" s="1"/>
  <c r="A983" i="3" s="1"/>
  <c r="A1123" i="3" s="1"/>
  <c r="A1263" i="3" s="1"/>
  <c r="A1403" i="3" s="1"/>
  <c r="A1543" i="3" s="1"/>
  <c r="A144" i="3"/>
  <c r="A284" i="3" s="1"/>
  <c r="A145" i="3"/>
  <c r="A285" i="3" s="1"/>
  <c r="A425" i="3" s="1"/>
  <c r="A565" i="3" s="1"/>
  <c r="A705" i="3" s="1"/>
  <c r="A845" i="3" s="1"/>
  <c r="A985" i="3" s="1"/>
  <c r="A1125" i="3" s="1"/>
  <c r="A1265" i="3" s="1"/>
  <c r="A1405" i="3" s="1"/>
  <c r="A1545" i="3" s="1"/>
  <c r="A146" i="3"/>
  <c r="A286" i="3" s="1"/>
  <c r="A426" i="3" s="1"/>
  <c r="A566" i="3" s="1"/>
  <c r="A706" i="3" s="1"/>
  <c r="A846" i="3" s="1"/>
  <c r="A986" i="3" s="1"/>
  <c r="A1126" i="3" s="1"/>
  <c r="A1266" i="3" s="1"/>
  <c r="A1406" i="3" s="1"/>
  <c r="A1546" i="3" s="1"/>
  <c r="A147" i="3"/>
  <c r="A287" i="3" s="1"/>
  <c r="A427" i="3" s="1"/>
  <c r="A567" i="3" s="1"/>
  <c r="A707" i="3" s="1"/>
  <c r="A847" i="3" s="1"/>
  <c r="A987" i="3" s="1"/>
  <c r="A1127" i="3" s="1"/>
  <c r="A1267" i="3" s="1"/>
  <c r="A1407" i="3" s="1"/>
  <c r="A1547" i="3" s="1"/>
  <c r="A148" i="3"/>
  <c r="A288" i="3" s="1"/>
  <c r="A428" i="3" s="1"/>
  <c r="A568" i="3" s="1"/>
  <c r="A708" i="3" s="1"/>
  <c r="A848" i="3" s="1"/>
  <c r="A988" i="3" s="1"/>
  <c r="A1128" i="3" s="1"/>
  <c r="A1268" i="3" s="1"/>
  <c r="A1408" i="3" s="1"/>
  <c r="A1548" i="3" s="1"/>
  <c r="A149" i="3"/>
  <c r="A289" i="3" s="1"/>
  <c r="A429" i="3" s="1"/>
  <c r="A569" i="3" s="1"/>
  <c r="A709" i="3" s="1"/>
  <c r="A849" i="3" s="1"/>
  <c r="A989" i="3" s="1"/>
  <c r="A1129" i="3" s="1"/>
  <c r="A1269" i="3" s="1"/>
  <c r="A1409" i="3" s="1"/>
  <c r="A1549" i="3" s="1"/>
  <c r="A150" i="3"/>
  <c r="A290" i="3" s="1"/>
  <c r="A430" i="3" s="1"/>
  <c r="A570" i="3" s="1"/>
  <c r="A710" i="3" s="1"/>
  <c r="A850" i="3" s="1"/>
  <c r="A990" i="3" s="1"/>
  <c r="A1130" i="3" s="1"/>
  <c r="A1270" i="3" s="1"/>
  <c r="A1410" i="3" s="1"/>
  <c r="A1550" i="3" s="1"/>
  <c r="A151" i="3"/>
  <c r="A291" i="3" s="1"/>
  <c r="A431" i="3" s="1"/>
  <c r="A571" i="3" s="1"/>
  <c r="A711" i="3" s="1"/>
  <c r="A851" i="3" s="1"/>
  <c r="A991" i="3" s="1"/>
  <c r="A1131" i="3" s="1"/>
  <c r="A1271" i="3" s="1"/>
  <c r="A1411" i="3" s="1"/>
  <c r="A1551" i="3" s="1"/>
  <c r="A152" i="3"/>
  <c r="A292" i="3" s="1"/>
  <c r="A432" i="3" s="1"/>
  <c r="A572" i="3" s="1"/>
  <c r="A712" i="3" s="1"/>
  <c r="A852" i="3" s="1"/>
  <c r="A992" i="3" s="1"/>
  <c r="A1132" i="3" s="1"/>
  <c r="A1272" i="3" s="1"/>
  <c r="A1412" i="3" s="1"/>
  <c r="A1552" i="3" s="1"/>
  <c r="A153" i="3"/>
  <c r="A293" i="3" s="1"/>
  <c r="A433" i="3" s="1"/>
  <c r="A573" i="3" s="1"/>
  <c r="A713" i="3" s="1"/>
  <c r="A853" i="3" s="1"/>
  <c r="A993" i="3" s="1"/>
  <c r="A1133" i="3" s="1"/>
  <c r="A1273" i="3" s="1"/>
  <c r="A1413" i="3" s="1"/>
  <c r="A1553" i="3" s="1"/>
  <c r="A154" i="3"/>
  <c r="A294" i="3" s="1"/>
  <c r="A434" i="3" s="1"/>
  <c r="A574" i="3" s="1"/>
  <c r="A714" i="3" s="1"/>
  <c r="A854" i="3" s="1"/>
  <c r="A994" i="3" s="1"/>
  <c r="A1134" i="3" s="1"/>
  <c r="A1274" i="3" s="1"/>
  <c r="A1414" i="3" s="1"/>
  <c r="A1554" i="3" s="1"/>
  <c r="A155" i="3"/>
  <c r="A295" i="3" s="1"/>
  <c r="A435" i="3" s="1"/>
  <c r="A575" i="3" s="1"/>
  <c r="A715" i="3" s="1"/>
  <c r="A855" i="3" s="1"/>
  <c r="A995" i="3" s="1"/>
  <c r="A1135" i="3" s="1"/>
  <c r="A1275" i="3" s="1"/>
  <c r="A1415" i="3" s="1"/>
  <c r="A1555" i="3" s="1"/>
  <c r="A156" i="3"/>
  <c r="A296" i="3" s="1"/>
  <c r="A436" i="3" s="1"/>
  <c r="A576" i="3" s="1"/>
  <c r="A716" i="3" s="1"/>
  <c r="A856" i="3" s="1"/>
  <c r="A996" i="3" s="1"/>
  <c r="A1136" i="3" s="1"/>
  <c r="A1276" i="3" s="1"/>
  <c r="A1416" i="3" s="1"/>
  <c r="A1556" i="3" s="1"/>
  <c r="A157" i="3"/>
  <c r="A297" i="3" s="1"/>
  <c r="A437" i="3" s="1"/>
  <c r="A577" i="3" s="1"/>
  <c r="A717" i="3" s="1"/>
  <c r="A857" i="3" s="1"/>
  <c r="A997" i="3" s="1"/>
  <c r="A1137" i="3" s="1"/>
  <c r="A1277" i="3" s="1"/>
  <c r="A1417" i="3" s="1"/>
  <c r="A1557" i="3" s="1"/>
  <c r="A158" i="3"/>
  <c r="A298" i="3" s="1"/>
  <c r="A438" i="3" s="1"/>
  <c r="A578" i="3" s="1"/>
  <c r="A718" i="3" s="1"/>
  <c r="A858" i="3" s="1"/>
  <c r="A998" i="3" s="1"/>
  <c r="A1138" i="3" s="1"/>
  <c r="A1278" i="3" s="1"/>
  <c r="A1418" i="3" s="1"/>
  <c r="A1558" i="3" s="1"/>
  <c r="A159" i="3"/>
  <c r="A299" i="3" s="1"/>
  <c r="A439" i="3" s="1"/>
  <c r="A579" i="3" s="1"/>
  <c r="A719" i="3" s="1"/>
  <c r="A859" i="3" s="1"/>
  <c r="A999" i="3" s="1"/>
  <c r="A1139" i="3" s="1"/>
  <c r="A1279" i="3" s="1"/>
  <c r="A1419" i="3" s="1"/>
  <c r="A1559" i="3" s="1"/>
  <c r="A160" i="3"/>
  <c r="A300" i="3" s="1"/>
  <c r="A440" i="3" s="1"/>
  <c r="A580" i="3" s="1"/>
  <c r="A720" i="3" s="1"/>
  <c r="A860" i="3" s="1"/>
  <c r="A1000" i="3" s="1"/>
  <c r="A1140" i="3" s="1"/>
  <c r="A1280" i="3" s="1"/>
  <c r="A1420" i="3" s="1"/>
  <c r="A1560" i="3" s="1"/>
  <c r="A161" i="3"/>
  <c r="A301" i="3" s="1"/>
  <c r="A441" i="3" s="1"/>
  <c r="A581" i="3" s="1"/>
  <c r="A721" i="3" s="1"/>
  <c r="A861" i="3" s="1"/>
  <c r="A1001" i="3" s="1"/>
  <c r="A1141" i="3" s="1"/>
  <c r="A1281" i="3" s="1"/>
  <c r="A1421" i="3" s="1"/>
  <c r="A1561" i="3" s="1"/>
  <c r="A162" i="3"/>
  <c r="A302" i="3" s="1"/>
  <c r="A442" i="3" s="1"/>
  <c r="A582" i="3" s="1"/>
  <c r="A722" i="3" s="1"/>
  <c r="A862" i="3" s="1"/>
  <c r="A1002" i="3" s="1"/>
  <c r="A1142" i="3" s="1"/>
  <c r="A1282" i="3" s="1"/>
  <c r="A1422" i="3" s="1"/>
  <c r="A1562" i="3" s="1"/>
  <c r="A163" i="3"/>
  <c r="A303" i="3" s="1"/>
  <c r="A443" i="3" s="1"/>
  <c r="A583" i="3" s="1"/>
  <c r="A723" i="3" s="1"/>
  <c r="A863" i="3" s="1"/>
  <c r="A1003" i="3" s="1"/>
  <c r="A1143" i="3" s="1"/>
  <c r="A1283" i="3" s="1"/>
  <c r="A1423" i="3" s="1"/>
  <c r="A1563" i="3" s="1"/>
  <c r="A164" i="3"/>
  <c r="A304" i="3" s="1"/>
  <c r="A444" i="3" s="1"/>
  <c r="A584" i="3" s="1"/>
  <c r="A724" i="3" s="1"/>
  <c r="A864" i="3" s="1"/>
  <c r="A1004" i="3" s="1"/>
  <c r="A1144" i="3" s="1"/>
  <c r="A1284" i="3" s="1"/>
  <c r="A1424" i="3" s="1"/>
  <c r="A1564" i="3" s="1"/>
  <c r="A165" i="3"/>
  <c r="A305" i="3" s="1"/>
  <c r="A445" i="3" s="1"/>
  <c r="A585" i="3" s="1"/>
  <c r="A725" i="3" s="1"/>
  <c r="A865" i="3" s="1"/>
  <c r="A1005" i="3" s="1"/>
  <c r="A1145" i="3" s="1"/>
  <c r="A1285" i="3" s="1"/>
  <c r="A1425" i="3" s="1"/>
  <c r="A1565" i="3" s="1"/>
  <c r="A166" i="3"/>
  <c r="A306" i="3" s="1"/>
  <c r="A446" i="3" s="1"/>
  <c r="A586" i="3" s="1"/>
  <c r="A726" i="3" s="1"/>
  <c r="A866" i="3" s="1"/>
  <c r="A1006" i="3" s="1"/>
  <c r="A1146" i="3" s="1"/>
  <c r="A1286" i="3" s="1"/>
  <c r="A1426" i="3" s="1"/>
  <c r="A1566" i="3" s="1"/>
  <c r="A167" i="3"/>
  <c r="A307" i="3" s="1"/>
  <c r="A447" i="3" s="1"/>
  <c r="A587" i="3" s="1"/>
  <c r="A727" i="3" s="1"/>
  <c r="A867" i="3" s="1"/>
  <c r="A1007" i="3" s="1"/>
  <c r="A1147" i="3" s="1"/>
  <c r="A1287" i="3" s="1"/>
  <c r="A1427" i="3" s="1"/>
  <c r="A1567" i="3" s="1"/>
  <c r="A168" i="3"/>
  <c r="A308" i="3" s="1"/>
  <c r="A448" i="3" s="1"/>
  <c r="A588" i="3" s="1"/>
  <c r="A728" i="3" s="1"/>
  <c r="A868" i="3" s="1"/>
  <c r="A1008" i="3" s="1"/>
  <c r="A1148" i="3" s="1"/>
  <c r="A1288" i="3" s="1"/>
  <c r="A1428" i="3" s="1"/>
  <c r="A1568" i="3" s="1"/>
  <c r="A169" i="3"/>
  <c r="A309" i="3" s="1"/>
  <c r="A449" i="3" s="1"/>
  <c r="A589" i="3" s="1"/>
  <c r="A729" i="3" s="1"/>
  <c r="A869" i="3" s="1"/>
  <c r="A1009" i="3" s="1"/>
  <c r="A1149" i="3" s="1"/>
  <c r="A1289" i="3" s="1"/>
  <c r="A1429" i="3" s="1"/>
  <c r="A1569" i="3" s="1"/>
  <c r="A170" i="3"/>
  <c r="A310" i="3" s="1"/>
  <c r="A450" i="3" s="1"/>
  <c r="A590" i="3" s="1"/>
  <c r="A730" i="3" s="1"/>
  <c r="A870" i="3" s="1"/>
  <c r="A1010" i="3" s="1"/>
  <c r="A1150" i="3" s="1"/>
  <c r="A1290" i="3" s="1"/>
  <c r="A1430" i="3" s="1"/>
  <c r="A1570" i="3" s="1"/>
  <c r="A171" i="3"/>
  <c r="A311" i="3" s="1"/>
  <c r="A451" i="3" s="1"/>
  <c r="A591" i="3" s="1"/>
  <c r="A731" i="3" s="1"/>
  <c r="A871" i="3" s="1"/>
  <c r="A1011" i="3" s="1"/>
  <c r="A1151" i="3" s="1"/>
  <c r="A1291" i="3" s="1"/>
  <c r="A1431" i="3" s="1"/>
  <c r="A1571" i="3" s="1"/>
  <c r="A172" i="3"/>
  <c r="A312" i="3" s="1"/>
  <c r="A452" i="3" s="1"/>
  <c r="A592" i="3" s="1"/>
  <c r="A732" i="3" s="1"/>
  <c r="A872" i="3" s="1"/>
  <c r="A1012" i="3" s="1"/>
  <c r="A1152" i="3" s="1"/>
  <c r="A1292" i="3" s="1"/>
  <c r="A1432" i="3" s="1"/>
  <c r="A1572" i="3" s="1"/>
  <c r="A173" i="3"/>
  <c r="A313" i="3" s="1"/>
  <c r="A453" i="3" s="1"/>
  <c r="A593" i="3" s="1"/>
  <c r="A733" i="3" s="1"/>
  <c r="A873" i="3" s="1"/>
  <c r="A1013" i="3" s="1"/>
  <c r="A1153" i="3" s="1"/>
  <c r="A1293" i="3" s="1"/>
  <c r="A1433" i="3" s="1"/>
  <c r="A1573" i="3" s="1"/>
  <c r="A174" i="3"/>
  <c r="A314" i="3" s="1"/>
  <c r="A454" i="3" s="1"/>
  <c r="A594" i="3" s="1"/>
  <c r="A734" i="3" s="1"/>
  <c r="A874" i="3" s="1"/>
  <c r="A1014" i="3" s="1"/>
  <c r="A1154" i="3" s="1"/>
  <c r="A1294" i="3" s="1"/>
  <c r="A1434" i="3" s="1"/>
  <c r="A1574" i="3" s="1"/>
  <c r="A175" i="3"/>
  <c r="A315" i="3" s="1"/>
  <c r="A455" i="3" s="1"/>
  <c r="A595" i="3" s="1"/>
  <c r="A735" i="3" s="1"/>
  <c r="A875" i="3" s="1"/>
  <c r="A1015" i="3" s="1"/>
  <c r="A1155" i="3" s="1"/>
  <c r="A1295" i="3" s="1"/>
  <c r="A1435" i="3" s="1"/>
  <c r="A1575" i="3" s="1"/>
  <c r="A176" i="3"/>
  <c r="A316" i="3" s="1"/>
  <c r="A177" i="3"/>
  <c r="A317" i="3" s="1"/>
  <c r="A457" i="3" s="1"/>
  <c r="A597" i="3" s="1"/>
  <c r="A737" i="3" s="1"/>
  <c r="A877" i="3" s="1"/>
  <c r="A1017" i="3" s="1"/>
  <c r="A1157" i="3" s="1"/>
  <c r="A1297" i="3" s="1"/>
  <c r="A1437" i="3" s="1"/>
  <c r="A1577" i="3" s="1"/>
  <c r="A178" i="3"/>
  <c r="A318" i="3" s="1"/>
  <c r="A458" i="3" s="1"/>
  <c r="A598" i="3" s="1"/>
  <c r="A738" i="3" s="1"/>
  <c r="A878" i="3" s="1"/>
  <c r="A1018" i="3" s="1"/>
  <c r="A1158" i="3" s="1"/>
  <c r="A1298" i="3" s="1"/>
  <c r="A1438" i="3" s="1"/>
  <c r="A1578" i="3" s="1"/>
  <c r="A179" i="3"/>
  <c r="A319" i="3" s="1"/>
  <c r="A459" i="3" s="1"/>
  <c r="A599" i="3" s="1"/>
  <c r="A739" i="3" s="1"/>
  <c r="A879" i="3" s="1"/>
  <c r="A1019" i="3" s="1"/>
  <c r="A1159" i="3" s="1"/>
  <c r="A1299" i="3" s="1"/>
  <c r="A1439" i="3" s="1"/>
  <c r="A1579" i="3" s="1"/>
  <c r="A180" i="3"/>
  <c r="A320" i="3" s="1"/>
  <c r="A460" i="3" s="1"/>
  <c r="A600" i="3" s="1"/>
  <c r="A740" i="3" s="1"/>
  <c r="A880" i="3" s="1"/>
  <c r="A1020" i="3" s="1"/>
  <c r="A1160" i="3" s="1"/>
  <c r="A1300" i="3" s="1"/>
  <c r="A1440" i="3" s="1"/>
  <c r="A1580" i="3" s="1"/>
  <c r="A181" i="3"/>
  <c r="A321" i="3" s="1"/>
  <c r="A461" i="3" s="1"/>
  <c r="A601" i="3" s="1"/>
  <c r="A741" i="3" s="1"/>
  <c r="A881" i="3" s="1"/>
  <c r="A1021" i="3" s="1"/>
  <c r="A1161" i="3" s="1"/>
  <c r="A1301" i="3" s="1"/>
  <c r="A1441" i="3" s="1"/>
  <c r="A1581" i="3" s="1"/>
  <c r="A182" i="3"/>
  <c r="A322" i="3" s="1"/>
  <c r="A462" i="3" s="1"/>
  <c r="A602" i="3" s="1"/>
  <c r="A742" i="3" s="1"/>
  <c r="A882" i="3" s="1"/>
  <c r="A1022" i="3" s="1"/>
  <c r="A1162" i="3" s="1"/>
  <c r="A1302" i="3" s="1"/>
  <c r="A1442" i="3" s="1"/>
  <c r="A1582" i="3" s="1"/>
  <c r="A183" i="3"/>
  <c r="A323" i="3" s="1"/>
  <c r="A463" i="3" s="1"/>
  <c r="A603" i="3" s="1"/>
  <c r="A743" i="3" s="1"/>
  <c r="A883" i="3" s="1"/>
  <c r="A1023" i="3" s="1"/>
  <c r="A1163" i="3" s="1"/>
  <c r="A1303" i="3" s="1"/>
  <c r="A1443" i="3" s="1"/>
  <c r="A1583" i="3" s="1"/>
  <c r="A184" i="3"/>
  <c r="A324" i="3" s="1"/>
  <c r="A464" i="3" s="1"/>
  <c r="A604" i="3" s="1"/>
  <c r="A744" i="3" s="1"/>
  <c r="A884" i="3" s="1"/>
  <c r="A1024" i="3" s="1"/>
  <c r="A1164" i="3" s="1"/>
  <c r="A1304" i="3" s="1"/>
  <c r="A1444" i="3" s="1"/>
  <c r="A1584" i="3" s="1"/>
  <c r="A185" i="3"/>
  <c r="A325" i="3" s="1"/>
  <c r="A465" i="3" s="1"/>
  <c r="A605" i="3" s="1"/>
  <c r="A745" i="3" s="1"/>
  <c r="A885" i="3" s="1"/>
  <c r="A1025" i="3" s="1"/>
  <c r="A1165" i="3" s="1"/>
  <c r="A1305" i="3" s="1"/>
  <c r="A1445" i="3" s="1"/>
  <c r="A1585" i="3" s="1"/>
  <c r="A186" i="3"/>
  <c r="A326" i="3" s="1"/>
  <c r="A466" i="3" s="1"/>
  <c r="A606" i="3" s="1"/>
  <c r="A746" i="3" s="1"/>
  <c r="A886" i="3" s="1"/>
  <c r="A1026" i="3" s="1"/>
  <c r="A1166" i="3" s="1"/>
  <c r="A1306" i="3" s="1"/>
  <c r="A1446" i="3" s="1"/>
  <c r="A1586" i="3" s="1"/>
  <c r="A187" i="3"/>
  <c r="A327" i="3" s="1"/>
  <c r="A467" i="3" s="1"/>
  <c r="A607" i="3" s="1"/>
  <c r="A747" i="3" s="1"/>
  <c r="A887" i="3" s="1"/>
  <c r="A1027" i="3" s="1"/>
  <c r="A1167" i="3" s="1"/>
  <c r="A1307" i="3" s="1"/>
  <c r="A1447" i="3" s="1"/>
  <c r="A1587" i="3" s="1"/>
  <c r="A188" i="3"/>
  <c r="A328" i="3" s="1"/>
  <c r="A468" i="3" s="1"/>
  <c r="A608" i="3" s="1"/>
  <c r="A748" i="3" s="1"/>
  <c r="A888" i="3" s="1"/>
  <c r="A1028" i="3" s="1"/>
  <c r="A1168" i="3" s="1"/>
  <c r="A1308" i="3" s="1"/>
  <c r="A1448" i="3" s="1"/>
  <c r="A1588" i="3" s="1"/>
  <c r="A189" i="3"/>
  <c r="A329" i="3" s="1"/>
  <c r="A469" i="3" s="1"/>
  <c r="A609" i="3" s="1"/>
  <c r="A749" i="3" s="1"/>
  <c r="A889" i="3" s="1"/>
  <c r="A1029" i="3" s="1"/>
  <c r="A1169" i="3" s="1"/>
  <c r="A1309" i="3" s="1"/>
  <c r="A1449" i="3" s="1"/>
  <c r="A1589" i="3" s="1"/>
  <c r="A190" i="3"/>
  <c r="A330" i="3" s="1"/>
  <c r="A470" i="3" s="1"/>
  <c r="A610" i="3" s="1"/>
  <c r="A750" i="3" s="1"/>
  <c r="A890" i="3" s="1"/>
  <c r="A1030" i="3" s="1"/>
  <c r="A1170" i="3" s="1"/>
  <c r="A1310" i="3" s="1"/>
  <c r="A1450" i="3" s="1"/>
  <c r="A1590" i="3" s="1"/>
  <c r="A191" i="3"/>
  <c r="A331" i="3" s="1"/>
  <c r="A471" i="3" s="1"/>
  <c r="A611" i="3" s="1"/>
  <c r="A751" i="3" s="1"/>
  <c r="A891" i="3" s="1"/>
  <c r="A1031" i="3" s="1"/>
  <c r="A1171" i="3" s="1"/>
  <c r="A1311" i="3" s="1"/>
  <c r="A1451" i="3" s="1"/>
  <c r="A1591" i="3" s="1"/>
  <c r="A192" i="3"/>
  <c r="A332" i="3" s="1"/>
  <c r="A472" i="3" s="1"/>
  <c r="A612" i="3" s="1"/>
  <c r="A752" i="3" s="1"/>
  <c r="A892" i="3" s="1"/>
  <c r="A1032" i="3" s="1"/>
  <c r="A1172" i="3" s="1"/>
  <c r="A1312" i="3" s="1"/>
  <c r="A1452" i="3" s="1"/>
  <c r="A1592" i="3" s="1"/>
  <c r="A193" i="3"/>
  <c r="A333" i="3" s="1"/>
  <c r="A473" i="3" s="1"/>
  <c r="A613" i="3" s="1"/>
  <c r="A753" i="3" s="1"/>
  <c r="A893" i="3" s="1"/>
  <c r="A1033" i="3" s="1"/>
  <c r="A1173" i="3" s="1"/>
  <c r="A1313" i="3" s="1"/>
  <c r="A1453" i="3" s="1"/>
  <c r="A1593" i="3" s="1"/>
  <c r="A194" i="3"/>
  <c r="A334" i="3" s="1"/>
  <c r="A474" i="3" s="1"/>
  <c r="A614" i="3" s="1"/>
  <c r="A754" i="3" s="1"/>
  <c r="A894" i="3" s="1"/>
  <c r="A1034" i="3" s="1"/>
  <c r="A1174" i="3" s="1"/>
  <c r="A1314" i="3" s="1"/>
  <c r="A1454" i="3" s="1"/>
  <c r="A1594" i="3" s="1"/>
  <c r="A195" i="3"/>
  <c r="A335" i="3" s="1"/>
  <c r="A475" i="3" s="1"/>
  <c r="A615" i="3" s="1"/>
  <c r="A755" i="3" s="1"/>
  <c r="A895" i="3" s="1"/>
  <c r="A1035" i="3" s="1"/>
  <c r="A1175" i="3" s="1"/>
  <c r="A1315" i="3" s="1"/>
  <c r="A1455" i="3" s="1"/>
  <c r="A1595" i="3" s="1"/>
  <c r="A196" i="3"/>
  <c r="A336" i="3" s="1"/>
  <c r="A476" i="3" s="1"/>
  <c r="A616" i="3" s="1"/>
  <c r="A756" i="3" s="1"/>
  <c r="A896" i="3" s="1"/>
  <c r="A1036" i="3" s="1"/>
  <c r="A1176" i="3" s="1"/>
  <c r="A1316" i="3" s="1"/>
  <c r="A1456" i="3" s="1"/>
  <c r="A1596" i="3" s="1"/>
  <c r="A197" i="3"/>
  <c r="A337" i="3" s="1"/>
  <c r="A477" i="3" s="1"/>
  <c r="A617" i="3" s="1"/>
  <c r="A757" i="3" s="1"/>
  <c r="A897" i="3" s="1"/>
  <c r="A1037" i="3" s="1"/>
  <c r="A1177" i="3" s="1"/>
  <c r="A1317" i="3" s="1"/>
  <c r="A1457" i="3" s="1"/>
  <c r="A1597" i="3" s="1"/>
  <c r="A198" i="3"/>
  <c r="A338" i="3" s="1"/>
  <c r="A478" i="3" s="1"/>
  <c r="A618" i="3" s="1"/>
  <c r="A758" i="3" s="1"/>
  <c r="A898" i="3" s="1"/>
  <c r="A1038" i="3" s="1"/>
  <c r="A1178" i="3" s="1"/>
  <c r="A1318" i="3" s="1"/>
  <c r="A1458" i="3" s="1"/>
  <c r="A1598" i="3" s="1"/>
  <c r="A199" i="3"/>
  <c r="A339" i="3" s="1"/>
  <c r="A479" i="3" s="1"/>
  <c r="A619" i="3" s="1"/>
  <c r="A759" i="3" s="1"/>
  <c r="A899" i="3" s="1"/>
  <c r="A1039" i="3" s="1"/>
  <c r="A1179" i="3" s="1"/>
  <c r="A1319" i="3" s="1"/>
  <c r="A1459" i="3" s="1"/>
  <c r="A1599" i="3" s="1"/>
  <c r="A200" i="3"/>
  <c r="A340" i="3" s="1"/>
  <c r="A480" i="3" s="1"/>
  <c r="A620" i="3" s="1"/>
  <c r="A760" i="3" s="1"/>
  <c r="A900" i="3" s="1"/>
  <c r="A1040" i="3" s="1"/>
  <c r="A1180" i="3" s="1"/>
  <c r="A1320" i="3" s="1"/>
  <c r="A1460" i="3" s="1"/>
  <c r="A1600" i="3" s="1"/>
  <c r="A201" i="3"/>
  <c r="A341" i="3" s="1"/>
  <c r="A481" i="3" s="1"/>
  <c r="A621" i="3" s="1"/>
  <c r="A761" i="3" s="1"/>
  <c r="A901" i="3" s="1"/>
  <c r="A1041" i="3" s="1"/>
  <c r="A1181" i="3" s="1"/>
  <c r="A1321" i="3" s="1"/>
  <c r="A1461" i="3" s="1"/>
  <c r="A1601" i="3" s="1"/>
  <c r="A202" i="3"/>
  <c r="A342" i="3" s="1"/>
  <c r="A482" i="3" s="1"/>
  <c r="A622" i="3" s="1"/>
  <c r="A762" i="3" s="1"/>
  <c r="A902" i="3" s="1"/>
  <c r="A1042" i="3" s="1"/>
  <c r="A1182" i="3" s="1"/>
  <c r="A1322" i="3" s="1"/>
  <c r="A1462" i="3" s="1"/>
  <c r="A1602" i="3" s="1"/>
  <c r="A203" i="3"/>
  <c r="A343" i="3" s="1"/>
  <c r="A483" i="3" s="1"/>
  <c r="A623" i="3" s="1"/>
  <c r="A763" i="3" s="1"/>
  <c r="A903" i="3" s="1"/>
  <c r="A1043" i="3" s="1"/>
  <c r="A1183" i="3" s="1"/>
  <c r="A1323" i="3" s="1"/>
  <c r="A1463" i="3" s="1"/>
  <c r="A1603" i="3" s="1"/>
  <c r="A204" i="3"/>
  <c r="A344" i="3" s="1"/>
  <c r="A484" i="3" s="1"/>
  <c r="A624" i="3" s="1"/>
  <c r="A764" i="3" s="1"/>
  <c r="A904" i="3" s="1"/>
  <c r="A1044" i="3" s="1"/>
  <c r="A1184" i="3" s="1"/>
  <c r="A1324" i="3" s="1"/>
  <c r="A1464" i="3" s="1"/>
  <c r="A1604" i="3" s="1"/>
  <c r="A205" i="3"/>
  <c r="A345" i="3" s="1"/>
  <c r="A485" i="3" s="1"/>
  <c r="A625" i="3" s="1"/>
  <c r="A765" i="3" s="1"/>
  <c r="A905" i="3" s="1"/>
  <c r="A1045" i="3" s="1"/>
  <c r="A1185" i="3" s="1"/>
  <c r="A1325" i="3" s="1"/>
  <c r="A1465" i="3" s="1"/>
  <c r="A1605" i="3" s="1"/>
  <c r="A206" i="3"/>
  <c r="A346" i="3" s="1"/>
  <c r="A486" i="3" s="1"/>
  <c r="A626" i="3" s="1"/>
  <c r="A766" i="3" s="1"/>
  <c r="A906" i="3" s="1"/>
  <c r="A1046" i="3" s="1"/>
  <c r="A1186" i="3" s="1"/>
  <c r="A1326" i="3" s="1"/>
  <c r="A1466" i="3" s="1"/>
  <c r="A1606" i="3" s="1"/>
  <c r="A207" i="3"/>
  <c r="A347" i="3" s="1"/>
  <c r="A487" i="3" s="1"/>
  <c r="A627" i="3" s="1"/>
  <c r="A767" i="3" s="1"/>
  <c r="A907" i="3" s="1"/>
  <c r="A1047" i="3" s="1"/>
  <c r="A1187" i="3" s="1"/>
  <c r="A1327" i="3" s="1"/>
  <c r="A1467" i="3" s="1"/>
  <c r="A1607" i="3" s="1"/>
  <c r="A208" i="3"/>
  <c r="A348" i="3" s="1"/>
  <c r="A488" i="3" s="1"/>
  <c r="A628" i="3" s="1"/>
  <c r="A768" i="3" s="1"/>
  <c r="A908" i="3" s="1"/>
  <c r="A1048" i="3" s="1"/>
  <c r="A1188" i="3" s="1"/>
  <c r="A1328" i="3" s="1"/>
  <c r="A1468" i="3" s="1"/>
  <c r="A1608" i="3" s="1"/>
  <c r="A209" i="3"/>
  <c r="A349" i="3" s="1"/>
  <c r="A489" i="3" s="1"/>
  <c r="A629" i="3" s="1"/>
  <c r="A769" i="3" s="1"/>
  <c r="A909" i="3" s="1"/>
  <c r="A1049" i="3" s="1"/>
  <c r="A1189" i="3" s="1"/>
  <c r="A1329" i="3" s="1"/>
  <c r="A1469" i="3" s="1"/>
  <c r="A1609" i="3" s="1"/>
  <c r="A210" i="3"/>
  <c r="A350" i="3" s="1"/>
  <c r="A490" i="3" s="1"/>
  <c r="A630" i="3" s="1"/>
  <c r="A770" i="3" s="1"/>
  <c r="A910" i="3" s="1"/>
  <c r="A1050" i="3" s="1"/>
  <c r="A1190" i="3" s="1"/>
  <c r="A1330" i="3" s="1"/>
  <c r="A1470" i="3" s="1"/>
  <c r="A1610" i="3" s="1"/>
  <c r="A211" i="3"/>
  <c r="A351" i="3" s="1"/>
  <c r="A491" i="3" s="1"/>
  <c r="A631" i="3" s="1"/>
  <c r="A771" i="3" s="1"/>
  <c r="A911" i="3" s="1"/>
  <c r="A1051" i="3" s="1"/>
  <c r="A1191" i="3" s="1"/>
  <c r="A1331" i="3" s="1"/>
  <c r="A1471" i="3" s="1"/>
  <c r="A1611" i="3" s="1"/>
  <c r="A212" i="3"/>
  <c r="A352" i="3" s="1"/>
  <c r="A492" i="3" s="1"/>
  <c r="A632" i="3" s="1"/>
  <c r="A772" i="3" s="1"/>
  <c r="A912" i="3" s="1"/>
  <c r="A1052" i="3" s="1"/>
  <c r="A1192" i="3" s="1"/>
  <c r="A1332" i="3" s="1"/>
  <c r="A1472" i="3" s="1"/>
  <c r="A1612" i="3" s="1"/>
  <c r="A213" i="3"/>
  <c r="A353" i="3" s="1"/>
  <c r="A493" i="3" s="1"/>
  <c r="A633" i="3" s="1"/>
  <c r="A773" i="3" s="1"/>
  <c r="A913" i="3" s="1"/>
  <c r="A1053" i="3" s="1"/>
  <c r="A1193" i="3" s="1"/>
  <c r="A1333" i="3" s="1"/>
  <c r="A1473" i="3" s="1"/>
  <c r="A1613" i="3" s="1"/>
  <c r="A214" i="3"/>
  <c r="A354" i="3" s="1"/>
  <c r="A494" i="3" s="1"/>
  <c r="A634" i="3" s="1"/>
  <c r="A774" i="3" s="1"/>
  <c r="A914" i="3" s="1"/>
  <c r="A1054" i="3" s="1"/>
  <c r="A1194" i="3" s="1"/>
  <c r="A1334" i="3" s="1"/>
  <c r="A1474" i="3" s="1"/>
  <c r="A1614" i="3" s="1"/>
  <c r="A215" i="3"/>
  <c r="A355" i="3" s="1"/>
  <c r="A495" i="3" s="1"/>
  <c r="A635" i="3" s="1"/>
  <c r="A775" i="3" s="1"/>
  <c r="A915" i="3" s="1"/>
  <c r="A1055" i="3" s="1"/>
  <c r="A1195" i="3" s="1"/>
  <c r="A1335" i="3" s="1"/>
  <c r="A1475" i="3" s="1"/>
  <c r="A1615" i="3" s="1"/>
  <c r="A216" i="3"/>
  <c r="A356" i="3" s="1"/>
  <c r="A496" i="3" s="1"/>
  <c r="A636" i="3" s="1"/>
  <c r="A776" i="3" s="1"/>
  <c r="A916" i="3" s="1"/>
  <c r="A1056" i="3" s="1"/>
  <c r="A1196" i="3" s="1"/>
  <c r="A1336" i="3" s="1"/>
  <c r="A1476" i="3" s="1"/>
  <c r="A1616" i="3" s="1"/>
  <c r="A217" i="3"/>
  <c r="A357" i="3" s="1"/>
  <c r="A497" i="3" s="1"/>
  <c r="A637" i="3" s="1"/>
  <c r="A777" i="3" s="1"/>
  <c r="A917" i="3" s="1"/>
  <c r="A1057" i="3" s="1"/>
  <c r="A1197" i="3" s="1"/>
  <c r="A1337" i="3" s="1"/>
  <c r="A1477" i="3" s="1"/>
  <c r="A1617" i="3" s="1"/>
  <c r="A218" i="3"/>
  <c r="A358" i="3" s="1"/>
  <c r="A498" i="3" s="1"/>
  <c r="A638" i="3" s="1"/>
  <c r="A778" i="3" s="1"/>
  <c r="A918" i="3" s="1"/>
  <c r="A1058" i="3" s="1"/>
  <c r="A1198" i="3" s="1"/>
  <c r="A1338" i="3" s="1"/>
  <c r="A1478" i="3" s="1"/>
  <c r="A1618" i="3" s="1"/>
  <c r="A219" i="3"/>
  <c r="A359" i="3" s="1"/>
  <c r="A499" i="3" s="1"/>
  <c r="A639" i="3" s="1"/>
  <c r="A779" i="3" s="1"/>
  <c r="A919" i="3" s="1"/>
  <c r="A1059" i="3" s="1"/>
  <c r="A1199" i="3" s="1"/>
  <c r="A1339" i="3" s="1"/>
  <c r="A1479" i="3" s="1"/>
  <c r="A1619" i="3" s="1"/>
  <c r="A220" i="3"/>
  <c r="A360" i="3" s="1"/>
  <c r="A500" i="3" s="1"/>
  <c r="A640" i="3" s="1"/>
  <c r="A780" i="3" s="1"/>
  <c r="A920" i="3" s="1"/>
  <c r="A1060" i="3" s="1"/>
  <c r="A1200" i="3" s="1"/>
  <c r="A1340" i="3" s="1"/>
  <c r="A1480" i="3" s="1"/>
  <c r="A1620" i="3" s="1"/>
  <c r="A221" i="3"/>
  <c r="A361" i="3" s="1"/>
  <c r="A501" i="3" s="1"/>
  <c r="A641" i="3" s="1"/>
  <c r="A781" i="3" s="1"/>
  <c r="A921" i="3" s="1"/>
  <c r="A1061" i="3" s="1"/>
  <c r="A1201" i="3" s="1"/>
  <c r="A1341" i="3" s="1"/>
  <c r="A1481" i="3" s="1"/>
  <c r="A1621" i="3" s="1"/>
  <c r="A222" i="3"/>
  <c r="A362" i="3" s="1"/>
  <c r="A502" i="3" s="1"/>
  <c r="A642" i="3" s="1"/>
  <c r="A782" i="3" s="1"/>
  <c r="A922" i="3" s="1"/>
  <c r="A1062" i="3" s="1"/>
  <c r="A1202" i="3" s="1"/>
  <c r="A1342" i="3" s="1"/>
  <c r="A1482" i="3" s="1"/>
  <c r="A1622" i="3" s="1"/>
  <c r="A223" i="3"/>
  <c r="A363" i="3" s="1"/>
  <c r="A503" i="3" s="1"/>
  <c r="A643" i="3" s="1"/>
  <c r="A783" i="3" s="1"/>
  <c r="A923" i="3" s="1"/>
  <c r="A1063" i="3" s="1"/>
  <c r="A1203" i="3" s="1"/>
  <c r="A1343" i="3" s="1"/>
  <c r="A1483" i="3" s="1"/>
  <c r="A1623" i="3" s="1"/>
  <c r="A224" i="3"/>
  <c r="A364" i="3" s="1"/>
  <c r="A504" i="3" s="1"/>
  <c r="A644" i="3" s="1"/>
  <c r="A784" i="3" s="1"/>
  <c r="A924" i="3" s="1"/>
  <c r="A1064" i="3" s="1"/>
  <c r="A1204" i="3" s="1"/>
  <c r="A1344" i="3" s="1"/>
  <c r="A1484" i="3" s="1"/>
  <c r="A1624" i="3" s="1"/>
  <c r="A225" i="3"/>
  <c r="A365" i="3" s="1"/>
  <c r="A505" i="3" s="1"/>
  <c r="A645" i="3" s="1"/>
  <c r="A785" i="3" s="1"/>
  <c r="A925" i="3" s="1"/>
  <c r="A1065" i="3" s="1"/>
  <c r="A1205" i="3" s="1"/>
  <c r="A1345" i="3" s="1"/>
  <c r="A1485" i="3" s="1"/>
  <c r="A1625" i="3" s="1"/>
  <c r="A226" i="3"/>
  <c r="A366" i="3" s="1"/>
  <c r="A506" i="3" s="1"/>
  <c r="A646" i="3" s="1"/>
  <c r="A786" i="3" s="1"/>
  <c r="A926" i="3" s="1"/>
  <c r="A1066" i="3" s="1"/>
  <c r="A1206" i="3" s="1"/>
  <c r="A1346" i="3" s="1"/>
  <c r="A1486" i="3" s="1"/>
  <c r="A1626" i="3" s="1"/>
  <c r="A227" i="3"/>
  <c r="A367" i="3" s="1"/>
  <c r="A507" i="3" s="1"/>
  <c r="A647" i="3" s="1"/>
  <c r="A787" i="3" s="1"/>
  <c r="A927" i="3" s="1"/>
  <c r="A1067" i="3" s="1"/>
  <c r="A1207" i="3" s="1"/>
  <c r="A1347" i="3" s="1"/>
  <c r="A1487" i="3" s="1"/>
  <c r="A1627" i="3" s="1"/>
  <c r="A228" i="3"/>
  <c r="A368" i="3" s="1"/>
  <c r="A508" i="3" s="1"/>
  <c r="A648" i="3" s="1"/>
  <c r="A788" i="3" s="1"/>
  <c r="A928" i="3" s="1"/>
  <c r="A1068" i="3" s="1"/>
  <c r="A1208" i="3" s="1"/>
  <c r="A1348" i="3" s="1"/>
  <c r="A1488" i="3" s="1"/>
  <c r="A1628" i="3" s="1"/>
  <c r="A229" i="3"/>
  <c r="A369" i="3" s="1"/>
  <c r="A509" i="3" s="1"/>
  <c r="A649" i="3" s="1"/>
  <c r="A789" i="3" s="1"/>
  <c r="A929" i="3" s="1"/>
  <c r="A1069" i="3" s="1"/>
  <c r="A1209" i="3" s="1"/>
  <c r="A1349" i="3" s="1"/>
  <c r="A1489" i="3" s="1"/>
  <c r="A1629" i="3" s="1"/>
  <c r="A230" i="3"/>
  <c r="A370" i="3" s="1"/>
  <c r="A510" i="3" s="1"/>
  <c r="A650" i="3" s="1"/>
  <c r="A790" i="3" s="1"/>
  <c r="A930" i="3" s="1"/>
  <c r="A1070" i="3" s="1"/>
  <c r="A1210" i="3" s="1"/>
  <c r="A1350" i="3" s="1"/>
  <c r="A1490" i="3" s="1"/>
  <c r="A1630" i="3" s="1"/>
  <c r="A231" i="3"/>
  <c r="A371" i="3" s="1"/>
  <c r="A511" i="3" s="1"/>
  <c r="A651" i="3" s="1"/>
  <c r="A791" i="3" s="1"/>
  <c r="A931" i="3" s="1"/>
  <c r="A1071" i="3" s="1"/>
  <c r="A1211" i="3" s="1"/>
  <c r="A1351" i="3" s="1"/>
  <c r="A1491" i="3" s="1"/>
  <c r="A1631" i="3" s="1"/>
  <c r="A232" i="3"/>
  <c r="A372" i="3" s="1"/>
  <c r="A512" i="3" s="1"/>
  <c r="A652" i="3" s="1"/>
  <c r="A792" i="3" s="1"/>
  <c r="A932" i="3" s="1"/>
  <c r="A1072" i="3" s="1"/>
  <c r="A1212" i="3" s="1"/>
  <c r="A1352" i="3" s="1"/>
  <c r="A1492" i="3" s="1"/>
  <c r="A1632" i="3" s="1"/>
  <c r="A233" i="3"/>
  <c r="A373" i="3" s="1"/>
  <c r="A513" i="3" s="1"/>
  <c r="A653" i="3" s="1"/>
  <c r="A793" i="3" s="1"/>
  <c r="A933" i="3" s="1"/>
  <c r="A1073" i="3" s="1"/>
  <c r="A1213" i="3" s="1"/>
  <c r="A1353" i="3" s="1"/>
  <c r="A1493" i="3" s="1"/>
  <c r="A1633" i="3" s="1"/>
  <c r="A234" i="3"/>
  <c r="A374" i="3" s="1"/>
  <c r="A514" i="3" s="1"/>
  <c r="A654" i="3" s="1"/>
  <c r="A794" i="3" s="1"/>
  <c r="A934" i="3" s="1"/>
  <c r="A1074" i="3" s="1"/>
  <c r="A1214" i="3" s="1"/>
  <c r="A1354" i="3" s="1"/>
  <c r="A1494" i="3" s="1"/>
  <c r="A1634" i="3" s="1"/>
  <c r="A235" i="3"/>
  <c r="A375" i="3" s="1"/>
  <c r="A515" i="3" s="1"/>
  <c r="A655" i="3" s="1"/>
  <c r="A795" i="3" s="1"/>
  <c r="A935" i="3" s="1"/>
  <c r="A1075" i="3" s="1"/>
  <c r="A1215" i="3" s="1"/>
  <c r="A1355" i="3" s="1"/>
  <c r="A1495" i="3" s="1"/>
  <c r="A1635" i="3" s="1"/>
  <c r="A236" i="3"/>
  <c r="A376" i="3" s="1"/>
  <c r="A516" i="3" s="1"/>
  <c r="A656" i="3" s="1"/>
  <c r="A796" i="3" s="1"/>
  <c r="A936" i="3" s="1"/>
  <c r="A1076" i="3" s="1"/>
  <c r="A1216" i="3" s="1"/>
  <c r="A1356" i="3" s="1"/>
  <c r="A1496" i="3" s="1"/>
  <c r="A1636" i="3" s="1"/>
  <c r="A237" i="3"/>
  <c r="A377" i="3" s="1"/>
  <c r="A517" i="3" s="1"/>
  <c r="A657" i="3" s="1"/>
  <c r="A797" i="3" s="1"/>
  <c r="A937" i="3" s="1"/>
  <c r="A1077" i="3" s="1"/>
  <c r="A1217" i="3" s="1"/>
  <c r="A1357" i="3" s="1"/>
  <c r="A1497" i="3" s="1"/>
  <c r="A1637" i="3" s="1"/>
  <c r="A238" i="3"/>
  <c r="A378" i="3" s="1"/>
  <c r="A518" i="3" s="1"/>
  <c r="A658" i="3" s="1"/>
  <c r="A798" i="3" s="1"/>
  <c r="A938" i="3" s="1"/>
  <c r="A1078" i="3" s="1"/>
  <c r="A1218" i="3" s="1"/>
  <c r="A1358" i="3" s="1"/>
  <c r="A1498" i="3" s="1"/>
  <c r="A1638" i="3" s="1"/>
  <c r="A239" i="3"/>
  <c r="A379" i="3" s="1"/>
  <c r="A519" i="3" s="1"/>
  <c r="A659" i="3" s="1"/>
  <c r="A799" i="3" s="1"/>
  <c r="A939" i="3" s="1"/>
  <c r="A1079" i="3" s="1"/>
  <c r="A1219" i="3" s="1"/>
  <c r="A1359" i="3" s="1"/>
  <c r="A1499" i="3" s="1"/>
  <c r="A1639" i="3" s="1"/>
  <c r="A240" i="3"/>
  <c r="A380" i="3" s="1"/>
  <c r="A520" i="3" s="1"/>
  <c r="A660" i="3" s="1"/>
  <c r="A800" i="3" s="1"/>
  <c r="A940" i="3" s="1"/>
  <c r="A1080" i="3" s="1"/>
  <c r="A1220" i="3" s="1"/>
  <c r="A1360" i="3" s="1"/>
  <c r="A1500" i="3" s="1"/>
  <c r="A1640" i="3" s="1"/>
  <c r="A241" i="3"/>
  <c r="A381" i="3" s="1"/>
  <c r="A521" i="3" s="1"/>
  <c r="A661" i="3" s="1"/>
  <c r="A801" i="3" s="1"/>
  <c r="A941" i="3" s="1"/>
  <c r="A1081" i="3" s="1"/>
  <c r="A1221" i="3" s="1"/>
  <c r="A1361" i="3" s="1"/>
  <c r="A1501" i="3" s="1"/>
  <c r="A1641" i="3" s="1"/>
  <c r="A242" i="3"/>
  <c r="A382" i="3" s="1"/>
  <c r="A522" i="3" s="1"/>
  <c r="A662" i="3" s="1"/>
  <c r="A802" i="3" s="1"/>
  <c r="A942" i="3" s="1"/>
  <c r="A1082" i="3" s="1"/>
  <c r="A1222" i="3" s="1"/>
  <c r="A1362" i="3" s="1"/>
  <c r="A1502" i="3" s="1"/>
  <c r="A1642" i="3" s="1"/>
  <c r="A243" i="3"/>
  <c r="A383" i="3" s="1"/>
  <c r="A523" i="3" s="1"/>
  <c r="A663" i="3" s="1"/>
  <c r="A803" i="3" s="1"/>
  <c r="A943" i="3" s="1"/>
  <c r="A1083" i="3" s="1"/>
  <c r="A1223" i="3" s="1"/>
  <c r="A1363" i="3" s="1"/>
  <c r="A1503" i="3" s="1"/>
  <c r="A1643" i="3" s="1"/>
  <c r="A244" i="3"/>
  <c r="A384" i="3" s="1"/>
  <c r="A524" i="3" s="1"/>
  <c r="A664" i="3" s="1"/>
  <c r="A804" i="3" s="1"/>
  <c r="A944" i="3" s="1"/>
  <c r="A1084" i="3" s="1"/>
  <c r="A1224" i="3" s="1"/>
  <c r="A1364" i="3" s="1"/>
  <c r="A1504" i="3" s="1"/>
  <c r="A1644" i="3" s="1"/>
  <c r="A245" i="3"/>
  <c r="A385" i="3" s="1"/>
  <c r="A525" i="3" s="1"/>
  <c r="A665" i="3" s="1"/>
  <c r="A805" i="3" s="1"/>
  <c r="A945" i="3" s="1"/>
  <c r="A1085" i="3" s="1"/>
  <c r="A1225" i="3" s="1"/>
  <c r="A1365" i="3" s="1"/>
  <c r="A1505" i="3" s="1"/>
  <c r="A1645" i="3" s="1"/>
  <c r="A246" i="3"/>
  <c r="A386" i="3" s="1"/>
  <c r="A526" i="3" s="1"/>
  <c r="A666" i="3" s="1"/>
  <c r="A806" i="3" s="1"/>
  <c r="A946" i="3" s="1"/>
  <c r="A1086" i="3" s="1"/>
  <c r="A1226" i="3" s="1"/>
  <c r="A1366" i="3" s="1"/>
  <c r="A1506" i="3" s="1"/>
  <c r="A1646" i="3" s="1"/>
  <c r="A247" i="3"/>
  <c r="A387" i="3" s="1"/>
  <c r="A527" i="3" s="1"/>
  <c r="A667" i="3" s="1"/>
  <c r="A807" i="3" s="1"/>
  <c r="A947" i="3" s="1"/>
  <c r="A1087" i="3" s="1"/>
  <c r="A1227" i="3" s="1"/>
  <c r="A1367" i="3" s="1"/>
  <c r="A1507" i="3" s="1"/>
  <c r="A1647" i="3" s="1"/>
  <c r="A248" i="3"/>
  <c r="A388" i="3" s="1"/>
  <c r="A528" i="3" s="1"/>
  <c r="A668" i="3" s="1"/>
  <c r="A808" i="3" s="1"/>
  <c r="A948" i="3" s="1"/>
  <c r="A1088" i="3" s="1"/>
  <c r="A1228" i="3" s="1"/>
  <c r="A1368" i="3" s="1"/>
  <c r="A1508" i="3" s="1"/>
  <c r="A1648" i="3" s="1"/>
  <c r="A249" i="3"/>
  <c r="A389" i="3" s="1"/>
  <c r="A529" i="3" s="1"/>
  <c r="A669" i="3" s="1"/>
  <c r="A809" i="3" s="1"/>
  <c r="A949" i="3" s="1"/>
  <c r="A1089" i="3" s="1"/>
  <c r="A1229" i="3" s="1"/>
  <c r="A1369" i="3" s="1"/>
  <c r="A1509" i="3" s="1"/>
  <c r="A1649" i="3" s="1"/>
  <c r="A250" i="3"/>
  <c r="A390" i="3" s="1"/>
  <c r="A530" i="3" s="1"/>
  <c r="A670" i="3" s="1"/>
  <c r="A810" i="3" s="1"/>
  <c r="A950" i="3" s="1"/>
  <c r="A1090" i="3" s="1"/>
  <c r="A1230" i="3" s="1"/>
  <c r="A1370" i="3" s="1"/>
  <c r="A1510" i="3" s="1"/>
  <c r="A1650" i="3" s="1"/>
  <c r="A251" i="3"/>
  <c r="A391" i="3" s="1"/>
  <c r="A531" i="3" s="1"/>
  <c r="A671" i="3" s="1"/>
  <c r="A811" i="3" s="1"/>
  <c r="A951" i="3" s="1"/>
  <c r="A1091" i="3" s="1"/>
  <c r="A1231" i="3" s="1"/>
  <c r="A1371" i="3" s="1"/>
  <c r="A1511" i="3" s="1"/>
  <c r="A1651" i="3" s="1"/>
  <c r="A252" i="3"/>
  <c r="A392" i="3" s="1"/>
  <c r="A532" i="3" s="1"/>
  <c r="A672" i="3" s="1"/>
  <c r="A812" i="3" s="1"/>
  <c r="A952" i="3" s="1"/>
  <c r="A1092" i="3" s="1"/>
  <c r="A1232" i="3" s="1"/>
  <c r="A1372" i="3" s="1"/>
  <c r="A1512" i="3" s="1"/>
  <c r="A1652" i="3" s="1"/>
  <c r="A253" i="3"/>
  <c r="A393" i="3" s="1"/>
  <c r="A533" i="3" s="1"/>
  <c r="A673" i="3" s="1"/>
  <c r="A813" i="3" s="1"/>
  <c r="A953" i="3" s="1"/>
  <c r="A1093" i="3" s="1"/>
  <c r="A1233" i="3" s="1"/>
  <c r="A1373" i="3" s="1"/>
  <c r="A1513" i="3" s="1"/>
  <c r="A1653" i="3" s="1"/>
  <c r="A254" i="3"/>
  <c r="A394" i="3" s="1"/>
  <c r="A534" i="3" s="1"/>
  <c r="A674" i="3" s="1"/>
  <c r="A814" i="3" s="1"/>
  <c r="A954" i="3" s="1"/>
  <c r="A1094" i="3" s="1"/>
  <c r="A1234" i="3" s="1"/>
  <c r="A1374" i="3" s="1"/>
  <c r="A1514" i="3" s="1"/>
  <c r="A1654" i="3" s="1"/>
  <c r="A255" i="3"/>
  <c r="A395" i="3" s="1"/>
  <c r="A535" i="3" s="1"/>
  <c r="A675" i="3" s="1"/>
  <c r="A815" i="3" s="1"/>
  <c r="A955" i="3" s="1"/>
  <c r="A1095" i="3" s="1"/>
  <c r="A1235" i="3" s="1"/>
  <c r="A1375" i="3" s="1"/>
  <c r="A1515" i="3" s="1"/>
  <c r="A1655" i="3" s="1"/>
  <c r="A256" i="3"/>
  <c r="A396" i="3" s="1"/>
  <c r="A536" i="3" s="1"/>
  <c r="A676" i="3" s="1"/>
  <c r="A816" i="3" s="1"/>
  <c r="A956" i="3" s="1"/>
  <c r="A1096" i="3" s="1"/>
  <c r="A1236" i="3" s="1"/>
  <c r="A1376" i="3" s="1"/>
  <c r="A1516" i="3" s="1"/>
  <c r="A1656" i="3" s="1"/>
  <c r="A257" i="3"/>
  <c r="A397" i="3" s="1"/>
  <c r="A537" i="3" s="1"/>
  <c r="A677" i="3" s="1"/>
  <c r="A817" i="3" s="1"/>
  <c r="A957" i="3" s="1"/>
  <c r="A1097" i="3" s="1"/>
  <c r="A1237" i="3" s="1"/>
  <c r="A1377" i="3" s="1"/>
  <c r="A1517" i="3" s="1"/>
  <c r="A1657" i="3" s="1"/>
  <c r="A258" i="3"/>
  <c r="A398" i="3" s="1"/>
  <c r="A538" i="3" s="1"/>
  <c r="A678" i="3" s="1"/>
  <c r="A818" i="3" s="1"/>
  <c r="A958" i="3" s="1"/>
  <c r="A1098" i="3" s="1"/>
  <c r="A1238" i="3" s="1"/>
  <c r="A1378" i="3" s="1"/>
  <c r="A1518" i="3" s="1"/>
  <c r="A1658" i="3" s="1"/>
  <c r="A259" i="3"/>
  <c r="A399" i="3" s="1"/>
  <c r="A539" i="3" s="1"/>
  <c r="A679" i="3" s="1"/>
  <c r="A819" i="3" s="1"/>
  <c r="A959" i="3" s="1"/>
  <c r="A1099" i="3" s="1"/>
  <c r="A1239" i="3" s="1"/>
  <c r="A1379" i="3" s="1"/>
  <c r="A1519" i="3" s="1"/>
  <c r="A1659" i="3" s="1"/>
  <c r="A260" i="3"/>
  <c r="A400" i="3" s="1"/>
  <c r="A540" i="3" s="1"/>
  <c r="A680" i="3" s="1"/>
  <c r="A820" i="3" s="1"/>
  <c r="A960" i="3" s="1"/>
  <c r="A1100" i="3" s="1"/>
  <c r="A1240" i="3" s="1"/>
  <c r="A1380" i="3" s="1"/>
  <c r="A1520" i="3" s="1"/>
  <c r="A1660" i="3" s="1"/>
  <c r="A261" i="3"/>
  <c r="A401" i="3" s="1"/>
  <c r="A541" i="3" s="1"/>
  <c r="A681" i="3" s="1"/>
  <c r="A821" i="3" s="1"/>
  <c r="A961" i="3" s="1"/>
  <c r="A1101" i="3" s="1"/>
  <c r="A1241" i="3" s="1"/>
  <c r="A1381" i="3" s="1"/>
  <c r="A1521" i="3" s="1"/>
  <c r="A1661" i="3" s="1"/>
  <c r="A262" i="3"/>
  <c r="A402" i="3" s="1"/>
  <c r="A542" i="3" s="1"/>
  <c r="A682" i="3" s="1"/>
  <c r="A822" i="3" s="1"/>
  <c r="A962" i="3" s="1"/>
  <c r="A1102" i="3" s="1"/>
  <c r="A1242" i="3" s="1"/>
  <c r="A1382" i="3" s="1"/>
  <c r="A1522" i="3" s="1"/>
  <c r="A1662" i="3" s="1"/>
  <c r="A263" i="3"/>
  <c r="A403" i="3" s="1"/>
  <c r="A543" i="3" s="1"/>
  <c r="A683" i="3" s="1"/>
  <c r="A823" i="3" s="1"/>
  <c r="A963" i="3" s="1"/>
  <c r="A1103" i="3" s="1"/>
  <c r="A1243" i="3" s="1"/>
  <c r="A1383" i="3" s="1"/>
  <c r="A1523" i="3" s="1"/>
  <c r="A1663" i="3" s="1"/>
  <c r="A264" i="3"/>
  <c r="A404" i="3" s="1"/>
  <c r="A544" i="3" s="1"/>
  <c r="A684" i="3" s="1"/>
  <c r="A824" i="3" s="1"/>
  <c r="A964" i="3" s="1"/>
  <c r="A1104" i="3" s="1"/>
  <c r="A1244" i="3" s="1"/>
  <c r="A1384" i="3" s="1"/>
  <c r="A1524" i="3" s="1"/>
  <c r="A1664" i="3" s="1"/>
  <c r="A265" i="3"/>
  <c r="A405" i="3" s="1"/>
  <c r="A545" i="3" s="1"/>
  <c r="A685" i="3" s="1"/>
  <c r="A825" i="3" s="1"/>
  <c r="A965" i="3" s="1"/>
  <c r="A1105" i="3" s="1"/>
  <c r="A1245" i="3" s="1"/>
  <c r="A1385" i="3" s="1"/>
  <c r="A1525" i="3" s="1"/>
  <c r="A1665" i="3" s="1"/>
  <c r="A266" i="3"/>
  <c r="A406" i="3" s="1"/>
  <c r="A546" i="3" s="1"/>
  <c r="A686" i="3" s="1"/>
  <c r="A826" i="3" s="1"/>
  <c r="A966" i="3" s="1"/>
  <c r="A1106" i="3" s="1"/>
  <c r="A1246" i="3" s="1"/>
  <c r="A1386" i="3" s="1"/>
  <c r="A1526" i="3" s="1"/>
  <c r="A1666" i="3" s="1"/>
  <c r="A267" i="3"/>
  <c r="A407" i="3" s="1"/>
  <c r="A547" i="3" s="1"/>
  <c r="A687" i="3" s="1"/>
  <c r="A827" i="3" s="1"/>
  <c r="A967" i="3" s="1"/>
  <c r="A1107" i="3" s="1"/>
  <c r="A1247" i="3" s="1"/>
  <c r="A1387" i="3" s="1"/>
  <c r="A1527" i="3" s="1"/>
  <c r="A1667" i="3" s="1"/>
  <c r="A268" i="3"/>
  <c r="A408" i="3" s="1"/>
  <c r="A548" i="3" s="1"/>
  <c r="A688" i="3" s="1"/>
  <c r="A828" i="3" s="1"/>
  <c r="A968" i="3" s="1"/>
  <c r="A1108" i="3" s="1"/>
  <c r="A1248" i="3" s="1"/>
  <c r="A1388" i="3" s="1"/>
  <c r="A1528" i="3" s="1"/>
  <c r="A1668" i="3" s="1"/>
  <c r="A269" i="3"/>
  <c r="A409" i="3" s="1"/>
  <c r="A549" i="3" s="1"/>
  <c r="A689" i="3" s="1"/>
  <c r="A829" i="3" s="1"/>
  <c r="A969" i="3" s="1"/>
  <c r="A1109" i="3" s="1"/>
  <c r="A1249" i="3" s="1"/>
  <c r="A1389" i="3" s="1"/>
  <c r="A1529" i="3" s="1"/>
  <c r="A1669" i="3" s="1"/>
  <c r="A270" i="3"/>
  <c r="A410" i="3" s="1"/>
  <c r="A550" i="3" s="1"/>
  <c r="A690" i="3" s="1"/>
  <c r="A830" i="3" s="1"/>
  <c r="A970" i="3" s="1"/>
  <c r="A1110" i="3" s="1"/>
  <c r="A1250" i="3" s="1"/>
  <c r="A1390" i="3" s="1"/>
  <c r="A1530" i="3" s="1"/>
  <c r="A1670" i="3" s="1"/>
  <c r="A271" i="3"/>
  <c r="A411" i="3" s="1"/>
  <c r="A551" i="3" s="1"/>
  <c r="A691" i="3" s="1"/>
  <c r="A831" i="3" s="1"/>
  <c r="A971" i="3" s="1"/>
  <c r="A1111" i="3" s="1"/>
  <c r="A1251" i="3" s="1"/>
  <c r="A1391" i="3" s="1"/>
  <c r="A1531" i="3" s="1"/>
  <c r="A1671" i="3" s="1"/>
  <c r="A272" i="3"/>
  <c r="A412" i="3" s="1"/>
  <c r="A552" i="3" s="1"/>
  <c r="A692" i="3" s="1"/>
  <c r="A832" i="3" s="1"/>
  <c r="A972" i="3" s="1"/>
  <c r="A1112" i="3" s="1"/>
  <c r="A1252" i="3" s="1"/>
  <c r="A1392" i="3" s="1"/>
  <c r="A1532" i="3" s="1"/>
  <c r="A1672" i="3" s="1"/>
  <c r="A273" i="3"/>
  <c r="A413" i="3" s="1"/>
  <c r="A553" i="3" s="1"/>
  <c r="A693" i="3" s="1"/>
  <c r="A833" i="3" s="1"/>
  <c r="A973" i="3" s="1"/>
  <c r="A1113" i="3" s="1"/>
  <c r="A1253" i="3" s="1"/>
  <c r="A1393" i="3" s="1"/>
  <c r="A1533" i="3" s="1"/>
  <c r="A1673" i="3" s="1"/>
  <c r="A274" i="3"/>
  <c r="A414" i="3" s="1"/>
  <c r="A554" i="3" s="1"/>
  <c r="A694" i="3" s="1"/>
  <c r="A834" i="3" s="1"/>
  <c r="A974" i="3" s="1"/>
  <c r="A1114" i="3" s="1"/>
  <c r="A1254" i="3" s="1"/>
  <c r="A1394" i="3" s="1"/>
  <c r="A1534" i="3" s="1"/>
  <c r="A1674" i="3" s="1"/>
  <c r="A275" i="3"/>
  <c r="A415" i="3" s="1"/>
  <c r="A555" i="3" s="1"/>
  <c r="A695" i="3" s="1"/>
  <c r="A835" i="3" s="1"/>
  <c r="A975" i="3" s="1"/>
  <c r="A1115" i="3" s="1"/>
  <c r="A1255" i="3" s="1"/>
  <c r="A1395" i="3" s="1"/>
  <c r="A1535" i="3" s="1"/>
  <c r="A1675" i="3" s="1"/>
  <c r="A276" i="3"/>
  <c r="A416" i="3" s="1"/>
  <c r="A556" i="3" s="1"/>
  <c r="A696" i="3" s="1"/>
  <c r="A836" i="3" s="1"/>
  <c r="A976" i="3" s="1"/>
  <c r="A1116" i="3" s="1"/>
  <c r="A1256" i="3" s="1"/>
  <c r="A1396" i="3" s="1"/>
  <c r="A1536" i="3" s="1"/>
  <c r="A1676" i="3" s="1"/>
  <c r="A277" i="3"/>
  <c r="A417" i="3" s="1"/>
  <c r="A557" i="3" s="1"/>
  <c r="A697" i="3" s="1"/>
  <c r="A837" i="3" s="1"/>
  <c r="A977" i="3" s="1"/>
  <c r="A1117" i="3" s="1"/>
  <c r="A1257" i="3" s="1"/>
  <c r="A1397" i="3" s="1"/>
  <c r="A1537" i="3" s="1"/>
  <c r="A1677" i="3" s="1"/>
  <c r="A278" i="3"/>
  <c r="A418" i="3" s="1"/>
  <c r="A558" i="3" s="1"/>
  <c r="A698" i="3" s="1"/>
  <c r="A838" i="3" s="1"/>
  <c r="A978" i="3" s="1"/>
  <c r="A1118" i="3" s="1"/>
  <c r="A1258" i="3" s="1"/>
  <c r="A1398" i="3" s="1"/>
  <c r="A1538" i="3" s="1"/>
  <c r="A1678" i="3" s="1"/>
  <c r="A279" i="3"/>
  <c r="A419" i="3" s="1"/>
  <c r="A559" i="3" s="1"/>
  <c r="A699" i="3" s="1"/>
  <c r="A839" i="3" s="1"/>
  <c r="A979" i="3" s="1"/>
  <c r="A1119" i="3" s="1"/>
  <c r="A1259" i="3" s="1"/>
  <c r="A1399" i="3" s="1"/>
  <c r="A1539" i="3" s="1"/>
  <c r="A1679" i="3" s="1"/>
  <c r="A280" i="3"/>
  <c r="A420" i="3" s="1"/>
  <c r="A560" i="3" s="1"/>
  <c r="A700" i="3" s="1"/>
  <c r="A840" i="3" s="1"/>
  <c r="A980" i="3" s="1"/>
  <c r="A1120" i="3" s="1"/>
  <c r="A1260" i="3" s="1"/>
  <c r="A1400" i="3" s="1"/>
  <c r="A1540" i="3" s="1"/>
  <c r="A1680" i="3" s="1"/>
  <c r="A281" i="3"/>
  <c r="A421" i="3" s="1"/>
  <c r="A561" i="3" s="1"/>
  <c r="A701" i="3" s="1"/>
  <c r="A841" i="3" s="1"/>
  <c r="A981" i="3" s="1"/>
  <c r="A1121" i="3" s="1"/>
  <c r="A1261" i="3" s="1"/>
  <c r="A1401" i="3" s="1"/>
  <c r="A1541" i="3" s="1"/>
  <c r="A1681" i="3" s="1"/>
  <c r="A424" i="3"/>
  <c r="A564" i="3" s="1"/>
  <c r="A704" i="3" s="1"/>
  <c r="A844" i="3" s="1"/>
  <c r="A984" i="3" s="1"/>
  <c r="A1124" i="3" s="1"/>
  <c r="A1264" i="3" s="1"/>
  <c r="A1404" i="3" s="1"/>
  <c r="A1544" i="3" s="1"/>
  <c r="A456" i="3"/>
  <c r="A596" i="3" s="1"/>
  <c r="A736" i="3" s="1"/>
  <c r="A876" i="3" s="1"/>
  <c r="A1016" i="3" s="1"/>
  <c r="A1156" i="3" s="1"/>
  <c r="A1296" i="3" s="1"/>
  <c r="A1436" i="3" s="1"/>
  <c r="A1576" i="3" s="1"/>
  <c r="A142" i="3"/>
  <c r="A282" i="3" s="1"/>
  <c r="A422" i="3" s="1"/>
  <c r="A562" i="3" s="1"/>
  <c r="A702" i="3" s="1"/>
  <c r="A842" i="3" s="1"/>
  <c r="A982" i="3" s="1"/>
  <c r="A1122" i="3" s="1"/>
  <c r="A1262" i="3" s="1"/>
  <c r="A1402" i="3" s="1"/>
  <c r="A1542" i="3" s="1"/>
  <c r="E13" i="6" l="1"/>
  <c r="C13" i="6"/>
  <c r="B13" i="6"/>
  <c r="H3" i="6"/>
  <c r="H13" i="6"/>
  <c r="G13" i="6"/>
  <c r="D13" i="6"/>
  <c r="F13" i="6" s="1"/>
  <c r="B13" i="7"/>
  <c r="B9" i="7"/>
  <c r="B5" i="7"/>
  <c r="B12" i="7"/>
  <c r="B8" i="7"/>
  <c r="B4" i="7"/>
  <c r="B11" i="7"/>
  <c r="B7" i="7"/>
  <c r="B3" i="7"/>
  <c r="B10" i="7"/>
  <c r="B6" i="7"/>
  <c r="B2" i="7"/>
  <c r="C5" i="7"/>
  <c r="C12" i="7"/>
  <c r="C8" i="7"/>
  <c r="C11" i="7"/>
  <c r="C7" i="7"/>
  <c r="C3" i="7"/>
  <c r="C13" i="7"/>
  <c r="C9" i="7"/>
  <c r="C4" i="7"/>
  <c r="C10" i="7"/>
  <c r="C6" i="7"/>
  <c r="C2" i="7"/>
  <c r="G6" i="6"/>
  <c r="H2" i="6"/>
  <c r="H10" i="6"/>
  <c r="H6" i="6"/>
  <c r="H9" i="6"/>
  <c r="H5" i="6"/>
  <c r="H12" i="6"/>
  <c r="H8" i="6"/>
  <c r="H4" i="6"/>
  <c r="G3" i="6"/>
  <c r="H11" i="6"/>
  <c r="H7" i="6"/>
  <c r="G2" i="6"/>
  <c r="G10" i="6"/>
  <c r="E5" i="6"/>
  <c r="G9" i="6"/>
  <c r="G5" i="6"/>
  <c r="E3" i="6"/>
  <c r="G12" i="6"/>
  <c r="G8" i="6"/>
  <c r="G4" i="6"/>
  <c r="G11" i="6"/>
  <c r="G7" i="6"/>
  <c r="E2" i="6"/>
  <c r="E10" i="6"/>
  <c r="E6" i="6"/>
  <c r="E9" i="6"/>
  <c r="E12" i="6"/>
  <c r="E8" i="6"/>
  <c r="E4" i="6"/>
  <c r="E11" i="6"/>
  <c r="E7" i="6"/>
  <c r="C2" i="6"/>
  <c r="C9" i="6"/>
  <c r="C5" i="6"/>
  <c r="C12" i="6"/>
  <c r="C8" i="6"/>
  <c r="C4" i="6"/>
  <c r="C11" i="6"/>
  <c r="C7" i="6"/>
  <c r="C3" i="6"/>
  <c r="C10" i="6"/>
  <c r="C6" i="6"/>
  <c r="B12" i="6"/>
  <c r="B11" i="6"/>
  <c r="B7" i="6"/>
  <c r="B3" i="6"/>
  <c r="B8" i="6"/>
  <c r="B4" i="6"/>
  <c r="B9" i="6"/>
  <c r="B6" i="6"/>
  <c r="B10" i="6"/>
  <c r="B5" i="6"/>
  <c r="I13" i="6" l="1"/>
  <c r="D12" i="6"/>
  <c r="F12" i="6" s="1"/>
  <c r="F30" i="6" s="1"/>
  <c r="E4" i="7"/>
  <c r="D4" i="7"/>
  <c r="E2" i="7"/>
  <c r="D2" i="7"/>
  <c r="E7" i="7"/>
  <c r="D7" i="7"/>
  <c r="E12" i="7"/>
  <c r="D12" i="7"/>
  <c r="E6" i="7"/>
  <c r="D6" i="7"/>
  <c r="E11" i="7"/>
  <c r="D11" i="7"/>
  <c r="E5" i="7"/>
  <c r="D5" i="7"/>
  <c r="E9" i="7"/>
  <c r="D9" i="7"/>
  <c r="E10" i="7"/>
  <c r="D10" i="7"/>
  <c r="E3" i="7"/>
  <c r="D3" i="7"/>
  <c r="E8" i="7"/>
  <c r="D8" i="7"/>
  <c r="E13" i="7"/>
  <c r="D13" i="7"/>
  <c r="D30" i="6"/>
  <c r="D5" i="6"/>
  <c r="D23" i="6" s="1"/>
  <c r="D6" i="6"/>
  <c r="B30" i="6"/>
  <c r="C30" i="6"/>
  <c r="D4" i="6"/>
  <c r="D22" i="6" s="1"/>
  <c r="D8" i="6"/>
  <c r="C26" i="6" s="1"/>
  <c r="D10" i="6"/>
  <c r="D2" i="6"/>
  <c r="D9" i="6"/>
  <c r="C27" i="6" s="1"/>
  <c r="D3" i="6"/>
  <c r="D7" i="6"/>
  <c r="D11" i="6"/>
  <c r="C29" i="6" s="1"/>
  <c r="I12" i="6" l="1"/>
  <c r="G30" i="6" s="1"/>
  <c r="E30" i="6"/>
  <c r="C23" i="6"/>
  <c r="B22" i="6"/>
  <c r="B29" i="6"/>
  <c r="D27" i="6"/>
  <c r="C20" i="6"/>
  <c r="D29" i="6"/>
  <c r="D20" i="6"/>
  <c r="B20" i="6"/>
  <c r="F7" i="6"/>
  <c r="I7" i="6" s="1"/>
  <c r="G25" i="6" s="1"/>
  <c r="E25" i="6"/>
  <c r="F10" i="6"/>
  <c r="I10" i="6" s="1"/>
  <c r="G28" i="6" s="1"/>
  <c r="E28" i="6"/>
  <c r="G31" i="6"/>
  <c r="E31" i="6"/>
  <c r="E24" i="6"/>
  <c r="D24" i="6"/>
  <c r="D31" i="6"/>
  <c r="F3" i="6"/>
  <c r="I3" i="6" s="1"/>
  <c r="G21" i="6" s="1"/>
  <c r="E21" i="6"/>
  <c r="D21" i="6"/>
  <c r="F8" i="6"/>
  <c r="I8" i="6" s="1"/>
  <c r="G26" i="6" s="1"/>
  <c r="E26" i="6"/>
  <c r="C21" i="6"/>
  <c r="C25" i="6"/>
  <c r="B28" i="6"/>
  <c r="D26" i="6"/>
  <c r="F9" i="6"/>
  <c r="F27" i="6" s="1"/>
  <c r="E27" i="6"/>
  <c r="F6" i="6"/>
  <c r="I6" i="6" s="1"/>
  <c r="G24" i="6" s="1"/>
  <c r="B31" i="6"/>
  <c r="F5" i="6"/>
  <c r="E23" i="6"/>
  <c r="D25" i="6"/>
  <c r="B26" i="6"/>
  <c r="C31" i="6"/>
  <c r="F11" i="6"/>
  <c r="I11" i="6" s="1"/>
  <c r="G29" i="6" s="1"/>
  <c r="E29" i="6"/>
  <c r="F2" i="6"/>
  <c r="I2" i="6" s="1"/>
  <c r="E20" i="6"/>
  <c r="F4" i="6"/>
  <c r="I4" i="6" s="1"/>
  <c r="G22" i="6" s="1"/>
  <c r="E22" i="6"/>
  <c r="C28" i="6"/>
  <c r="B25" i="6"/>
  <c r="C22" i="6"/>
  <c r="D28" i="6"/>
  <c r="B24" i="6"/>
  <c r="C24" i="6"/>
  <c r="B21" i="6"/>
  <c r="B27" i="6"/>
  <c r="B23" i="6"/>
  <c r="I9" i="6"/>
  <c r="G27" i="6" s="1"/>
  <c r="F25" i="6" l="1"/>
  <c r="F21" i="6"/>
  <c r="F24" i="6"/>
  <c r="F29" i="6"/>
  <c r="F26" i="6"/>
  <c r="F20" i="6"/>
  <c r="F31" i="6"/>
  <c r="I5" i="6"/>
  <c r="G23" i="6" s="1"/>
  <c r="F23" i="6"/>
  <c r="F22" i="6"/>
  <c r="F28" i="6"/>
  <c r="G20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28BFE5-BB24-42E7-83D8-09364D78D1D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8DFF17F-F7C7-4051-A068-3F9BEED0BD68}" name="WorksheetConnection_DRE 2019.xlsx!fRealizado5" type="102" refreshedVersion="8" minRefreshableVersion="5">
    <extLst>
      <ext xmlns:x15="http://schemas.microsoft.com/office/spreadsheetml/2010/11/main" uri="{DE250136-89BD-433C-8126-D09CA5730AF9}">
        <x15:connection id="fRealizado5" autoDelete="1">
          <x15:rangePr sourceName="_xlcn.WorksheetConnection_DRE2019.xlsxfRealizado51"/>
        </x15:connection>
      </ext>
    </extLst>
  </connection>
  <connection id="3" xr16:uid="{BFEC82B6-F9B4-44C0-B39C-616F024D742A}" name="WorksheetConnection_DRE 2019.xlsx!Tabela9" type="102" refreshedVersion="8" minRefreshableVersion="5">
    <extLst>
      <ext xmlns:x15="http://schemas.microsoft.com/office/spreadsheetml/2010/11/main" uri="{DE250136-89BD-433C-8126-D09CA5730AF9}">
        <x15:connection id="Tabela9">
          <x15:rangePr sourceName="_xlcn.WorksheetConnection_DRE2019.xlsxTabela91"/>
        </x15:connection>
      </ext>
    </extLst>
  </connection>
</connections>
</file>

<file path=xl/sharedStrings.xml><?xml version="1.0" encoding="utf-8"?>
<sst xmlns="http://schemas.openxmlformats.org/spreadsheetml/2006/main" count="7454" uniqueCount="350">
  <si>
    <t>Grupo</t>
  </si>
  <si>
    <t>Subtotal?</t>
  </si>
  <si>
    <t>(-) Impostos</t>
  </si>
  <si>
    <t>(=) RECEITA LÍQUIDA</t>
  </si>
  <si>
    <t>(=) LUCRO BRUTO</t>
  </si>
  <si>
    <t>(=) LUCRO LÍQUIDO</t>
  </si>
  <si>
    <t>Conta</t>
  </si>
  <si>
    <t>Descrição da Conta</t>
  </si>
  <si>
    <t>Nível 1</t>
  </si>
  <si>
    <t>Nível 2</t>
  </si>
  <si>
    <t>Venda de Smart TV 50' 4K</t>
  </si>
  <si>
    <t>Venda de iPhone 7</t>
  </si>
  <si>
    <t>Venda de Galaxy S10</t>
  </si>
  <si>
    <t>Venda de Apple Watch</t>
  </si>
  <si>
    <t>Venda de Câmera Digital Rebel T6</t>
  </si>
  <si>
    <t>Venda de TV LED 32'</t>
  </si>
  <si>
    <t>Venda de Inspiron 15</t>
  </si>
  <si>
    <t>Venda de Smart TV LED Full HD 55'</t>
  </si>
  <si>
    <t>Venda de Moto G7</t>
  </si>
  <si>
    <t>Venda de iPhone 6S</t>
  </si>
  <si>
    <t>Venda de Tablet M10 Android</t>
  </si>
  <si>
    <t>Venda de Dell G7</t>
  </si>
  <si>
    <t>Venda de Câmera Coolpix L340</t>
  </si>
  <si>
    <t>Venda de Galaxy J8</t>
  </si>
  <si>
    <t>Venda de Câmera Digital Sony Cyber</t>
  </si>
  <si>
    <t>Venda de Smart Watch Galaxy</t>
  </si>
  <si>
    <t>Venda de Smart TV 75' 4K</t>
  </si>
  <si>
    <t>Venda de Smart Watch MI</t>
  </si>
  <si>
    <t>Venda de iPhone XS</t>
  </si>
  <si>
    <t>Venda de Moto Z</t>
  </si>
  <si>
    <t>Venda de Galaxy S8</t>
  </si>
  <si>
    <t>Venda de iPad 32GB Wifi</t>
  </si>
  <si>
    <t>Venda de Samsung Dual Core</t>
  </si>
  <si>
    <t>Venda de Aspire 5</t>
  </si>
  <si>
    <t>(-) Despesas Gerais</t>
  </si>
  <si>
    <t>(+) RECEITA BRUTA</t>
  </si>
  <si>
    <t>(-) Custos de Vendas</t>
  </si>
  <si>
    <t>02 - Outras Receitas</t>
  </si>
  <si>
    <t>(-) Deduções da Receita</t>
  </si>
  <si>
    <t>03 - Devoluções de Produtos</t>
  </si>
  <si>
    <t>04 - Taxas de Serviço</t>
  </si>
  <si>
    <t>05 - Custo do Produto</t>
  </si>
  <si>
    <t>06 - Outros Custos</t>
  </si>
  <si>
    <t>07 - Despesas Administrativas</t>
  </si>
  <si>
    <t>08 - Despesas Financeiras</t>
  </si>
  <si>
    <t>10 - Recursos Humanos</t>
  </si>
  <si>
    <t>09 - Tecnologia da Informação</t>
  </si>
  <si>
    <t>11 - Relacionamento com Cliente</t>
  </si>
  <si>
    <t>12 - Marketing e Divulgação</t>
  </si>
  <si>
    <t>13 - Impostos Estaduais</t>
  </si>
  <si>
    <t>14 - Impostos Federais</t>
  </si>
  <si>
    <t>999015461</t>
  </si>
  <si>
    <t>999149616</t>
  </si>
  <si>
    <t>999113857</t>
  </si>
  <si>
    <t>999085686</t>
  </si>
  <si>
    <t>999048672</t>
  </si>
  <si>
    <t>999040128</t>
  </si>
  <si>
    <t>999095851</t>
  </si>
  <si>
    <t>999081468</t>
  </si>
  <si>
    <t>999072838</t>
  </si>
  <si>
    <t>999170260</t>
  </si>
  <si>
    <t>999090462</t>
  </si>
  <si>
    <t>999106286</t>
  </si>
  <si>
    <t>999165933</t>
  </si>
  <si>
    <t>999042333</t>
  </si>
  <si>
    <t>999056853</t>
  </si>
  <si>
    <t>999197804</t>
  </si>
  <si>
    <t>999120746</t>
  </si>
  <si>
    <t>999080229</t>
  </si>
  <si>
    <t>999099884</t>
  </si>
  <si>
    <t>999186602</t>
  </si>
  <si>
    <t>999065765</t>
  </si>
  <si>
    <t>999051933</t>
  </si>
  <si>
    <t>999115414</t>
  </si>
  <si>
    <t>999179386</t>
  </si>
  <si>
    <t>999108402</t>
  </si>
  <si>
    <t>999189553</t>
  </si>
  <si>
    <t>999016449</t>
  </si>
  <si>
    <t>999070626</t>
  </si>
  <si>
    <t>999138357</t>
  </si>
  <si>
    <t>999019332</t>
  </si>
  <si>
    <t>999184404</t>
  </si>
  <si>
    <t>999017357</t>
  </si>
  <si>
    <t>999191759</t>
  </si>
  <si>
    <t>999092726</t>
  </si>
  <si>
    <t>999148679</t>
  </si>
  <si>
    <t>999071118</t>
  </si>
  <si>
    <t>999199624</t>
  </si>
  <si>
    <t>999089511</t>
  </si>
  <si>
    <t>999155491</t>
  </si>
  <si>
    <t>999003585</t>
  </si>
  <si>
    <t>999147986</t>
  </si>
  <si>
    <t>999103396</t>
  </si>
  <si>
    <t>999180263</t>
  </si>
  <si>
    <t>999136406</t>
  </si>
  <si>
    <t>999116750</t>
  </si>
  <si>
    <t>999083952</t>
  </si>
  <si>
    <t>999098860</t>
  </si>
  <si>
    <t>999172803</t>
  </si>
  <si>
    <t>999046632</t>
  </si>
  <si>
    <t>999195325</t>
  </si>
  <si>
    <t>999121305</t>
  </si>
  <si>
    <t>999039922</t>
  </si>
  <si>
    <t>999137412</t>
  </si>
  <si>
    <t>999169406</t>
  </si>
  <si>
    <t>999111622</t>
  </si>
  <si>
    <t>999143558</t>
  </si>
  <si>
    <t>999087633</t>
  </si>
  <si>
    <t>999110172</t>
  </si>
  <si>
    <t>999067706</t>
  </si>
  <si>
    <t>999112844</t>
  </si>
  <si>
    <t>999101364</t>
  </si>
  <si>
    <t>999032538</t>
  </si>
  <si>
    <t>999059216</t>
  </si>
  <si>
    <t>999146444</t>
  </si>
  <si>
    <t>999154453</t>
  </si>
  <si>
    <t>999135766</t>
  </si>
  <si>
    <t>999022201</t>
  </si>
  <si>
    <t>999038456</t>
  </si>
  <si>
    <t>999002843</t>
  </si>
  <si>
    <t>999150458</t>
  </si>
  <si>
    <t>999122929</t>
  </si>
  <si>
    <t>999162498</t>
  </si>
  <si>
    <t>999023732</t>
  </si>
  <si>
    <t>999027610</t>
  </si>
  <si>
    <t>999124542</t>
  </si>
  <si>
    <t>999063752</t>
  </si>
  <si>
    <t>999034590</t>
  </si>
  <si>
    <t>999187420</t>
  </si>
  <si>
    <t>999033382</t>
  </si>
  <si>
    <t>999052943</t>
  </si>
  <si>
    <t>999164986</t>
  </si>
  <si>
    <t>999073268</t>
  </si>
  <si>
    <t>999168653</t>
  </si>
  <si>
    <t>999054980</t>
  </si>
  <si>
    <t>999158137</t>
  </si>
  <si>
    <t>999013737</t>
  </si>
  <si>
    <t>999000744</t>
  </si>
  <si>
    <t>999126769</t>
  </si>
  <si>
    <t>999028430</t>
  </si>
  <si>
    <t>999079693</t>
  </si>
  <si>
    <t>999044150</t>
  </si>
  <si>
    <t>999152392</t>
  </si>
  <si>
    <t>999109722</t>
  </si>
  <si>
    <t>999076923</t>
  </si>
  <si>
    <t>999018231</t>
  </si>
  <si>
    <t>999140400</t>
  </si>
  <si>
    <t>999177748</t>
  </si>
  <si>
    <t>999175118</t>
  </si>
  <si>
    <t>999043406</t>
  </si>
  <si>
    <t>999107550</t>
  </si>
  <si>
    <t>999132225</t>
  </si>
  <si>
    <t>999232304</t>
  </si>
  <si>
    <t>999202334</t>
  </si>
  <si>
    <t>999182946</t>
  </si>
  <si>
    <t>999214784</t>
  </si>
  <si>
    <t>999299503</t>
  </si>
  <si>
    <t>999279609</t>
  </si>
  <si>
    <t>999159953</t>
  </si>
  <si>
    <t>999277548</t>
  </si>
  <si>
    <t>999263217</t>
  </si>
  <si>
    <t>999030528</t>
  </si>
  <si>
    <t>999105858</t>
  </si>
  <si>
    <t>999218493</t>
  </si>
  <si>
    <t>999231822</t>
  </si>
  <si>
    <t>999203487</t>
  </si>
  <si>
    <t>999129965</t>
  </si>
  <si>
    <t>999060466</t>
  </si>
  <si>
    <t>999188347</t>
  </si>
  <si>
    <t>999091897</t>
  </si>
  <si>
    <t>999194419</t>
  </si>
  <si>
    <t>999045388</t>
  </si>
  <si>
    <t>999246996</t>
  </si>
  <si>
    <t>999249195</t>
  </si>
  <si>
    <t>999302816</t>
  </si>
  <si>
    <t>999151758</t>
  </si>
  <si>
    <t>999413222</t>
  </si>
  <si>
    <t>999384719</t>
  </si>
  <si>
    <t>999423759</t>
  </si>
  <si>
    <t>999005762</t>
  </si>
  <si>
    <t>999419236</t>
  </si>
  <si>
    <t>999397114</t>
  </si>
  <si>
    <t>999245990</t>
  </si>
  <si>
    <t>999322870</t>
  </si>
  <si>
    <t>999088875</t>
  </si>
  <si>
    <t>999378233</t>
  </si>
  <si>
    <t>999225761</t>
  </si>
  <si>
    <t>999288543</t>
  </si>
  <si>
    <t>999264413</t>
  </si>
  <si>
    <t>999156872</t>
  </si>
  <si>
    <t>999119901</t>
  </si>
  <si>
    <t>Mês/Ano</t>
  </si>
  <si>
    <t>Valor Orçado</t>
  </si>
  <si>
    <t>Ordem</t>
  </si>
  <si>
    <t>Valor Realizado</t>
  </si>
  <si>
    <t>01 - Vendas de Produtos</t>
  </si>
  <si>
    <t>CONTA XXX.XX.025</t>
  </si>
  <si>
    <t>CONTA XXX.XX.026</t>
  </si>
  <si>
    <t>CONTA XXX.XX.027</t>
  </si>
  <si>
    <t>CONTA XXX.XX.028</t>
  </si>
  <si>
    <t>CONTA XXX.XX.029</t>
  </si>
  <si>
    <t>CONTA XXX.XX.030</t>
  </si>
  <si>
    <t>CONTA XXX.XX.031</t>
  </si>
  <si>
    <t>CONTA XXX.XX.032</t>
  </si>
  <si>
    <t>CONTA XXX.XX.033</t>
  </si>
  <si>
    <t>CONTA XXX.XX.034</t>
  </si>
  <si>
    <t>CONTA XXX.XX.035</t>
  </si>
  <si>
    <t>CONTA XXX.XX.036</t>
  </si>
  <si>
    <t>CONTA XXX.XX.037</t>
  </si>
  <si>
    <t>CONTA XXX.XX.038</t>
  </si>
  <si>
    <t>CONTA XXX.XX.039</t>
  </si>
  <si>
    <t>CONTA XXX.XX.040</t>
  </si>
  <si>
    <t>CONTA XXX.XX.041</t>
  </si>
  <si>
    <t>CONTA XXX.XX.042</t>
  </si>
  <si>
    <t>CONTA XXX.XX.043</t>
  </si>
  <si>
    <t>CONTA XXX.XX.044</t>
  </si>
  <si>
    <t>CONTA XXX.XX.045</t>
  </si>
  <si>
    <t>CONTA XXX.XX.046</t>
  </si>
  <si>
    <t>CONTA XXX.XX.047</t>
  </si>
  <si>
    <t>CONTA XXX.XX.048</t>
  </si>
  <si>
    <t>CONTA XXX.XX.049</t>
  </si>
  <si>
    <t>CONTA XXX.XX.050</t>
  </si>
  <si>
    <t>CONTA XXX.XX.051</t>
  </si>
  <si>
    <t>CONTA XXX.XX.052</t>
  </si>
  <si>
    <t>CONTA XXX.XX.053</t>
  </si>
  <si>
    <t>CONTA XXX.XX.054</t>
  </si>
  <si>
    <t>CONTA XXX.XX.055</t>
  </si>
  <si>
    <t>CONTA XXX.XX.056</t>
  </si>
  <si>
    <t>CONTA XXX.XX.057</t>
  </si>
  <si>
    <t>CONTA XXX.XX.058</t>
  </si>
  <si>
    <t>CONTA XXX.XX.059</t>
  </si>
  <si>
    <t>CONTA XXX.XX.060</t>
  </si>
  <si>
    <t>CONTA XXX.XX.061</t>
  </si>
  <si>
    <t>CONTA XXX.XX.062</t>
  </si>
  <si>
    <t>CONTA XXX.XX.063</t>
  </si>
  <si>
    <t>CONTA XXX.XX.064</t>
  </si>
  <si>
    <t>CONTA XXX.XX.065</t>
  </si>
  <si>
    <t>CONTA XXX.XX.066</t>
  </si>
  <si>
    <t>CONTA XXX.XX.067</t>
  </si>
  <si>
    <t>CONTA XXX.XX.068</t>
  </si>
  <si>
    <t>CONTA XXX.XX.069</t>
  </si>
  <si>
    <t>CONTA XXX.XX.070</t>
  </si>
  <si>
    <t>CONTA XXX.XX.071</t>
  </si>
  <si>
    <t>CONTA XXX.XX.072</t>
  </si>
  <si>
    <t>CONTA XXX.XX.073</t>
  </si>
  <si>
    <t>CONTA XXX.XX.074</t>
  </si>
  <si>
    <t>CONTA XXX.XX.075</t>
  </si>
  <si>
    <t>CONTA XXX.XX.076</t>
  </si>
  <si>
    <t>CONTA XXX.XX.077</t>
  </si>
  <si>
    <t>CONTA XXX.XX.078</t>
  </si>
  <si>
    <t>CONTA XXX.XX.079</t>
  </si>
  <si>
    <t>CONTA XXX.XX.080</t>
  </si>
  <si>
    <t>CONTA XXX.XX.081</t>
  </si>
  <si>
    <t>CONTA XXX.XX.082</t>
  </si>
  <si>
    <t>CONTA XXX.XX.083</t>
  </si>
  <si>
    <t>CONTA XXX.XX.084</t>
  </si>
  <si>
    <t>CONTA XXX.XX.085</t>
  </si>
  <si>
    <t>CONTA XXX.XX.086</t>
  </si>
  <si>
    <t>CONTA XXX.XX.087</t>
  </si>
  <si>
    <t>CONTA XXX.XX.088</t>
  </si>
  <si>
    <t>CONTA XXX.XX.089</t>
  </si>
  <si>
    <t>CONTA XXX.XX.090</t>
  </si>
  <si>
    <t>CONTA XXX.XX.091</t>
  </si>
  <si>
    <t>CONTA XXX.XX.092</t>
  </si>
  <si>
    <t>CONTA XXX.XX.093</t>
  </si>
  <si>
    <t>CONTA XXX.XX.094</t>
  </si>
  <si>
    <t>CONTA XXX.XX.095</t>
  </si>
  <si>
    <t>CONTA XXX.XX.096</t>
  </si>
  <si>
    <t>CONTA XXX.XX.097</t>
  </si>
  <si>
    <t>CONTA XXX.XX.098</t>
  </si>
  <si>
    <t>CONTA XXX.XX.099</t>
  </si>
  <si>
    <t>CONTA XXX.XX.100</t>
  </si>
  <si>
    <t>CONTA XXX.XX.101</t>
  </si>
  <si>
    <t>CONTA XXX.XX.102</t>
  </si>
  <si>
    <t>CONTA XXX.XX.103</t>
  </si>
  <si>
    <t>CONTA XXX.XX.104</t>
  </si>
  <si>
    <t>CONTA XXX.XX.105</t>
  </si>
  <si>
    <t>CONTA XXX.XX.106</t>
  </si>
  <si>
    <t>CONTA XXX.XX.107</t>
  </si>
  <si>
    <t>CONTA XXX.XX.108</t>
  </si>
  <si>
    <t>CONTA XXX.XX.109</t>
  </si>
  <si>
    <t>CONTA XXX.XX.110</t>
  </si>
  <si>
    <t>CONTA XXX.XX.111</t>
  </si>
  <si>
    <t>CONTA XXX.XX.112</t>
  </si>
  <si>
    <t>CONTA XXX.XX.113</t>
  </si>
  <si>
    <t>CONTA XXX.XX.114</t>
  </si>
  <si>
    <t>CONTA XXX.XX.115</t>
  </si>
  <si>
    <t>CONTA XXX.XX.116</t>
  </si>
  <si>
    <t>CONTA XXX.XX.117</t>
  </si>
  <si>
    <t>CONTA XXX.XX.118</t>
  </si>
  <si>
    <t>CONTA XXX.XX.119</t>
  </si>
  <si>
    <t>CONTA XXX.XX.120</t>
  </si>
  <si>
    <t>CONTA XXX.XX.121</t>
  </si>
  <si>
    <t>CONTA XXX.XX.122</t>
  </si>
  <si>
    <t>CONTA XXX.XX.123</t>
  </si>
  <si>
    <t>CONTA XXX.XX.124</t>
  </si>
  <si>
    <t>CONTA XXX.XX.125</t>
  </si>
  <si>
    <t>CONTA XXX.XX.126</t>
  </si>
  <si>
    <t>CONTA XXX.XX.127</t>
  </si>
  <si>
    <t>CONTA XXX.XX.128</t>
  </si>
  <si>
    <t>CONTA XXX.XX.129</t>
  </si>
  <si>
    <t>CONTA XXX.XX.130</t>
  </si>
  <si>
    <t>CONTA XXX.XX.131</t>
  </si>
  <si>
    <t>CONTA XXX.XX.132</t>
  </si>
  <si>
    <t>CONTA XXX.XX.133</t>
  </si>
  <si>
    <t>CONTA XXX.XX.134</t>
  </si>
  <si>
    <t>CONTA XXX.XX.135</t>
  </si>
  <si>
    <t>CONTA XXX.XX.136</t>
  </si>
  <si>
    <t>CONTA XXX.XX.137</t>
  </si>
  <si>
    <t>CONTA XXX.XX.138</t>
  </si>
  <si>
    <t>CONTA XXX.XX.139</t>
  </si>
  <si>
    <t>CONTA XXX.XX.140</t>
  </si>
  <si>
    <t>MÊS</t>
  </si>
  <si>
    <t>RECEITA BRUTA</t>
  </si>
  <si>
    <t>DEDUÇÕES DA RECEITA</t>
  </si>
  <si>
    <t>RECEITA LÍQUIDA</t>
  </si>
  <si>
    <t>CUSTOS</t>
  </si>
  <si>
    <t>LUCRO BRUTO</t>
  </si>
  <si>
    <t>MARGEM BRUTA</t>
  </si>
  <si>
    <t>DESPESAS GERAIS</t>
  </si>
  <si>
    <t>IMPOSTOS</t>
  </si>
  <si>
    <t>LUCRO LÍQUIDO</t>
  </si>
  <si>
    <t>MARGEM LÍQUIDA</t>
  </si>
  <si>
    <t>% DEDUÇÕES</t>
  </si>
  <si>
    <t>% CUSTOS</t>
  </si>
  <si>
    <t>% DESPESAS</t>
  </si>
  <si>
    <t>% IMPOSTOS</t>
  </si>
  <si>
    <t>Desvio Absoluto</t>
  </si>
  <si>
    <t xml:space="preserve">Desvio % </t>
  </si>
  <si>
    <t>Rótulos de Linha</t>
  </si>
  <si>
    <t>Total Geral</t>
  </si>
  <si>
    <t>Soma de Valor Realizado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</si>
  <si>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</si>
  <si>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</si>
  <si>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</si>
  <si>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</si>
  <si>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</si>
  <si>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</si>
  <si>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</si>
  <si>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</si>
  <si>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</si>
  <si>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</si>
  <si>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</si>
  <si>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</si>
  <si>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LUCRO LÍQUIDO MENSAL</t>
  </si>
  <si>
    <t>Soma de Valor Orçado</t>
  </si>
  <si>
    <t>LUCRO LÍQUIDO MENSAL</t>
  </si>
  <si>
    <t>DESVIO ABSOLUTO DA RECEITA</t>
  </si>
  <si>
    <t>PRODUTOS MAIS VENDIDOS</t>
  </si>
  <si>
    <t>L.LÍQUIDO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</si>
</sst>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816]mmm/yy;@"/>
    <numFmt numFmtId="168" formatCode="#,##0\ &quot;Kz&quot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Bahnschrift"/>
      <family val="2"/>
    </font>
    <font>
      <sz val="12"/>
      <color theme="1"/>
      <name val="Bahnschrift Light SemiCondensed"/>
      <family val="2"/>
    </font>
    <font>
      <b/>
      <sz val="11"/>
      <color rgb="FFFFFFFF"/>
      <name val="Calibri"/>
      <family val="2"/>
      <scheme val="minor"/>
    </font>
    <font>
      <sz val="12"/>
      <color rgb="FF000000"/>
      <name val="Bahnschrift Light SemiCondensed"/>
      <family val="2"/>
    </font>
    <font>
      <sz val="11"/>
      <color rgb="FF000000"/>
      <name val="Calibri"/>
      <family val="2"/>
      <scheme val="minor"/>
    </font>
    <font>
      <b/>
      <sz val="12"/>
      <color theme="0"/>
      <name val="Bahnschrift"/>
      <family val="2"/>
    </font>
    <font>
      <b/>
      <sz val="12"/>
      <color theme="0"/>
      <name val="Calibri"/>
      <family val="2"/>
      <scheme val="minor"/>
    </font>
    <font>
      <b/>
      <sz val="16"/>
      <color theme="0"/>
      <name val="Bahnschrift"/>
      <family val="2"/>
    </font>
    <font>
      <b/>
      <sz val="16"/>
      <color theme="1"/>
      <name val="Bahnschrift Light Semi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66"/>
        <bgColor theme="9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17" fontId="0" fillId="0" borderId="0" xfId="0" applyNumberFormat="1"/>
    <xf numFmtId="0" fontId="4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/>
    </xf>
    <xf numFmtId="9" fontId="0" fillId="0" borderId="0" xfId="1" applyFont="1"/>
    <xf numFmtId="168" fontId="7" fillId="0" borderId="0" xfId="0" applyNumberFormat="1" applyFont="1" applyAlignment="1">
      <alignment horizontal="center"/>
    </xf>
    <xf numFmtId="9" fontId="7" fillId="0" borderId="0" xfId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0" fillId="0" borderId="0" xfId="0" applyNumberFormat="1"/>
    <xf numFmtId="166" fontId="9" fillId="5" borderId="2" xfId="0" applyNumberFormat="1" applyFont="1" applyFill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9" fontId="10" fillId="5" borderId="2" xfId="0" applyNumberFormat="1" applyFont="1" applyFill="1" applyBorder="1"/>
    <xf numFmtId="9" fontId="10" fillId="0" borderId="2" xfId="0" applyNumberFormat="1" applyFont="1" applyBorder="1"/>
    <xf numFmtId="0" fontId="8" fillId="4" borderId="3" xfId="0" applyFont="1" applyFill="1" applyBorder="1" applyAlignment="1">
      <alignment horizontal="center"/>
    </xf>
    <xf numFmtId="9" fontId="8" fillId="4" borderId="3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9" fontId="10" fillId="0" borderId="4" xfId="0" applyNumberFormat="1" applyFont="1" applyBorder="1"/>
    <xf numFmtId="168" fontId="10" fillId="5" borderId="2" xfId="0" applyNumberFormat="1" applyFont="1" applyFill="1" applyBorder="1"/>
    <xf numFmtId="168" fontId="10" fillId="0" borderId="2" xfId="0" applyNumberFormat="1" applyFont="1" applyBorder="1"/>
    <xf numFmtId="168" fontId="10" fillId="0" borderId="4" xfId="0" applyNumberFormat="1" applyFont="1" applyBorder="1"/>
    <xf numFmtId="168" fontId="0" fillId="0" borderId="0" xfId="0" applyNumberFormat="1"/>
    <xf numFmtId="17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2" fillId="0" borderId="0" xfId="0" applyFont="1" applyFill="1"/>
    <xf numFmtId="10" fontId="0" fillId="0" borderId="0" xfId="1" applyNumberFormat="1" applyFont="1" applyAlignment="1">
      <alignment horizontal="center"/>
    </xf>
    <xf numFmtId="0" fontId="11" fillId="0" borderId="0" xfId="0" applyFont="1" applyFill="1" applyAlignment="1">
      <alignment horizontal="center"/>
    </xf>
    <xf numFmtId="168" fontId="12" fillId="0" borderId="0" xfId="0" applyNumberFormat="1" applyFont="1" applyFill="1" applyAlignment="1">
      <alignment horizontal="center"/>
    </xf>
    <xf numFmtId="0" fontId="0" fillId="0" borderId="0" xfId="0" pivotButton="1" applyAlignment="1">
      <alignment horizontal="center"/>
    </xf>
    <xf numFmtId="0" fontId="5" fillId="6" borderId="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168" fontId="14" fillId="0" borderId="5" xfId="0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8" formatCode="#,##0\ &quot;Kz&quot;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6" formatCode="[$-816]mmm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#,##0\ &quot;Kz&quot;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ahnschrift Light SemiCondensed"/>
        <family val="2"/>
        <scheme val="none"/>
      </font>
      <numFmt numFmtId="166" formatCode="[$-816]mmm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m/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8" formatCode="#,##0\ &quot;Kz&quot;"/>
    </dxf>
    <dxf>
      <numFmt numFmtId="168" formatCode="#,##0\ &quot;Kz&quot;"/>
    </dxf>
    <dxf>
      <numFmt numFmtId="168" formatCode="#,##0\ &quot;Kz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3" formatCode="0%"/>
      <border diagonalUp="0" diagonalDown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#,##0\ &quot;Kz&quot;"/>
      <border diagonalUp="0" diagonalDown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#,##0\ &quot;Kz&quot;"/>
      <border diagonalUp="0" diagonalDown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#,##0\ &quot;Kz&quot;"/>
      <border diagonalUp="0" diagonalDown="0">
        <left/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ahnschrift Light SemiCondensed"/>
        <family val="2"/>
        <scheme val="none"/>
      </font>
      <numFmt numFmtId="166" formatCode="[$-816]mmm/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472C4"/>
          <bgColor rgb="FF4472C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top style="thin">
          <color rgb="FF8EA9DB"/>
        </top>
      </border>
    </dxf>
    <dxf>
      <border outline="0">
        <bottom style="thin">
          <color rgb="FF8EA9DB"/>
        </bottom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numFmt numFmtId="164" formatCode="mmm/yy"/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[DRE 2019.xlsx]RESUMO!Tabela dinâmica6</c:name>
    <c:fmtId val="5"/>
  </c:pivotSource>
  <c:chart>
    <c:autoTitleDeleted val="1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rgbClr val="FFFF00"/>
            </a:solidFill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rgbClr val="FFFF00"/>
            </a:solidFill>
            <a:round/>
          </a:ln>
          <a:effectLst/>
        </c:spPr>
        <c:marker>
          <c:symbol val="circle"/>
          <c:size val="8"/>
          <c:spPr>
            <a:solidFill>
              <a:srgbClr val="FF0000"/>
            </a:solidFill>
            <a:ln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9993021308821453E-2"/>
          <c:y val="6.3053384992425521E-2"/>
          <c:w val="0.94501279426716067"/>
          <c:h val="0.50095663415207425"/>
        </c:manualLayout>
      </c:layout>
      <c:lineChart>
        <c:grouping val="standard"/>
        <c:varyColors val="0"/>
        <c:ser>
          <c:idx val="0"/>
          <c:order val="0"/>
          <c:tx>
            <c:strRef>
              <c:f>RESUMO!$B$3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>
                <a:noFill/>
              </a:ln>
              <a:effectLst/>
            </c:spPr>
          </c:marker>
          <c:cat>
            <c:strRef>
              <c:f>RESUMO!$A$4:$A$15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RESUMO!$B$4:$B$15</c:f>
              <c:numCache>
                <c:formatCode>#\ ##0\ "Kz"</c:formatCode>
                <c:ptCount val="12"/>
                <c:pt idx="0">
                  <c:v>11641038</c:v>
                </c:pt>
                <c:pt idx="1">
                  <c:v>11031445</c:v>
                </c:pt>
                <c:pt idx="2">
                  <c:v>12978938</c:v>
                </c:pt>
                <c:pt idx="3">
                  <c:v>12589377</c:v>
                </c:pt>
                <c:pt idx="4">
                  <c:v>8509153</c:v>
                </c:pt>
                <c:pt idx="5">
                  <c:v>11547911</c:v>
                </c:pt>
                <c:pt idx="6">
                  <c:v>13221807</c:v>
                </c:pt>
                <c:pt idx="7">
                  <c:v>13099542</c:v>
                </c:pt>
                <c:pt idx="8">
                  <c:v>13211336</c:v>
                </c:pt>
                <c:pt idx="9">
                  <c:v>11359347</c:v>
                </c:pt>
                <c:pt idx="10">
                  <c:v>11359053</c:v>
                </c:pt>
                <c:pt idx="11">
                  <c:v>13054144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04C-44CF-9786-C52D2D6970E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538672"/>
        <c:axId val="611554032"/>
      </c:lineChart>
      <c:catAx>
        <c:axId val="61153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554032"/>
        <c:crosses val="autoZero"/>
        <c:auto val="1"/>
        <c:lblAlgn val="ctr"/>
        <c:lblOffset val="100"/>
        <c:noMultiLvlLbl val="0"/>
      </c:catAx>
      <c:valAx>
        <c:axId val="611554032"/>
        <c:scaling>
          <c:orientation val="minMax"/>
        </c:scaling>
        <c:delete val="1"/>
        <c:axPos val="l"/>
        <c:numFmt formatCode="#\ ##0\ &quot;Kz&quot;" sourceLinked="1"/>
        <c:majorTickMark val="out"/>
        <c:minorTickMark val="none"/>
        <c:tickLblPos val="nextTo"/>
        <c:crossAx val="6115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[DRE 2019.xlsx]RESUMO!Tabela dinâmica10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F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4109589041095891E-2"/>
          <c:y val="5.6265984654731455E-2"/>
          <c:w val="0.68374076516305804"/>
          <c:h val="0.7449222092657209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RESUMO!$E$3</c:f>
              <c:strCache>
                <c:ptCount val="1"/>
                <c:pt idx="0">
                  <c:v>Soma de Valor Orçado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RESUMO!$D$4:$D$15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12628342</c:v>
                </c:pt>
                <c:pt idx="1">
                  <c:v>12787711</c:v>
                </c:pt>
                <c:pt idx="2">
                  <c:v>14186373</c:v>
                </c:pt>
                <c:pt idx="3">
                  <c:v>9555695</c:v>
                </c:pt>
                <c:pt idx="4">
                  <c:v>11240344</c:v>
                </c:pt>
                <c:pt idx="5">
                  <c:v>11922744</c:v>
                </c:pt>
                <c:pt idx="6">
                  <c:v>12505746</c:v>
                </c:pt>
                <c:pt idx="7">
                  <c:v>11962102</c:v>
                </c:pt>
                <c:pt idx="8">
                  <c:v>11825071</c:v>
                </c:pt>
                <c:pt idx="9">
                  <c:v>12795046</c:v>
                </c:pt>
                <c:pt idx="10">
                  <c:v>12884065</c:v>
                </c:pt>
                <c:pt idx="11">
                  <c:v>11966732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57E-8DB0-861EDEB2B3AD}"/>
            </c:ext>
          </c:extLst>
        </c:ser>
        <c:ser>
          <c:idx val="1"/>
          <c:order val="1"/>
          <c:tx>
            <c:strRef>
              <c:f>RESUMO!$F$3</c:f>
              <c:strCache>
                <c:ptCount val="1"/>
                <c:pt idx="0">
                  <c:v>Soma de Valor Realizado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RESUMO!$D$4:$D$15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11641038</c:v>
                </c:pt>
                <c:pt idx="1">
                  <c:v>11031445</c:v>
                </c:pt>
                <c:pt idx="2">
                  <c:v>12978938</c:v>
                </c:pt>
                <c:pt idx="3">
                  <c:v>12589377</c:v>
                </c:pt>
                <c:pt idx="4">
                  <c:v>8509153</c:v>
                </c:pt>
                <c:pt idx="5">
                  <c:v>11547911</c:v>
                </c:pt>
                <c:pt idx="6">
                  <c:v>13221807</c:v>
                </c:pt>
                <c:pt idx="7">
                  <c:v>13099542</c:v>
                </c:pt>
                <c:pt idx="8">
                  <c:v>13211336</c:v>
                </c:pt>
                <c:pt idx="9">
                  <c:v>11359347</c:v>
                </c:pt>
                <c:pt idx="10">
                  <c:v>11359053</c:v>
                </c:pt>
                <c:pt idx="11">
                  <c:v>13054144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C6-457E-8DB0-861EDEB2B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7764352"/>
        <c:axId val="557758112"/>
        <c:axId val="0"/>
      </c:bar3DChart>
      <c:catAx>
        <c:axId val="55776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7758112"/>
        <c:crosses val="autoZero"/>
        <c:auto val="1"/>
        <c:lblAlgn val="ctr"/>
        <c:lblOffset val="100"/>
        <c:noMultiLvlLbl val="0"/>
      </c:catAx>
      <c:valAx>
        <c:axId val="557758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776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82354259228431"/>
          <c:y val="0.40439025868171791"/>
          <c:w val="0.23550374285406106"/>
          <c:h val="0.191219767605775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13606</xdr:rowOff>
    </xdr:from>
    <xdr:to>
      <xdr:col>10</xdr:col>
      <xdr:colOff>13606</xdr:colOff>
      <xdr:row>32</xdr:row>
      <xdr:rowOff>148829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903F7CB3-176E-66A7-B52D-E09244886530}"/>
            </a:ext>
          </a:extLst>
        </xdr:cNvPr>
        <xdr:cNvSpPr/>
      </xdr:nvSpPr>
      <xdr:spPr>
        <a:xfrm>
          <a:off x="0" y="2898320"/>
          <a:ext cx="16233320" cy="3373723"/>
        </a:xfrm>
        <a:prstGeom prst="rect">
          <a:avLst/>
        </a:prstGeom>
        <a:solidFill>
          <a:srgbClr val="0000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386522</xdr:colOff>
      <xdr:row>15</xdr:row>
      <xdr:rowOff>179457</xdr:rowOff>
    </xdr:from>
    <xdr:to>
      <xdr:col>3</xdr:col>
      <xdr:colOff>1339022</xdr:colOff>
      <xdr:row>30</xdr:row>
      <xdr:rowOff>192045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3382924-6A9F-409E-8B58-C2A0EF2F9AE3}"/>
            </a:ext>
          </a:extLst>
        </xdr:cNvPr>
        <xdr:cNvSpPr/>
      </xdr:nvSpPr>
      <xdr:spPr>
        <a:xfrm>
          <a:off x="386522" y="3078370"/>
          <a:ext cx="7054022" cy="2911501"/>
        </a:xfrm>
        <a:prstGeom prst="roundRect">
          <a:avLst>
            <a:gd name="adj" fmla="val 6104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u="none" strike="noStrike" kern="1200" cap="none" spc="0" normalizeH="0" baseline="0">
              <a:solidFill>
                <a:schemeClr val="bg1"/>
              </a:solidFill>
              <a:latin typeface="+mn-lt"/>
              <a:ea typeface="+mn-ea"/>
              <a:cs typeface="+mn-cs"/>
            </a:rPr>
            <a:t>LUCROS LÍQUIDOS MENSAIS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1" i="0" u="none" strike="noStrike" kern="1200" cap="none" spc="0" normalizeH="0" baseline="0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1" i="0" u="none" strike="noStrike" kern="1200" cap="none" spc="0" normalizeH="0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773044</xdr:colOff>
      <xdr:row>20</xdr:row>
      <xdr:rowOff>0</xdr:rowOff>
    </xdr:from>
    <xdr:to>
      <xdr:col>3</xdr:col>
      <xdr:colOff>786848</xdr:colOff>
      <xdr:row>32</xdr:row>
      <xdr:rowOff>45615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4C10DC6-0312-4FD2-84BB-5A20529AA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745435</xdr:colOff>
      <xdr:row>18</xdr:row>
      <xdr:rowOff>55218</xdr:rowOff>
    </xdr:from>
    <xdr:to>
      <xdr:col>9</xdr:col>
      <xdr:colOff>617700</xdr:colOff>
      <xdr:row>30</xdr:row>
      <xdr:rowOff>11682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26ADF19-E075-4DE4-AC73-90AE4196A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55218</xdr:colOff>
      <xdr:row>15</xdr:row>
      <xdr:rowOff>179457</xdr:rowOff>
    </xdr:from>
    <xdr:to>
      <xdr:col>9</xdr:col>
      <xdr:colOff>393340</xdr:colOff>
      <xdr:row>31</xdr:row>
      <xdr:rowOff>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3FBCF8EC-9A04-4D02-BC81-B9D18D8BCE05}"/>
            </a:ext>
          </a:extLst>
        </xdr:cNvPr>
        <xdr:cNvSpPr/>
      </xdr:nvSpPr>
      <xdr:spPr>
        <a:xfrm>
          <a:off x="7689022" y="3078370"/>
          <a:ext cx="7930514" cy="2912717"/>
        </a:xfrm>
        <a:prstGeom prst="roundRect">
          <a:avLst>
            <a:gd name="adj" fmla="val 6104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u="none" strike="noStrike" kern="1200" cap="none" spc="0" normalizeH="0" baseline="0">
              <a:solidFill>
                <a:schemeClr val="bg1"/>
              </a:solidFill>
              <a:latin typeface="+mn-lt"/>
              <a:ea typeface="+mn-ea"/>
              <a:cs typeface="+mn-cs"/>
            </a:rPr>
            <a:t>DESVIO ABSOLUTO DA RECEITA</a:t>
          </a:r>
          <a:endParaRPr lang="pt-BR" sz="1600" b="1" i="0" u="none" strike="noStrike" kern="1200" cap="none" spc="0" normalizeH="0" baseline="0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1" i="0" u="none" strike="noStrike" kern="1200" cap="none" spc="0" normalizeH="0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843360</xdr:colOff>
      <xdr:row>17</xdr:row>
      <xdr:rowOff>191707</xdr:rowOff>
    </xdr:from>
    <xdr:to>
      <xdr:col>23</xdr:col>
      <xdr:colOff>736808</xdr:colOff>
      <xdr:row>48</xdr:row>
      <xdr:rowOff>128985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52E40B30-4D76-4C87-A36E-B34648BC3A60}"/>
            </a:ext>
          </a:extLst>
        </xdr:cNvPr>
        <xdr:cNvSpPr/>
      </xdr:nvSpPr>
      <xdr:spPr>
        <a:xfrm>
          <a:off x="24576485" y="3565145"/>
          <a:ext cx="5727511" cy="6088840"/>
        </a:xfrm>
        <a:prstGeom prst="roundRect">
          <a:avLst>
            <a:gd name="adj" fmla="val 6104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 i="0" u="none" strike="noStrike" kern="1200" cap="none" spc="0" normalizeH="0" baseline="0">
              <a:solidFill>
                <a:schemeClr val="bg1"/>
              </a:solidFill>
              <a:latin typeface="+mn-lt"/>
              <a:ea typeface="+mn-ea"/>
              <a:cs typeface="+mn-cs"/>
            </a:rPr>
            <a:t>PRODUTOS MAIS VENDIDOS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246.635563194446" createdVersion="8" refreshedVersion="8" minRefreshableVersion="3" recordCount="12" xr:uid="{40E9213A-11E7-4927-A0AF-06DF061A3EBA}">
  <cacheSource type="worksheet">
    <worksheetSource name="Tabela14"/>
  </cacheSource>
  <cacheFields count="11">
    <cacheField name="MÊS" numFmtId="166">
      <sharedItems containsSemiMixedTypes="0" containsNonDate="0" containsDate="1" containsString="0" minDate="2019-01-01T00:00:00" maxDate="2019-12-02T00:00:00" count="12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</sharedItems>
      <fieldGroup par="10"/>
    </cacheField>
    <cacheField name="RECEITA BRUTA" numFmtId="168">
      <sharedItems containsSemiMixedTypes="0" containsString="0" containsNumber="1" containsInteger="1" minValue="17462474" maxValue="21262064"/>
    </cacheField>
    <cacheField name="DEDUÇÕES DA RECEITA" numFmtId="168">
      <sharedItems containsSemiMixedTypes="0" containsString="0" containsNumber="1" containsInteger="1" minValue="-187203" maxValue="-145910"/>
    </cacheField>
    <cacheField name="RECEITA LÍQUIDA" numFmtId="168">
      <sharedItems containsSemiMixedTypes="0" containsString="0" containsNumber="1" containsInteger="1" minValue="17296482" maxValue="21081701"/>
    </cacheField>
    <cacheField name="CUSTOS" numFmtId="168">
      <sharedItems containsSemiMixedTypes="0" containsString="0" containsNumber="1" containsInteger="1" minValue="-5221289" maxValue="-4180486"/>
    </cacheField>
    <cacheField name="LUCRO BRUTO" numFmtId="168">
      <sharedItems containsSemiMixedTypes="0" containsString="0" containsNumber="1" containsInteger="1" minValue="12156368" maxValue="16387892"/>
    </cacheField>
    <cacheField name="DESPESAS GERAIS" numFmtId="168">
      <sharedItems containsSemiMixedTypes="0" containsString="0" containsNumber="1" containsInteger="1" minValue="-3614244" maxValue="-2561595"/>
    </cacheField>
    <cacheField name="IMPOSTOS" numFmtId="168">
      <sharedItems containsSemiMixedTypes="0" containsString="0" containsNumber="1" containsInteger="1" minValue="-39678" maxValue="-24897"/>
    </cacheField>
    <cacheField name="LUCRO LÍQUIDO" numFmtId="168">
      <sharedItems containsSemiMixedTypes="0" containsString="0" containsNumber="1" containsInteger="1" minValue="8509153" maxValue="13221807"/>
    </cacheField>
    <cacheField name="Dias (MÊS)" numFmtId="0" databaseField="0">
      <fieldGroup base="0">
        <rangePr groupBy="days" startDate="2019-01-01T00:00:00" endDate="2019-12-02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v"/>
          <s v="02-fev"/>
          <s v="03-fev"/>
          <s v="04-fev"/>
          <s v="05-fev"/>
          <s v="06-fev"/>
          <s v="07-fev"/>
          <s v="08-fev"/>
          <s v="09-fev"/>
          <s v="10-fev"/>
          <s v="11-fev"/>
          <s v="12-fev"/>
          <s v="13-fev"/>
          <s v="14-fev"/>
          <s v="15-fev"/>
          <s v="16-fev"/>
          <s v="17-fev"/>
          <s v="18-fev"/>
          <s v="19-fev"/>
          <s v="20-fev"/>
          <s v="21-fev"/>
          <s v="22-fev"/>
          <s v="23-fev"/>
          <s v="24-fev"/>
          <s v="25-fev"/>
          <s v="26-fev"/>
          <s v="27-fev"/>
          <s v="28-fev"/>
          <s v="29-fev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ut"/>
          <s v="02-out"/>
          <s v="03-out"/>
          <s v="04-out"/>
          <s v="05-out"/>
          <s v="06-out"/>
          <s v="07-out"/>
          <s v="08-out"/>
          <s v="09-out"/>
          <s v="10-out"/>
          <s v="11-out"/>
          <s v="12-out"/>
          <s v="13-out"/>
          <s v="14-out"/>
          <s v="15-out"/>
          <s v="16-out"/>
          <s v="17-out"/>
          <s v="18-out"/>
          <s v="19-out"/>
          <s v="20-out"/>
          <s v="21-out"/>
          <s v="22-out"/>
          <s v="23-out"/>
          <s v="24-out"/>
          <s v="25-out"/>
          <s v="26-out"/>
          <s v="27-out"/>
          <s v="28-out"/>
          <s v="29-out"/>
          <s v="30-out"/>
          <s v="31-ou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z"/>
          <s v="02-dez"/>
          <s v="03-dez"/>
          <s v="04-dez"/>
          <s v="05-dez"/>
          <s v="06-dez"/>
          <s v="07-dez"/>
          <s v="08-dez"/>
          <s v="09-dez"/>
          <s v="10-dez"/>
          <s v="11-dez"/>
          <s v="12-dez"/>
          <s v="13-dez"/>
          <s v="14-dez"/>
          <s v="15-dez"/>
          <s v="16-dez"/>
          <s v="17-dez"/>
          <s v="18-dez"/>
          <s v="19-dez"/>
          <s v="20-dez"/>
          <s v="21-dez"/>
          <s v="22-dez"/>
          <s v="23-dez"/>
          <s v="24-dez"/>
          <s v="25-dez"/>
          <s v="26-dez"/>
          <s v="27-dez"/>
          <s v="28-dez"/>
          <s v="29-dez"/>
          <s v="30-dez"/>
          <s v="31-dez"/>
          <s v="&gt;02/12/2019"/>
        </groupItems>
      </fieldGroup>
    </cacheField>
    <cacheField name="Meses (MÊS)" numFmtId="0" databaseField="0">
      <fieldGroup base="0">
        <rangePr groupBy="months" startDate="2019-01-01T00:00:00" endDate="2019-12-02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9"/>
        </groupItems>
      </fieldGroup>
    </cacheField>
  </cacheFields>
  <extLst>
    <ext xmlns:x14="http://schemas.microsoft.com/office/spreadsheetml/2009/9/main" uri="{725AE2AE-9491-48be-B2B4-4EB974FC3084}">
      <x14:pivotCacheDefinition pivotCacheId="18085087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246.651556481484" createdVersion="8" refreshedVersion="8" minRefreshableVersion="3" recordCount="24" xr:uid="{455232E4-6E13-4187-AF19-577BC0D0A2C0}">
  <cacheSource type="worksheet">
    <worksheetSource name="Tabela9"/>
  </cacheSource>
  <cacheFields count="6">
    <cacheField name="Conta" numFmtId="0">
      <sharedItems/>
    </cacheField>
    <cacheField name="Descrição da Conta" numFmtId="0">
      <sharedItems count="24">
        <s v="Venda de Smart TV 50' 4K"/>
        <s v="Venda de iPhone 7"/>
        <s v="Venda de Galaxy S10"/>
        <s v="Venda de Apple Watch"/>
        <s v="Venda de Câmera Digital Rebel T6"/>
        <s v="Venda de TV LED 32'"/>
        <s v="Venda de Inspiron 15"/>
        <s v="Venda de Smart TV LED Full HD 55'"/>
        <s v="Venda de Moto G7"/>
        <s v="Venda de iPhone 6S"/>
        <s v="Venda de Tablet M10 Android"/>
        <s v="Venda de Dell G7"/>
        <s v="Venda de Câmera Coolpix L340"/>
        <s v="Venda de Galaxy J8"/>
        <s v="Venda de Câmera Digital Sony Cyber"/>
        <s v="Venda de Smart Watch Galaxy"/>
        <s v="Venda de Smart TV 75' 4K"/>
        <s v="Venda de Smart Watch MI"/>
        <s v="Venda de iPhone XS"/>
        <s v="Venda de Moto Z"/>
        <s v="Venda de Galaxy S8"/>
        <s v="Venda de iPad 32GB Wifi"/>
        <s v="Venda de Samsung Dual Core"/>
        <s v="Venda de Aspire 5"/>
      </sharedItems>
    </cacheField>
    <cacheField name="Valor Orçado" numFmtId="168">
      <sharedItems containsSemiMixedTypes="0" containsString="0" containsNumber="1" containsInteger="1" minValue="2327733" maxValue="9282137"/>
    </cacheField>
    <cacheField name="Valor Realizado" numFmtId="168">
      <sharedItems containsSemiMixedTypes="0" containsString="0" containsNumber="1" containsInteger="1" minValue="1952827" maxValue="8713680"/>
    </cacheField>
    <cacheField name="Desvio Absoluto" numFmtId="168">
      <sharedItems containsSemiMixedTypes="0" containsString="0" containsNumber="1" containsInteger="1" minValue="-1905749" maxValue="1981817"/>
    </cacheField>
    <cacheField name="Desvio % " numFmtId="9">
      <sharedItems containsSemiMixedTypes="0" containsString="0" containsNumber="1" minValue="1.5751053411227112E-2" maxValue="0.34249911256541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ílio Tucayano Ferraz Gaspar" refreshedDate="46246.653495601851" createdVersion="8" refreshedVersion="8" minRefreshableVersion="3" recordCount="12" xr:uid="{9123822D-4762-41DA-AE63-DBBA3876BF1C}">
  <cacheSource type="worksheet">
    <worksheetSource name="Tabela8"/>
  </cacheSource>
  <cacheFields count="7">
    <cacheField name="Mês/Ano" numFmtId="166">
      <sharedItems containsSemiMixedTypes="0" containsNonDate="0" containsDate="1" containsString="0" minDate="2019-01-01T00:00:00" maxDate="2019-12-02T00:00:00" count="12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</sharedItems>
      <fieldGroup par="6"/>
    </cacheField>
    <cacheField name="Valor Orçado" numFmtId="168">
      <sharedItems containsSemiMixedTypes="0" containsString="0" containsNumber="1" containsInteger="1" minValue="9555695" maxValue="14186373"/>
    </cacheField>
    <cacheField name="Valor Realizado" numFmtId="168">
      <sharedItems containsSemiMixedTypes="0" containsString="0" containsNumber="1" containsInteger="1" minValue="8509153" maxValue="13221807" count="12">
        <n v="11641038"/>
        <n v="11031445"/>
        <n v="12978938"/>
        <n v="12589377"/>
        <n v="8509153"/>
        <n v="11547911"/>
        <n v="13221807"/>
        <n v="13099542"/>
        <n v="13211336"/>
        <n v="11359347"/>
        <n v="11359053"/>
        <n v="13054144"/>
      </sharedItems>
    </cacheField>
    <cacheField name="Desvio Absoluto" numFmtId="168">
      <sharedItems containsSemiMixedTypes="0" containsString="0" containsNumber="1" containsInteger="1" minValue="-2731191" maxValue="3033682"/>
    </cacheField>
    <cacheField name="Desvio % " numFmtId="9">
      <sharedItems containsSemiMixedTypes="0" containsString="0" containsNumber="1" minValue="3.1438484295225999E-2" maxValue="0.31747371593588952"/>
    </cacheField>
    <cacheField name="Dias (Mês/Ano)" numFmtId="0" databaseField="0">
      <fieldGroup base="0">
        <rangePr groupBy="days" startDate="2019-01-01T00:00:00" endDate="2019-12-02T00:00:00"/>
        <groupItems count="368">
          <s v="&lt;01/01/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v"/>
          <s v="02-fev"/>
          <s v="03-fev"/>
          <s v="04-fev"/>
          <s v="05-fev"/>
          <s v="06-fev"/>
          <s v="07-fev"/>
          <s v="08-fev"/>
          <s v="09-fev"/>
          <s v="10-fev"/>
          <s v="11-fev"/>
          <s v="12-fev"/>
          <s v="13-fev"/>
          <s v="14-fev"/>
          <s v="15-fev"/>
          <s v="16-fev"/>
          <s v="17-fev"/>
          <s v="18-fev"/>
          <s v="19-fev"/>
          <s v="20-fev"/>
          <s v="21-fev"/>
          <s v="22-fev"/>
          <s v="23-fev"/>
          <s v="24-fev"/>
          <s v="25-fev"/>
          <s v="26-fev"/>
          <s v="27-fev"/>
          <s v="28-fev"/>
          <s v="29-fev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ut"/>
          <s v="02-out"/>
          <s v="03-out"/>
          <s v="04-out"/>
          <s v="05-out"/>
          <s v="06-out"/>
          <s v="07-out"/>
          <s v="08-out"/>
          <s v="09-out"/>
          <s v="10-out"/>
          <s v="11-out"/>
          <s v="12-out"/>
          <s v="13-out"/>
          <s v="14-out"/>
          <s v="15-out"/>
          <s v="16-out"/>
          <s v="17-out"/>
          <s v="18-out"/>
          <s v="19-out"/>
          <s v="20-out"/>
          <s v="21-out"/>
          <s v="22-out"/>
          <s v="23-out"/>
          <s v="24-out"/>
          <s v="25-out"/>
          <s v="26-out"/>
          <s v="27-out"/>
          <s v="28-out"/>
          <s v="29-out"/>
          <s v="30-out"/>
          <s v="31-ou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z"/>
          <s v="02-dez"/>
          <s v="03-dez"/>
          <s v="04-dez"/>
          <s v="05-dez"/>
          <s v="06-dez"/>
          <s v="07-dez"/>
          <s v="08-dez"/>
          <s v="09-dez"/>
          <s v="10-dez"/>
          <s v="11-dez"/>
          <s v="12-dez"/>
          <s v="13-dez"/>
          <s v="14-dez"/>
          <s v="15-dez"/>
          <s v="16-dez"/>
          <s v="17-dez"/>
          <s v="18-dez"/>
          <s v="19-dez"/>
          <s v="20-dez"/>
          <s v="21-dez"/>
          <s v="22-dez"/>
          <s v="23-dez"/>
          <s v="24-dez"/>
          <s v="25-dez"/>
          <s v="26-dez"/>
          <s v="27-dez"/>
          <s v="28-dez"/>
          <s v="29-dez"/>
          <s v="30-dez"/>
          <s v="31-dez"/>
          <s v="&gt;02/12/2019"/>
        </groupItems>
      </fieldGroup>
    </cacheField>
    <cacheField name="Meses (Mês/Ano)" numFmtId="0" databaseField="0">
      <fieldGroup base="0">
        <rangePr groupBy="months" startDate="2019-01-01T00:00:00" endDate="2019-12-02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0050916"/>
    <n v="-185098"/>
    <n v="19865818"/>
    <n v="-4915811"/>
    <n v="14950007"/>
    <n v="-3284072"/>
    <n v="-24897"/>
    <n v="11641038"/>
  </r>
  <r>
    <x v="1"/>
    <n v="19648815"/>
    <n v="-168252"/>
    <n v="19480563"/>
    <n v="-5221289"/>
    <n v="14259274"/>
    <n v="-3189018"/>
    <n v="-38811"/>
    <n v="11031445"/>
  </r>
  <r>
    <x v="2"/>
    <n v="21095352"/>
    <n v="-145910"/>
    <n v="20949442"/>
    <n v="-4718093"/>
    <n v="16231349"/>
    <n v="-3217161"/>
    <n v="-35250"/>
    <n v="12978938"/>
  </r>
  <r>
    <x v="3"/>
    <n v="19936804"/>
    <n v="-173600"/>
    <n v="19763204"/>
    <n v="-4580143"/>
    <n v="15183061"/>
    <n v="-2561595"/>
    <n v="-32089"/>
    <n v="12589377"/>
  </r>
  <r>
    <x v="4"/>
    <n v="17462474"/>
    <n v="-165992"/>
    <n v="17296482"/>
    <n v="-5140114"/>
    <n v="12156368"/>
    <n v="-3614244"/>
    <n v="-32971"/>
    <n v="8509153"/>
  </r>
  <r>
    <x v="5"/>
    <n v="19786714"/>
    <n v="-159033"/>
    <n v="19627681"/>
    <n v="-4889543"/>
    <n v="14738138"/>
    <n v="-3150549"/>
    <n v="-39678"/>
    <n v="11547911"/>
  </r>
  <r>
    <x v="6"/>
    <n v="20728326"/>
    <n v="-159948"/>
    <n v="20568378"/>
    <n v="-4180486"/>
    <n v="16387892"/>
    <n v="-3134958"/>
    <n v="-31127"/>
    <n v="13221807"/>
  </r>
  <r>
    <x v="7"/>
    <n v="21262064"/>
    <n v="-180363"/>
    <n v="21081701"/>
    <n v="-4912768"/>
    <n v="16168933"/>
    <n v="-3040090"/>
    <n v="-29301"/>
    <n v="13099542"/>
  </r>
  <r>
    <x v="8"/>
    <n v="21001843"/>
    <n v="-167665"/>
    <n v="20834178"/>
    <n v="-4944455"/>
    <n v="15889723"/>
    <n v="-2640349"/>
    <n v="-38038"/>
    <n v="13211336"/>
  </r>
  <r>
    <x v="9"/>
    <n v="19216027"/>
    <n v="-153051"/>
    <n v="19062976"/>
    <n v="-4480907"/>
    <n v="14582069"/>
    <n v="-3195547"/>
    <n v="-27175"/>
    <n v="11359347"/>
  </r>
  <r>
    <x v="10"/>
    <n v="19431711"/>
    <n v="-187203"/>
    <n v="19244508"/>
    <n v="-4472333"/>
    <n v="14772175"/>
    <n v="-3378288"/>
    <n v="-34834"/>
    <n v="11359053"/>
  </r>
  <r>
    <x v="11"/>
    <n v="21131071"/>
    <n v="-170427"/>
    <n v="20960644"/>
    <n v="-4619555"/>
    <n v="16341089"/>
    <n v="-3259149"/>
    <n v="-27796"/>
    <n v="130541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999015461"/>
    <x v="0"/>
    <n v="8701733"/>
    <n v="7791574"/>
    <n v="-910159"/>
    <n v="0.10459514214007716"/>
  </r>
  <r>
    <s v="999149616"/>
    <x v="1"/>
    <n v="5786342"/>
    <n v="7768159"/>
    <n v="1981817"/>
    <n v="0.34249911256541699"/>
  </r>
  <r>
    <s v="999113857"/>
    <x v="2"/>
    <n v="5564830"/>
    <n v="7368112"/>
    <n v="1803282"/>
    <n v="0.32404979127843975"/>
  </r>
  <r>
    <s v="999085686"/>
    <x v="3"/>
    <n v="6741887"/>
    <n v="8291974"/>
    <n v="1550087"/>
    <n v="0.22991886396197386"/>
  </r>
  <r>
    <s v="999048672"/>
    <x v="4"/>
    <n v="9282137"/>
    <n v="8563185"/>
    <n v="-718952"/>
    <n v="7.7455439410127211E-2"/>
  </r>
  <r>
    <s v="999040128"/>
    <x v="5"/>
    <n v="7594408"/>
    <n v="5688659"/>
    <n v="-1905749"/>
    <n v="0.25094108717888214"/>
  </r>
  <r>
    <s v="999095851"/>
    <x v="6"/>
    <n v="6232625"/>
    <n v="7829374"/>
    <n v="1596749"/>
    <n v="0.25619205390986943"/>
  </r>
  <r>
    <s v="999081468"/>
    <x v="7"/>
    <n v="7134223"/>
    <n v="7931061"/>
    <n v="796838"/>
    <n v="0.1116923314564179"/>
  </r>
  <r>
    <s v="999072838"/>
    <x v="8"/>
    <n v="8554262"/>
    <n v="8713680"/>
    <n v="159418"/>
    <n v="1.8636090407331458E-2"/>
  </r>
  <r>
    <s v="999170260"/>
    <x v="9"/>
    <n v="6650891"/>
    <n v="7741927"/>
    <n v="1091036"/>
    <n v="0.16404358453626738"/>
  </r>
  <r>
    <s v="999090462"/>
    <x v="10"/>
    <n v="7915502"/>
    <n v="7094319"/>
    <n v="-821183"/>
    <n v="0.10374364127505747"/>
  </r>
  <r>
    <s v="999106286"/>
    <x v="11"/>
    <n v="7527687"/>
    <n v="7409118"/>
    <n v="-118569"/>
    <n v="1.5751053411227112E-2"/>
  </r>
  <r>
    <s v="999165933"/>
    <x v="12"/>
    <n v="7706120"/>
    <n v="7262511"/>
    <n v="-443609"/>
    <n v="5.7565804840827808E-2"/>
  </r>
  <r>
    <s v="999042333"/>
    <x v="13"/>
    <n v="8324743"/>
    <n v="7158168"/>
    <n v="-1166575"/>
    <n v="0.1401334551709284"/>
  </r>
  <r>
    <s v="999056853"/>
    <x v="14"/>
    <n v="8098517"/>
    <n v="7774405"/>
    <n v="-324112"/>
    <n v="4.0021154490383855E-2"/>
  </r>
  <r>
    <s v="999197804"/>
    <x v="15"/>
    <n v="7112294"/>
    <n v="7466015"/>
    <n v="353721"/>
    <n v="4.9733742727733135E-2"/>
  </r>
  <r>
    <s v="999120746"/>
    <x v="16"/>
    <n v="7826055"/>
    <n v="8340122"/>
    <n v="514067"/>
    <n v="6.5686607109201253E-2"/>
  </r>
  <r>
    <s v="999080229"/>
    <x v="17"/>
    <n v="7880447"/>
    <n v="7559250"/>
    <n v="-321197"/>
    <n v="4.0758728534053969E-2"/>
  </r>
  <r>
    <s v="999099884"/>
    <x v="18"/>
    <n v="6755183"/>
    <n v="6559192"/>
    <n v="-195991"/>
    <n v="2.9013425691058258E-2"/>
  </r>
  <r>
    <s v="999186602"/>
    <x v="19"/>
    <n v="7038930"/>
    <n v="6918743"/>
    <n v="-120187"/>
    <n v="1.707461219247812E-2"/>
  </r>
  <r>
    <s v="999065765"/>
    <x v="20"/>
    <n v="7735691"/>
    <n v="6837973"/>
    <n v="-897718"/>
    <n v="0.11604884424675184"/>
  </r>
  <r>
    <s v="999051933"/>
    <x v="21"/>
    <n v="7854881"/>
    <n v="7152703"/>
    <n v="-702178"/>
    <n v="8.9393843140335286E-2"/>
  </r>
  <r>
    <s v="999115414"/>
    <x v="22"/>
    <n v="2327733"/>
    <n v="2104190"/>
    <n v="-223543"/>
    <n v="9.6034639711685146E-2"/>
  </r>
  <r>
    <s v="999179386"/>
    <x v="23"/>
    <n v="2389903"/>
    <n v="1952827"/>
    <n v="-437076"/>
    <n v="0.1828844099530399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2628342"/>
    <x v="0"/>
    <n v="-987304"/>
    <n v="7.818160135352685E-2"/>
  </r>
  <r>
    <x v="1"/>
    <n v="12787711"/>
    <x v="1"/>
    <n v="-1756266"/>
    <n v="0.13734013851267049"/>
  </r>
  <r>
    <x v="2"/>
    <n v="14186373"/>
    <x v="2"/>
    <n v="-1207435"/>
    <n v="8.5112311652879843E-2"/>
  </r>
  <r>
    <x v="3"/>
    <n v="9555695"/>
    <x v="3"/>
    <n v="3033682"/>
    <n v="0.31747371593588952"/>
  </r>
  <r>
    <x v="4"/>
    <n v="11240344"/>
    <x v="4"/>
    <n v="-2731191"/>
    <n v="0.24298108669983765"/>
  </r>
  <r>
    <x v="5"/>
    <n v="11922744"/>
    <x v="5"/>
    <n v="-374833"/>
    <n v="3.1438484295225999E-2"/>
  </r>
  <r>
    <x v="6"/>
    <n v="12505746"/>
    <x v="6"/>
    <n v="716061"/>
    <n v="5.7258559385421709E-2"/>
  </r>
  <r>
    <x v="7"/>
    <n v="11962102"/>
    <x v="7"/>
    <n v="1137440"/>
    <n v="9.5086967156775629E-2"/>
  </r>
  <r>
    <x v="8"/>
    <n v="11825071"/>
    <x v="8"/>
    <n v="1386265"/>
    <n v="0.11723100859183001"/>
  </r>
  <r>
    <x v="9"/>
    <n v="12795046"/>
    <x v="9"/>
    <n v="-1435699"/>
    <n v="0.11220741214998367"/>
  </r>
  <r>
    <x v="10"/>
    <n v="12884065"/>
    <x v="10"/>
    <n v="-1525012"/>
    <n v="0.11836419639298622"/>
  </r>
  <r>
    <x v="11"/>
    <n v="11966732"/>
    <x v="11"/>
    <n v="1087412"/>
    <n v="9.086958745294872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58EE4-1D94-4814-8574-DD3A25EF6FFC}" name="Tabela dinâmica10" cacheId="59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27">
  <location ref="D3:F15" firstHeaderRow="0" firstDataRow="1" firstDataCol="1"/>
  <pivotFields count="7">
    <pivotField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8" showAll="0"/>
    <pivotField dataField="1" numFmtId="168" showAll="0">
      <items count="13">
        <item x="4"/>
        <item x="1"/>
        <item x="10"/>
        <item x="9"/>
        <item x="5"/>
        <item x="0"/>
        <item x="3"/>
        <item x="2"/>
        <item x="11"/>
        <item x="7"/>
        <item x="8"/>
        <item x="6"/>
        <item t="default"/>
      </items>
    </pivotField>
    <pivotField numFmtId="168" showAll="0"/>
    <pivotField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Soma de Valor Orçado" fld="1" baseField="0" baseItem="0"/>
    <dataField name="Soma de Valor Realizado" fld="2" baseField="0" baseItem="0"/>
  </dataFields>
  <chartFormats count="3"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1B86C-7A33-4135-9F11-75A8AD3AC5D5}" name="Tabela dinâmica9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H3:I28" firstHeaderRow="1" firstDataRow="1" firstDataCol="1"/>
  <pivotFields count="6">
    <pivotField showAll="0"/>
    <pivotField axis="axisRow" showAll="0">
      <items count="25">
        <item x="3"/>
        <item x="23"/>
        <item x="12"/>
        <item x="4"/>
        <item x="14"/>
        <item x="11"/>
        <item x="13"/>
        <item x="2"/>
        <item x="20"/>
        <item x="6"/>
        <item x="21"/>
        <item x="9"/>
        <item x="1"/>
        <item x="18"/>
        <item x="8"/>
        <item x="19"/>
        <item x="22"/>
        <item x="0"/>
        <item x="16"/>
        <item x="7"/>
        <item x="15"/>
        <item x="17"/>
        <item x="10"/>
        <item x="5"/>
        <item t="default"/>
      </items>
    </pivotField>
    <pivotField numFmtId="168" showAll="0"/>
    <pivotField dataField="1" numFmtId="168" showAll="0"/>
    <pivotField numFmtId="168" showAll="0"/>
    <pivotField numFmtId="9"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a de Valor Realizad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3AAB2-1BE5-4684-BF56-32270B6FBD23}" name="Tabela dinâmica6" cacheId="41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 chartFormat="11" rowHeaderCaption="MÊS">
  <location ref="A3:B15" firstHeaderRow="1" firstDataRow="1" firstDataCol="1"/>
  <pivotFields count="11">
    <pivotField numFmtId="166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numFmtId="168" showAll="0"/>
    <pivotField dataField="1" numFmtId="168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LUCRO LÍQUIDO MENSAL" fld="8" baseField="10" baseItem="1" numFmtId="168"/>
  </dataFields>
  <formats count="4">
    <format dxfId="21">
      <pivotArea dataOnly="0" outline="0" axis="axisValues" fieldPosition="0"/>
    </format>
    <format dxfId="22">
      <pivotArea field="10" type="button" dataOnly="0" labelOnly="1" outline="0" axis="axisRow" fieldPosition="0"/>
    </format>
    <format dxfId="23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38D21C-AFBB-4127-8840-7DED0BA76BB2}" name="dPlanoContas" displayName="dPlanoContas" ref="A1:D141" totalsRowShown="0" headerRowDxfId="60" dataDxfId="59">
  <autoFilter ref="A1:D141" xr:uid="{B8C47A11-825A-4DDA-9FEA-F06A6B2229A6}"/>
  <tableColumns count="4">
    <tableColumn id="1" xr3:uid="{3E476956-9263-4C66-8DD2-9E258EBDAE9D}" name="Conta" dataDxfId="58"/>
    <tableColumn id="2" xr3:uid="{57267C3B-00E3-4B75-8A9F-979FF2D77256}" name="Descrição da Conta" dataDxfId="57"/>
    <tableColumn id="3" xr3:uid="{C655C980-FB30-43BB-9D93-2493AC021A7F}" name="Nível 1" dataDxfId="56"/>
    <tableColumn id="4" xr3:uid="{271AC19F-3332-4823-A7B7-FEDA68ED5936}" name="Nível 2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FB328-E7B6-45A3-AFE0-F20B16E235F4}" name="dFormatoDRE" displayName="dFormatoDRE" ref="A1:C9" totalsRowShown="0">
  <autoFilter ref="A1:C9" xr:uid="{D830D9FB-288C-4C00-86AB-9EE27FA22C75}"/>
  <tableColumns count="3">
    <tableColumn id="1" xr3:uid="{8F43F0E7-3F7B-4E6F-B19A-FAB611232362}" name="Ordem" dataDxfId="54"/>
    <tableColumn id="2" xr3:uid="{7CAB7A1D-0CE2-4EC7-9881-68A3A03EBB19}" name="Grupo" dataDxfId="52"/>
    <tableColumn id="3" xr3:uid="{6F266A63-09C6-4571-B421-7226CBCC71F8}" name="Subtotal?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910134-B6D0-40A5-8759-C134A6475BC2}" name="Tabela11" displayName="Tabela11" ref="A1:C1048576" totalsRowShown="0" headerRowDxfId="48" dataDxfId="47">
  <autoFilter ref="A1:C1048576" xr:uid="{17910134-B6D0-40A5-8759-C134A6475BC2}"/>
  <tableColumns count="3">
    <tableColumn id="1" xr3:uid="{34DFEF24-2AC7-4AE0-A2DB-36D29D363F8A}" name="Mês/Ano" dataDxfId="51"/>
    <tableColumn id="2" xr3:uid="{46827268-5F93-4CB2-AD2D-A0BF738A5581}" name="Conta" dataDxfId="50"/>
    <tableColumn id="3" xr3:uid="{E7FA74F0-C0E0-4727-BF97-746D9444791B}" name="Valor Orçado" dataDxfId="4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B4ADB-97B3-4C5E-8E55-8166CFCA8EBF}" name="fOrcado" displayName="fOrcado" ref="A1:E1681" totalsRowShown="0" headerRowDxfId="41" dataDxfId="40">
  <autoFilter ref="A1:E1681" xr:uid="{BF2E1434-CD6D-47F1-9A6A-ADD9A4E4352E}"/>
  <tableColumns count="5">
    <tableColumn id="1" xr3:uid="{55179490-DCA0-446E-984D-BE7F9C4A0D2B}" name="Mês/Ano" dataDxfId="46"/>
    <tableColumn id="2" xr3:uid="{A7188BC1-33FD-4470-9821-D87026F3E3CF}" name="Conta" dataDxfId="45"/>
    <tableColumn id="3" xr3:uid="{6E50FBFB-DC6E-4110-91CA-7D5A21A7D3FA}" name="Valor Orçado" dataDxfId="44"/>
    <tableColumn id="4" xr3:uid="{F194A885-B8E1-430F-8C89-FCD0FB9A94C9}" name="Nível 1" dataDxfId="43">
      <calculatedColumnFormula>_xlfn.XLOOKUP(fOrcado[[#This Row],[Conta]],'Plano de Contas'!A:A,'Plano de Contas'!C:C)</calculatedColumnFormula>
    </tableColumn>
    <tableColumn id="5" xr3:uid="{DB5BFD84-57FE-47DF-97F4-8999407892C2}" name="Nível 2" dataDxfId="42">
      <calculatedColumnFormula>_xlfn.XLOOKUP(fOrcado[[#This Row],[Conta]],'Plano de Contas'!A:A,'Plano de Contas'!D:D)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2A519-AA17-4AE5-9A19-E9ADFE1DE423}" name="fRealizado" displayName="fRealizado" ref="A1:C1681" totalsRowShown="0">
  <autoFilter ref="A1:C1681" xr:uid="{40F49FDB-7D8F-45A0-ABA3-7A29F45AC549}"/>
  <tableColumns count="3">
    <tableColumn id="1" xr3:uid="{C892295F-70EB-4746-9F89-FA575430D51B}" name="Mês/Ano" dataDxfId="78"/>
    <tableColumn id="2" xr3:uid="{6B90A5FE-D380-4F7D-9B9F-F40964243CF0}" name="Conta"/>
    <tableColumn id="3" xr3:uid="{05E8924E-29E0-41E9-B47E-76D4E2BB14DF}" name="Valor Realiz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501A78-8D40-40B5-A3AA-076D938566FC}" name="fRealizado5" displayName="fRealizado5" ref="A1:E1681" totalsRowShown="0" headerRowDxfId="34" dataDxfId="33">
  <autoFilter ref="A1:E1681" xr:uid="{30501A78-8D40-40B5-A3AA-076D938566FC}">
    <filterColumn colId="0">
      <filters>
        <dateGroupItem year="2019" month="4" day="1" dateTimeGrouping="day"/>
      </filters>
    </filterColumn>
  </autoFilter>
  <tableColumns count="5">
    <tableColumn id="1" xr3:uid="{FBC070F2-0C40-4693-91BA-9058E946B34D}" name="Mês/Ano" dataDxfId="39"/>
    <tableColumn id="2" xr3:uid="{698BDF4C-BC98-452E-BB0E-FFFF2EE86D93}" name="Conta" dataDxfId="38"/>
    <tableColumn id="3" xr3:uid="{2BDF362B-AB46-4473-B8D3-013F9405C4C5}" name="Valor Realizado" dataDxfId="37"/>
    <tableColumn id="4" xr3:uid="{2896BFF8-BCCC-4D19-923D-F7C504AF40DA}" name="Nível 1" dataDxfId="36">
      <calculatedColumnFormula>_xlfn.XLOOKUP(fRealizado5[[#This Row],[Conta]],'Plano de Contas'!A:A,'Plano de Contas'!C:C)</calculatedColumnFormula>
    </tableColumn>
    <tableColumn id="5" xr3:uid="{69D101C0-CD29-4ABE-A9C6-890F4F2D6D32}" name="Nível 2" dataDxfId="35">
      <calculatedColumnFormula>_xlfn.XLOOKUP(fRealizado5[[#This Row],[Conta]],'Plano de Contas'!A:A,'Plano de Contas'!D:D)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83AF3BC-13A6-4A3B-A90F-EA32C91503AD}" name="Tabela14" displayName="Tabela14" ref="A1:I13" headerRowDxfId="19" dataDxfId="18">
  <autoFilter ref="A1:I13" xr:uid="{883AF3BC-13A6-4A3B-A90F-EA32C91503AD}"/>
  <tableColumns count="9">
    <tableColumn id="1" xr3:uid="{39670D93-FFED-467B-9719-A41E295AE4B8}" name="MÊS" totalsRowLabel="Total" dataDxfId="16" totalsRowDxfId="17"/>
    <tableColumn id="2" xr3:uid="{883990B9-97E8-49D9-8586-D8C0C494022B}" name="RECEITA BRUTA" dataDxfId="14" totalsRowDxfId="15"/>
    <tableColumn id="3" xr3:uid="{B83A9D7A-1726-43B2-9AE9-53B8AA68D36A}" name="DEDUÇÕES DA RECEITA" dataDxfId="12" totalsRowDxfId="13"/>
    <tableColumn id="4" xr3:uid="{77DAEA59-F368-4418-8836-000BF6A4DF55}" name="RECEITA LÍQUIDA" dataDxfId="10" totalsRowDxfId="11"/>
    <tableColumn id="5" xr3:uid="{62742E2F-1967-4DEE-8111-1AB36C14BE8C}" name="CUSTOS" dataDxfId="8" totalsRowDxfId="9"/>
    <tableColumn id="6" xr3:uid="{65FD3144-0A8F-49AF-B2D6-E0967324CCA4}" name="LUCRO BRUTO" dataDxfId="6" totalsRowDxfId="7"/>
    <tableColumn id="7" xr3:uid="{C4EB8693-217D-4F2B-B24B-DA1E9573B787}" name="DESPESAS GERAIS" dataDxfId="4" totalsRowDxfId="5"/>
    <tableColumn id="8" xr3:uid="{C6DD4EF0-38D4-4763-A347-EFD2A86FE43A}" name="IMPOSTOS" dataDxfId="2" totalsRowDxfId="3"/>
    <tableColumn id="9" xr3:uid="{0E22F620-FB27-4E15-BB9C-274B6915038E}" name="LUCRO LÍQUIDO" totalsRowFunction="sum" dataDxfId="0" totalsRowDxfId="1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255E353-9602-4316-917E-5CD89AFB03D4}" name="Tabela15" displayName="Tabela15" ref="A19:G31" totalsRowShown="0" headerRowDxfId="25" dataDxfId="24" dataCellStyle="Porcentagem">
  <autoFilter ref="A19:G31" xr:uid="{A255E353-9602-4316-917E-5CD89AFB03D4}"/>
  <tableColumns count="7">
    <tableColumn id="1" xr3:uid="{F359D2E8-0049-49C4-82AF-EAE60DA09E94}" name="MÊS" dataDxfId="32"/>
    <tableColumn id="2" xr3:uid="{6C4B7832-F952-4D6F-874D-467FDD27B9C8}" name="% DEDUÇÕES" dataDxfId="31" dataCellStyle="Porcentagem">
      <calculatedColumnFormula>C2/D2</calculatedColumnFormula>
    </tableColumn>
    <tableColumn id="3" xr3:uid="{4523A5F6-A84C-42B6-B93F-3FE0446F1CAE}" name="% CUSTOS" dataDxfId="30" dataCellStyle="Porcentagem">
      <calculatedColumnFormula>E2/D2</calculatedColumnFormula>
    </tableColumn>
    <tableColumn id="4" xr3:uid="{4BE016DB-B6C1-4C71-BA63-CC584EE6DED0}" name="% DESPESAS" dataDxfId="29" dataCellStyle="Porcentagem">
      <calculatedColumnFormula>G2/D2</calculatedColumnFormula>
    </tableColumn>
    <tableColumn id="5" xr3:uid="{B273E02E-AE78-4229-8016-2E278B25F64B}" name="% IMPOSTOS" dataDxfId="28" dataCellStyle="Porcentagem">
      <calculatedColumnFormula>H2/D2</calculatedColumnFormula>
    </tableColumn>
    <tableColumn id="6" xr3:uid="{D2388933-3BEE-4EC2-BCC1-22E3D0867719}" name="MARGEM BRUTA" dataDxfId="27" dataCellStyle="Porcentagem">
      <calculatedColumnFormula>F2/D2</calculatedColumnFormula>
    </tableColumn>
    <tableColumn id="7" xr3:uid="{20ABF91F-8C29-4804-A9E6-2EBD20E1278D}" name="MARGEM LÍQUIDA" dataDxfId="26" dataCellStyle="Porcentagem">
      <calculatedColumnFormula>I2/D2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A58B1E-2EB5-46C8-934A-7868254CDC68}" name="Tabela8" displayName="Tabela8" ref="A1:E13" totalsRowShown="0" headerRowDxfId="73" dataDxfId="74" headerRowBorderDxfId="76" tableBorderDxfId="77" totalsRowBorderDxfId="75">
  <autoFilter ref="A1:E13" xr:uid="{42A58B1E-2EB5-46C8-934A-7868254CDC68}"/>
  <tableColumns count="5">
    <tableColumn id="1" xr3:uid="{894BB51B-EB6C-483B-89C2-075EBB6FBA2D}" name="Mês/Ano" dataDxfId="72"/>
    <tableColumn id="2" xr3:uid="{4B407C38-EE23-430F-A19E-021F6C820A77}" name="Valor Orçado" dataDxfId="71">
      <calculatedColumnFormula>SUMIF('Orçado Adptado'!A:A,Tabela8[[#This Row],[Mês/Ano]],'Orçado Adptado'!C:C)</calculatedColumnFormula>
    </tableColumn>
    <tableColumn id="3" xr3:uid="{13A26839-8133-4C23-8BF8-C7C57D4A9D53}" name="Valor Realizado" dataDxfId="70">
      <calculatedColumnFormula>SUMIF(Realizado!A:A,Tabela8[[#This Row],[Mês/Ano]],Realizado!C:C)</calculatedColumnFormula>
    </tableColumn>
    <tableColumn id="4" xr3:uid="{B868C041-B260-42E7-A043-E30D8C9155DE}" name="Desvio Absoluto" dataDxfId="69">
      <calculatedColumnFormula>Tabela8[[#This Row],[Valor Realizado]]-Tabela8[[#This Row],[Valor Orçado]]</calculatedColumnFormula>
    </tableColumn>
    <tableColumn id="5" xr3:uid="{8D1B42BA-BAD6-413F-A5FD-742EFF1FCD2E}" name="Desvio % " dataDxfId="68">
      <calculatedColumnFormula>ABS((Tabela8[[#This Row],[Valor Realizado]]-Tabela8[[#This Row],[Valor Orçado]])/Tabela8[[#This Row],[Valor Orçado]])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140AA5-1811-4B9E-84C2-CB38F07A5752}" name="Tabela9" displayName="Tabela9" ref="H1:M25" totalsRowShown="0" tableBorderDxfId="67">
  <autoFilter ref="H1:M25" xr:uid="{31140AA5-1811-4B9E-84C2-CB38F07A5752}"/>
  <tableColumns count="6">
    <tableColumn id="1" xr3:uid="{8FC2E00A-EA0D-44A1-8070-55E33E9093A1}" name="Conta" dataDxfId="66"/>
    <tableColumn id="2" xr3:uid="{16A824BC-CB54-4DD9-8E8C-4AAF4836AAC8}" name="Descrição da Conta" dataDxfId="65"/>
    <tableColumn id="3" xr3:uid="{B611F44D-D8B0-4691-BB83-9B5A0D792C47}" name="Valor Orçado" dataDxfId="63">
      <calculatedColumnFormula>SUMIF('Orçado Adptado'!B:B,ORÇAMENTO!H2,'Orçado Adptado'!C:C)</calculatedColumnFormula>
    </tableColumn>
    <tableColumn id="4" xr3:uid="{B224A9C5-1D4F-4AB1-8861-6CFF395BA7A4}" name="Valor Realizado" dataDxfId="62">
      <calculatedColumnFormula>SUMIF(Realizado!B:B,ORÇAMENTO!H2,Realizado!C:C)</calculatedColumnFormula>
    </tableColumn>
    <tableColumn id="5" xr3:uid="{18B1FCDE-8900-41C3-9F14-DA4296D4E3D7}" name="Desvio Absoluto" dataDxfId="61">
      <calculatedColumnFormula>K2-J2</calculatedColumnFormula>
    </tableColumn>
    <tableColumn id="6" xr3:uid="{064CF921-EA1A-43AB-8CA9-BB3FE93935D5}" name="Desvio % " dataDxfId="64" dataCellStyle="Porcentagem">
      <calculatedColumnFormula>ABS((K2-J2)/J2)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CB23-3071-41A0-B2BE-9BFA101452FB}">
  <dimension ref="A1:D141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2.42578125" style="5" customWidth="1"/>
    <col min="2" max="2" width="39.42578125" style="5" customWidth="1"/>
    <col min="3" max="3" width="26.7109375" style="5" bestFit="1" customWidth="1"/>
    <col min="4" max="4" width="30.7109375" style="5" bestFit="1" customWidth="1"/>
  </cols>
  <sheetData>
    <row r="1" spans="1:4" x14ac:dyDescent="0.25">
      <c r="A1" s="5" t="s">
        <v>6</v>
      </c>
      <c r="B1" s="5" t="s">
        <v>7</v>
      </c>
      <c r="C1" s="5" t="s">
        <v>8</v>
      </c>
      <c r="D1" s="5" t="s">
        <v>9</v>
      </c>
    </row>
    <row r="2" spans="1:4" x14ac:dyDescent="0.25">
      <c r="A2" s="5" t="s">
        <v>51</v>
      </c>
      <c r="B2" s="5" t="s">
        <v>10</v>
      </c>
      <c r="C2" s="5" t="s">
        <v>35</v>
      </c>
      <c r="D2" s="5" t="s">
        <v>195</v>
      </c>
    </row>
    <row r="3" spans="1:4" x14ac:dyDescent="0.25">
      <c r="A3" s="5" t="s">
        <v>52</v>
      </c>
      <c r="B3" s="5" t="s">
        <v>11</v>
      </c>
      <c r="C3" s="5" t="s">
        <v>35</v>
      </c>
      <c r="D3" s="5" t="s">
        <v>195</v>
      </c>
    </row>
    <row r="4" spans="1:4" x14ac:dyDescent="0.25">
      <c r="A4" s="5" t="s">
        <v>53</v>
      </c>
      <c r="B4" s="5" t="s">
        <v>12</v>
      </c>
      <c r="C4" s="5" t="s">
        <v>35</v>
      </c>
      <c r="D4" s="5" t="s">
        <v>195</v>
      </c>
    </row>
    <row r="5" spans="1:4" x14ac:dyDescent="0.25">
      <c r="A5" s="5" t="s">
        <v>54</v>
      </c>
      <c r="B5" s="5" t="s">
        <v>13</v>
      </c>
      <c r="C5" s="5" t="s">
        <v>35</v>
      </c>
      <c r="D5" s="5" t="s">
        <v>195</v>
      </c>
    </row>
    <row r="6" spans="1:4" x14ac:dyDescent="0.25">
      <c r="A6" s="5" t="s">
        <v>55</v>
      </c>
      <c r="B6" s="5" t="s">
        <v>14</v>
      </c>
      <c r="C6" s="5" t="s">
        <v>35</v>
      </c>
      <c r="D6" s="5" t="s">
        <v>195</v>
      </c>
    </row>
    <row r="7" spans="1:4" x14ac:dyDescent="0.25">
      <c r="A7" s="5" t="s">
        <v>56</v>
      </c>
      <c r="B7" s="5" t="s">
        <v>15</v>
      </c>
      <c r="C7" s="5" t="s">
        <v>35</v>
      </c>
      <c r="D7" s="5" t="s">
        <v>195</v>
      </c>
    </row>
    <row r="8" spans="1:4" x14ac:dyDescent="0.25">
      <c r="A8" s="5" t="s">
        <v>57</v>
      </c>
      <c r="B8" s="5" t="s">
        <v>16</v>
      </c>
      <c r="C8" s="5" t="s">
        <v>35</v>
      </c>
      <c r="D8" s="5" t="s">
        <v>195</v>
      </c>
    </row>
    <row r="9" spans="1:4" x14ac:dyDescent="0.25">
      <c r="A9" s="5" t="s">
        <v>58</v>
      </c>
      <c r="B9" s="5" t="s">
        <v>17</v>
      </c>
      <c r="C9" s="5" t="s">
        <v>35</v>
      </c>
      <c r="D9" s="5" t="s">
        <v>195</v>
      </c>
    </row>
    <row r="10" spans="1:4" x14ac:dyDescent="0.25">
      <c r="A10" s="5" t="s">
        <v>59</v>
      </c>
      <c r="B10" s="5" t="s">
        <v>18</v>
      </c>
      <c r="C10" s="5" t="s">
        <v>35</v>
      </c>
      <c r="D10" s="5" t="s">
        <v>195</v>
      </c>
    </row>
    <row r="11" spans="1:4" x14ac:dyDescent="0.25">
      <c r="A11" s="5" t="s">
        <v>60</v>
      </c>
      <c r="B11" s="5" t="s">
        <v>19</v>
      </c>
      <c r="C11" s="5" t="s">
        <v>35</v>
      </c>
      <c r="D11" s="5" t="s">
        <v>195</v>
      </c>
    </row>
    <row r="12" spans="1:4" x14ac:dyDescent="0.25">
      <c r="A12" s="5" t="s">
        <v>61</v>
      </c>
      <c r="B12" s="5" t="s">
        <v>20</v>
      </c>
      <c r="C12" s="5" t="s">
        <v>35</v>
      </c>
      <c r="D12" s="5" t="s">
        <v>195</v>
      </c>
    </row>
    <row r="13" spans="1:4" x14ac:dyDescent="0.25">
      <c r="A13" s="5" t="s">
        <v>62</v>
      </c>
      <c r="B13" s="5" t="s">
        <v>21</v>
      </c>
      <c r="C13" s="5" t="s">
        <v>35</v>
      </c>
      <c r="D13" s="5" t="s">
        <v>195</v>
      </c>
    </row>
    <row r="14" spans="1:4" x14ac:dyDescent="0.25">
      <c r="A14" s="5" t="s">
        <v>63</v>
      </c>
      <c r="B14" s="5" t="s">
        <v>22</v>
      </c>
      <c r="C14" s="5" t="s">
        <v>35</v>
      </c>
      <c r="D14" s="5" t="s">
        <v>195</v>
      </c>
    </row>
    <row r="15" spans="1:4" x14ac:dyDescent="0.25">
      <c r="A15" s="5" t="s">
        <v>64</v>
      </c>
      <c r="B15" s="5" t="s">
        <v>23</v>
      </c>
      <c r="C15" s="5" t="s">
        <v>35</v>
      </c>
      <c r="D15" s="5" t="s">
        <v>195</v>
      </c>
    </row>
    <row r="16" spans="1:4" x14ac:dyDescent="0.25">
      <c r="A16" s="5" t="s">
        <v>65</v>
      </c>
      <c r="B16" s="5" t="s">
        <v>24</v>
      </c>
      <c r="C16" s="5" t="s">
        <v>35</v>
      </c>
      <c r="D16" s="5" t="s">
        <v>195</v>
      </c>
    </row>
    <row r="17" spans="1:4" x14ac:dyDescent="0.25">
      <c r="A17" s="5" t="s">
        <v>66</v>
      </c>
      <c r="B17" s="5" t="s">
        <v>25</v>
      </c>
      <c r="C17" s="5" t="s">
        <v>35</v>
      </c>
      <c r="D17" s="5" t="s">
        <v>195</v>
      </c>
    </row>
    <row r="18" spans="1:4" x14ac:dyDescent="0.25">
      <c r="A18" s="5" t="s">
        <v>67</v>
      </c>
      <c r="B18" s="5" t="s">
        <v>26</v>
      </c>
      <c r="C18" s="5" t="s">
        <v>35</v>
      </c>
      <c r="D18" s="5" t="s">
        <v>195</v>
      </c>
    </row>
    <row r="19" spans="1:4" x14ac:dyDescent="0.25">
      <c r="A19" s="5" t="s">
        <v>68</v>
      </c>
      <c r="B19" s="5" t="s">
        <v>27</v>
      </c>
      <c r="C19" s="5" t="s">
        <v>35</v>
      </c>
      <c r="D19" s="5" t="s">
        <v>195</v>
      </c>
    </row>
    <row r="20" spans="1:4" x14ac:dyDescent="0.25">
      <c r="A20" s="5" t="s">
        <v>69</v>
      </c>
      <c r="B20" s="5" t="s">
        <v>28</v>
      </c>
      <c r="C20" s="5" t="s">
        <v>35</v>
      </c>
      <c r="D20" s="5" t="s">
        <v>195</v>
      </c>
    </row>
    <row r="21" spans="1:4" x14ac:dyDescent="0.25">
      <c r="A21" s="5" t="s">
        <v>70</v>
      </c>
      <c r="B21" s="5" t="s">
        <v>29</v>
      </c>
      <c r="C21" s="5" t="s">
        <v>35</v>
      </c>
      <c r="D21" s="5" t="s">
        <v>195</v>
      </c>
    </row>
    <row r="22" spans="1:4" x14ac:dyDescent="0.25">
      <c r="A22" s="5" t="s">
        <v>71</v>
      </c>
      <c r="B22" s="5" t="s">
        <v>30</v>
      </c>
      <c r="C22" s="5" t="s">
        <v>35</v>
      </c>
      <c r="D22" s="5" t="s">
        <v>195</v>
      </c>
    </row>
    <row r="23" spans="1:4" x14ac:dyDescent="0.25">
      <c r="A23" s="5" t="s">
        <v>72</v>
      </c>
      <c r="B23" s="5" t="s">
        <v>31</v>
      </c>
      <c r="C23" s="5" t="s">
        <v>35</v>
      </c>
      <c r="D23" s="5" t="s">
        <v>195</v>
      </c>
    </row>
    <row r="24" spans="1:4" x14ac:dyDescent="0.25">
      <c r="A24" s="5" t="s">
        <v>73</v>
      </c>
      <c r="B24" s="5" t="s">
        <v>32</v>
      </c>
      <c r="C24" s="5" t="s">
        <v>35</v>
      </c>
      <c r="D24" s="5" t="s">
        <v>195</v>
      </c>
    </row>
    <row r="25" spans="1:4" x14ac:dyDescent="0.25">
      <c r="A25" s="5" t="s">
        <v>74</v>
      </c>
      <c r="B25" s="5" t="s">
        <v>33</v>
      </c>
      <c r="C25" s="5" t="s">
        <v>35</v>
      </c>
      <c r="D25" s="5" t="s">
        <v>195</v>
      </c>
    </row>
    <row r="26" spans="1:4" x14ac:dyDescent="0.25">
      <c r="A26" s="5" t="s">
        <v>75</v>
      </c>
      <c r="B26" s="5" t="s">
        <v>196</v>
      </c>
      <c r="C26" s="5" t="s">
        <v>35</v>
      </c>
      <c r="D26" s="5" t="s">
        <v>37</v>
      </c>
    </row>
    <row r="27" spans="1:4" x14ac:dyDescent="0.25">
      <c r="A27" s="5" t="s">
        <v>76</v>
      </c>
      <c r="B27" s="5" t="s">
        <v>197</v>
      </c>
      <c r="C27" s="5" t="s">
        <v>35</v>
      </c>
      <c r="D27" s="5" t="s">
        <v>37</v>
      </c>
    </row>
    <row r="28" spans="1:4" x14ac:dyDescent="0.25">
      <c r="A28" s="5" t="s">
        <v>77</v>
      </c>
      <c r="B28" s="5" t="s">
        <v>198</v>
      </c>
      <c r="C28" s="5" t="s">
        <v>35</v>
      </c>
      <c r="D28" s="5" t="s">
        <v>37</v>
      </c>
    </row>
    <row r="29" spans="1:4" x14ac:dyDescent="0.25">
      <c r="A29" s="5" t="s">
        <v>78</v>
      </c>
      <c r="B29" s="5" t="s">
        <v>199</v>
      </c>
      <c r="C29" s="5" t="s">
        <v>35</v>
      </c>
      <c r="D29" s="5" t="s">
        <v>37</v>
      </c>
    </row>
    <row r="30" spans="1:4" x14ac:dyDescent="0.25">
      <c r="A30" s="5" t="s">
        <v>79</v>
      </c>
      <c r="B30" s="5" t="s">
        <v>200</v>
      </c>
      <c r="C30" s="5" t="s">
        <v>35</v>
      </c>
      <c r="D30" s="5" t="s">
        <v>37</v>
      </c>
    </row>
    <row r="31" spans="1:4" x14ac:dyDescent="0.25">
      <c r="A31" s="5" t="s">
        <v>80</v>
      </c>
      <c r="B31" s="5" t="s">
        <v>201</v>
      </c>
      <c r="C31" s="5" t="s">
        <v>35</v>
      </c>
      <c r="D31" s="5" t="s">
        <v>37</v>
      </c>
    </row>
    <row r="32" spans="1:4" x14ac:dyDescent="0.25">
      <c r="A32" s="5" t="s">
        <v>81</v>
      </c>
      <c r="B32" s="5" t="s">
        <v>202</v>
      </c>
      <c r="C32" s="5" t="s">
        <v>35</v>
      </c>
      <c r="D32" s="5" t="s">
        <v>37</v>
      </c>
    </row>
    <row r="33" spans="1:4" x14ac:dyDescent="0.25">
      <c r="A33" s="5" t="s">
        <v>82</v>
      </c>
      <c r="B33" s="5" t="s">
        <v>203</v>
      </c>
      <c r="C33" s="5" t="s">
        <v>35</v>
      </c>
      <c r="D33" s="5" t="s">
        <v>37</v>
      </c>
    </row>
    <row r="34" spans="1:4" x14ac:dyDescent="0.25">
      <c r="A34" s="5" t="s">
        <v>83</v>
      </c>
      <c r="B34" s="5" t="s">
        <v>204</v>
      </c>
      <c r="C34" s="5" t="s">
        <v>35</v>
      </c>
      <c r="D34" s="5" t="s">
        <v>37</v>
      </c>
    </row>
    <row r="35" spans="1:4" x14ac:dyDescent="0.25">
      <c r="A35" s="5" t="s">
        <v>84</v>
      </c>
      <c r="B35" s="5" t="s">
        <v>205</v>
      </c>
      <c r="C35" s="5" t="s">
        <v>35</v>
      </c>
      <c r="D35" s="5" t="s">
        <v>37</v>
      </c>
    </row>
    <row r="36" spans="1:4" x14ac:dyDescent="0.25">
      <c r="A36" s="5" t="s">
        <v>85</v>
      </c>
      <c r="B36" s="5" t="s">
        <v>206</v>
      </c>
      <c r="C36" s="5" t="s">
        <v>35</v>
      </c>
      <c r="D36" s="5" t="s">
        <v>37</v>
      </c>
    </row>
    <row r="37" spans="1:4" x14ac:dyDescent="0.25">
      <c r="A37" s="5" t="s">
        <v>86</v>
      </c>
      <c r="B37" s="5" t="s">
        <v>207</v>
      </c>
      <c r="C37" s="5" t="s">
        <v>35</v>
      </c>
      <c r="D37" s="5" t="s">
        <v>37</v>
      </c>
    </row>
    <row r="38" spans="1:4" x14ac:dyDescent="0.25">
      <c r="A38" s="5" t="s">
        <v>87</v>
      </c>
      <c r="B38" s="5" t="s">
        <v>208</v>
      </c>
      <c r="C38" s="5" t="s">
        <v>35</v>
      </c>
      <c r="D38" s="5" t="s">
        <v>37</v>
      </c>
    </row>
    <row r="39" spans="1:4" x14ac:dyDescent="0.25">
      <c r="A39" s="5" t="s">
        <v>88</v>
      </c>
      <c r="B39" s="5" t="s">
        <v>209</v>
      </c>
      <c r="C39" s="5" t="s">
        <v>35</v>
      </c>
      <c r="D39" s="5" t="s">
        <v>37</v>
      </c>
    </row>
    <row r="40" spans="1:4" x14ac:dyDescent="0.25">
      <c r="A40" s="5" t="s">
        <v>89</v>
      </c>
      <c r="B40" s="5" t="s">
        <v>210</v>
      </c>
      <c r="C40" s="5" t="s">
        <v>35</v>
      </c>
      <c r="D40" s="5" t="s">
        <v>37</v>
      </c>
    </row>
    <row r="41" spans="1:4" x14ac:dyDescent="0.25">
      <c r="A41" s="5" t="s">
        <v>90</v>
      </c>
      <c r="B41" s="5" t="s">
        <v>211</v>
      </c>
      <c r="C41" s="5" t="s">
        <v>35</v>
      </c>
      <c r="D41" s="5" t="s">
        <v>37</v>
      </c>
    </row>
    <row r="42" spans="1:4" x14ac:dyDescent="0.25">
      <c r="A42" s="5" t="s">
        <v>91</v>
      </c>
      <c r="B42" s="5" t="s">
        <v>212</v>
      </c>
      <c r="C42" s="5" t="s">
        <v>35</v>
      </c>
      <c r="D42" s="5" t="s">
        <v>37</v>
      </c>
    </row>
    <row r="43" spans="1:4" x14ac:dyDescent="0.25">
      <c r="A43" s="5" t="s">
        <v>92</v>
      </c>
      <c r="B43" s="5" t="s">
        <v>213</v>
      </c>
      <c r="C43" s="5" t="s">
        <v>35</v>
      </c>
      <c r="D43" s="5" t="s">
        <v>37</v>
      </c>
    </row>
    <row r="44" spans="1:4" x14ac:dyDescent="0.25">
      <c r="A44" s="5" t="s">
        <v>93</v>
      </c>
      <c r="B44" s="5" t="s">
        <v>214</v>
      </c>
      <c r="C44" s="5" t="s">
        <v>35</v>
      </c>
      <c r="D44" s="5" t="s">
        <v>37</v>
      </c>
    </row>
    <row r="45" spans="1:4" x14ac:dyDescent="0.25">
      <c r="A45" s="5" t="s">
        <v>94</v>
      </c>
      <c r="B45" s="5" t="s">
        <v>215</v>
      </c>
      <c r="C45" s="5" t="s">
        <v>35</v>
      </c>
      <c r="D45" s="5" t="s">
        <v>37</v>
      </c>
    </row>
    <row r="46" spans="1:4" x14ac:dyDescent="0.25">
      <c r="A46" s="5" t="s">
        <v>95</v>
      </c>
      <c r="B46" s="5" t="s">
        <v>216</v>
      </c>
      <c r="C46" s="5" t="s">
        <v>35</v>
      </c>
      <c r="D46" s="5" t="s">
        <v>37</v>
      </c>
    </row>
    <row r="47" spans="1:4" x14ac:dyDescent="0.25">
      <c r="A47" s="5" t="s">
        <v>96</v>
      </c>
      <c r="B47" s="5" t="s">
        <v>217</v>
      </c>
      <c r="C47" s="5" t="s">
        <v>35</v>
      </c>
      <c r="D47" s="5" t="s">
        <v>37</v>
      </c>
    </row>
    <row r="48" spans="1:4" x14ac:dyDescent="0.25">
      <c r="A48" s="5" t="s">
        <v>97</v>
      </c>
      <c r="B48" s="5" t="s">
        <v>218</v>
      </c>
      <c r="C48" s="5" t="s">
        <v>35</v>
      </c>
      <c r="D48" s="5" t="s">
        <v>37</v>
      </c>
    </row>
    <row r="49" spans="1:4" x14ac:dyDescent="0.25">
      <c r="A49" s="5" t="s">
        <v>98</v>
      </c>
      <c r="B49" s="5" t="s">
        <v>219</v>
      </c>
      <c r="C49" s="5" t="s">
        <v>35</v>
      </c>
      <c r="D49" s="5" t="s">
        <v>37</v>
      </c>
    </row>
    <row r="50" spans="1:4" x14ac:dyDescent="0.25">
      <c r="A50" s="5" t="s">
        <v>99</v>
      </c>
      <c r="B50" s="5" t="s">
        <v>220</v>
      </c>
      <c r="C50" s="5" t="s">
        <v>35</v>
      </c>
      <c r="D50" s="5" t="s">
        <v>37</v>
      </c>
    </row>
    <row r="51" spans="1:4" x14ac:dyDescent="0.25">
      <c r="A51" s="5" t="s">
        <v>100</v>
      </c>
      <c r="B51" s="5" t="s">
        <v>221</v>
      </c>
      <c r="C51" s="5" t="s">
        <v>35</v>
      </c>
      <c r="D51" s="5" t="s">
        <v>37</v>
      </c>
    </row>
    <row r="52" spans="1:4" x14ac:dyDescent="0.25">
      <c r="A52" s="5" t="s">
        <v>101</v>
      </c>
      <c r="B52" s="5" t="s">
        <v>222</v>
      </c>
      <c r="C52" s="5" t="s">
        <v>35</v>
      </c>
      <c r="D52" s="5" t="s">
        <v>37</v>
      </c>
    </row>
    <row r="53" spans="1:4" x14ac:dyDescent="0.25">
      <c r="A53" s="5" t="s">
        <v>102</v>
      </c>
      <c r="B53" s="5" t="s">
        <v>223</v>
      </c>
      <c r="C53" s="5" t="s">
        <v>35</v>
      </c>
      <c r="D53" s="5" t="s">
        <v>37</v>
      </c>
    </row>
    <row r="54" spans="1:4" x14ac:dyDescent="0.25">
      <c r="A54" s="5" t="s">
        <v>103</v>
      </c>
      <c r="B54" s="5" t="s">
        <v>224</v>
      </c>
      <c r="C54" s="5" t="s">
        <v>35</v>
      </c>
      <c r="D54" s="5" t="s">
        <v>37</v>
      </c>
    </row>
    <row r="55" spans="1:4" x14ac:dyDescent="0.25">
      <c r="A55" s="5" t="s">
        <v>104</v>
      </c>
      <c r="B55" s="5" t="s">
        <v>225</v>
      </c>
      <c r="C55" s="5" t="s">
        <v>35</v>
      </c>
      <c r="D55" s="5" t="s">
        <v>37</v>
      </c>
    </row>
    <row r="56" spans="1:4" x14ac:dyDescent="0.25">
      <c r="A56" s="5" t="s">
        <v>105</v>
      </c>
      <c r="B56" s="5" t="s">
        <v>226</v>
      </c>
      <c r="C56" s="5" t="s">
        <v>35</v>
      </c>
      <c r="D56" s="5" t="s">
        <v>37</v>
      </c>
    </row>
    <row r="57" spans="1:4" x14ac:dyDescent="0.25">
      <c r="A57" s="5" t="s">
        <v>106</v>
      </c>
      <c r="B57" s="5" t="s">
        <v>227</v>
      </c>
      <c r="C57" s="5" t="s">
        <v>35</v>
      </c>
      <c r="D57" s="5" t="s">
        <v>37</v>
      </c>
    </row>
    <row r="58" spans="1:4" x14ac:dyDescent="0.25">
      <c r="A58" s="5" t="s">
        <v>107</v>
      </c>
      <c r="B58" s="5" t="s">
        <v>228</v>
      </c>
      <c r="C58" s="5" t="s">
        <v>35</v>
      </c>
      <c r="D58" s="5" t="s">
        <v>37</v>
      </c>
    </row>
    <row r="59" spans="1:4" x14ac:dyDescent="0.25">
      <c r="A59" s="5" t="s">
        <v>108</v>
      </c>
      <c r="B59" s="5" t="s">
        <v>229</v>
      </c>
      <c r="C59" s="5" t="s">
        <v>35</v>
      </c>
      <c r="D59" s="5" t="s">
        <v>37</v>
      </c>
    </row>
    <row r="60" spans="1:4" x14ac:dyDescent="0.25">
      <c r="A60" s="5" t="s">
        <v>109</v>
      </c>
      <c r="B60" s="5" t="s">
        <v>230</v>
      </c>
      <c r="C60" s="5" t="s">
        <v>35</v>
      </c>
      <c r="D60" s="5" t="s">
        <v>37</v>
      </c>
    </row>
    <row r="61" spans="1:4" x14ac:dyDescent="0.25">
      <c r="A61" s="5" t="s">
        <v>110</v>
      </c>
      <c r="B61" s="5" t="s">
        <v>231</v>
      </c>
      <c r="C61" s="5" t="s">
        <v>38</v>
      </c>
      <c r="D61" s="5" t="s">
        <v>39</v>
      </c>
    </row>
    <row r="62" spans="1:4" x14ac:dyDescent="0.25">
      <c r="A62" s="5" t="s">
        <v>111</v>
      </c>
      <c r="B62" s="5" t="s">
        <v>232</v>
      </c>
      <c r="C62" s="5" t="s">
        <v>38</v>
      </c>
      <c r="D62" s="5" t="s">
        <v>39</v>
      </c>
    </row>
    <row r="63" spans="1:4" x14ac:dyDescent="0.25">
      <c r="A63" s="5" t="s">
        <v>112</v>
      </c>
      <c r="B63" s="5" t="s">
        <v>233</v>
      </c>
      <c r="C63" s="5" t="s">
        <v>38</v>
      </c>
      <c r="D63" s="5" t="s">
        <v>39</v>
      </c>
    </row>
    <row r="64" spans="1:4" x14ac:dyDescent="0.25">
      <c r="A64" s="5" t="s">
        <v>113</v>
      </c>
      <c r="B64" s="5" t="s">
        <v>234</v>
      </c>
      <c r="C64" s="5" t="s">
        <v>38</v>
      </c>
      <c r="D64" s="5" t="s">
        <v>39</v>
      </c>
    </row>
    <row r="65" spans="1:4" x14ac:dyDescent="0.25">
      <c r="A65" s="5" t="s">
        <v>114</v>
      </c>
      <c r="B65" s="5" t="s">
        <v>235</v>
      </c>
      <c r="C65" s="5" t="s">
        <v>38</v>
      </c>
      <c r="D65" s="5" t="s">
        <v>39</v>
      </c>
    </row>
    <row r="66" spans="1:4" x14ac:dyDescent="0.25">
      <c r="A66" s="5" t="s">
        <v>115</v>
      </c>
      <c r="B66" s="5" t="s">
        <v>236</v>
      </c>
      <c r="C66" s="5" t="s">
        <v>38</v>
      </c>
      <c r="D66" s="5" t="s">
        <v>39</v>
      </c>
    </row>
    <row r="67" spans="1:4" x14ac:dyDescent="0.25">
      <c r="A67" s="5" t="s">
        <v>116</v>
      </c>
      <c r="B67" s="5" t="s">
        <v>237</v>
      </c>
      <c r="C67" s="5" t="s">
        <v>38</v>
      </c>
      <c r="D67" s="5" t="s">
        <v>39</v>
      </c>
    </row>
    <row r="68" spans="1:4" x14ac:dyDescent="0.25">
      <c r="A68" s="5" t="s">
        <v>117</v>
      </c>
      <c r="B68" s="5" t="s">
        <v>238</v>
      </c>
      <c r="C68" s="5" t="s">
        <v>38</v>
      </c>
      <c r="D68" s="5" t="s">
        <v>39</v>
      </c>
    </row>
    <row r="69" spans="1:4" x14ac:dyDescent="0.25">
      <c r="A69" s="5" t="s">
        <v>118</v>
      </c>
      <c r="B69" s="5" t="s">
        <v>239</v>
      </c>
      <c r="C69" s="5" t="s">
        <v>38</v>
      </c>
      <c r="D69" s="5" t="s">
        <v>39</v>
      </c>
    </row>
    <row r="70" spans="1:4" x14ac:dyDescent="0.25">
      <c r="A70" s="5" t="s">
        <v>119</v>
      </c>
      <c r="B70" s="5" t="s">
        <v>240</v>
      </c>
      <c r="C70" s="5" t="s">
        <v>38</v>
      </c>
      <c r="D70" s="5" t="s">
        <v>39</v>
      </c>
    </row>
    <row r="71" spans="1:4" x14ac:dyDescent="0.25">
      <c r="A71" s="5" t="s">
        <v>120</v>
      </c>
      <c r="B71" s="5" t="s">
        <v>241</v>
      </c>
      <c r="C71" s="5" t="s">
        <v>38</v>
      </c>
      <c r="D71" s="5" t="s">
        <v>39</v>
      </c>
    </row>
    <row r="72" spans="1:4" x14ac:dyDescent="0.25">
      <c r="A72" s="5" t="s">
        <v>121</v>
      </c>
      <c r="B72" s="5" t="s">
        <v>242</v>
      </c>
      <c r="C72" s="5" t="s">
        <v>38</v>
      </c>
      <c r="D72" s="5" t="s">
        <v>39</v>
      </c>
    </row>
    <row r="73" spans="1:4" x14ac:dyDescent="0.25">
      <c r="A73" s="5" t="s">
        <v>122</v>
      </c>
      <c r="B73" s="5" t="s">
        <v>243</v>
      </c>
      <c r="C73" s="5" t="s">
        <v>38</v>
      </c>
      <c r="D73" s="5" t="s">
        <v>39</v>
      </c>
    </row>
    <row r="74" spans="1:4" x14ac:dyDescent="0.25">
      <c r="A74" s="5" t="s">
        <v>123</v>
      </c>
      <c r="B74" s="5" t="s">
        <v>244</v>
      </c>
      <c r="C74" s="5" t="s">
        <v>38</v>
      </c>
      <c r="D74" s="5" t="s">
        <v>39</v>
      </c>
    </row>
    <row r="75" spans="1:4" x14ac:dyDescent="0.25">
      <c r="A75" s="5" t="s">
        <v>124</v>
      </c>
      <c r="B75" s="5" t="s">
        <v>245</v>
      </c>
      <c r="C75" s="5" t="s">
        <v>38</v>
      </c>
      <c r="D75" s="5" t="s">
        <v>39</v>
      </c>
    </row>
    <row r="76" spans="1:4" x14ac:dyDescent="0.25">
      <c r="A76" s="5" t="s">
        <v>125</v>
      </c>
      <c r="B76" s="5" t="s">
        <v>246</v>
      </c>
      <c r="C76" s="5" t="s">
        <v>38</v>
      </c>
      <c r="D76" s="5" t="s">
        <v>39</v>
      </c>
    </row>
    <row r="77" spans="1:4" x14ac:dyDescent="0.25">
      <c r="A77" s="5" t="s">
        <v>126</v>
      </c>
      <c r="B77" s="5" t="s">
        <v>247</v>
      </c>
      <c r="C77" s="5" t="s">
        <v>38</v>
      </c>
      <c r="D77" s="5" t="s">
        <v>39</v>
      </c>
    </row>
    <row r="78" spans="1:4" x14ac:dyDescent="0.25">
      <c r="A78" s="5" t="s">
        <v>127</v>
      </c>
      <c r="B78" s="5" t="s">
        <v>248</v>
      </c>
      <c r="C78" s="5" t="s">
        <v>38</v>
      </c>
      <c r="D78" s="5" t="s">
        <v>39</v>
      </c>
    </row>
    <row r="79" spans="1:4" x14ac:dyDescent="0.25">
      <c r="A79" s="5" t="s">
        <v>128</v>
      </c>
      <c r="B79" s="5" t="s">
        <v>249</v>
      </c>
      <c r="C79" s="5" t="s">
        <v>38</v>
      </c>
      <c r="D79" s="5" t="s">
        <v>39</v>
      </c>
    </row>
    <row r="80" spans="1:4" x14ac:dyDescent="0.25">
      <c r="A80" s="5" t="s">
        <v>129</v>
      </c>
      <c r="B80" s="5" t="s">
        <v>250</v>
      </c>
      <c r="C80" s="5" t="s">
        <v>38</v>
      </c>
      <c r="D80" s="5" t="s">
        <v>39</v>
      </c>
    </row>
    <row r="81" spans="1:4" x14ac:dyDescent="0.25">
      <c r="A81" s="5" t="s">
        <v>130</v>
      </c>
      <c r="B81" s="5" t="s">
        <v>251</v>
      </c>
      <c r="C81" s="5" t="s">
        <v>38</v>
      </c>
      <c r="D81" s="5" t="s">
        <v>39</v>
      </c>
    </row>
    <row r="82" spans="1:4" x14ac:dyDescent="0.25">
      <c r="A82" s="5" t="s">
        <v>131</v>
      </c>
      <c r="B82" s="5" t="s">
        <v>252</v>
      </c>
      <c r="C82" s="5" t="s">
        <v>38</v>
      </c>
      <c r="D82" s="5" t="s">
        <v>39</v>
      </c>
    </row>
    <row r="83" spans="1:4" x14ac:dyDescent="0.25">
      <c r="A83" s="5" t="s">
        <v>132</v>
      </c>
      <c r="B83" s="5" t="s">
        <v>253</v>
      </c>
      <c r="C83" s="5" t="s">
        <v>38</v>
      </c>
      <c r="D83" s="5" t="s">
        <v>39</v>
      </c>
    </row>
    <row r="84" spans="1:4" x14ac:dyDescent="0.25">
      <c r="A84" s="5" t="s">
        <v>133</v>
      </c>
      <c r="B84" s="5" t="s">
        <v>254</v>
      </c>
      <c r="C84" s="5" t="s">
        <v>38</v>
      </c>
      <c r="D84" s="5" t="s">
        <v>39</v>
      </c>
    </row>
    <row r="85" spans="1:4" x14ac:dyDescent="0.25">
      <c r="A85" s="5" t="s">
        <v>134</v>
      </c>
      <c r="B85" s="5" t="s">
        <v>255</v>
      </c>
      <c r="C85" s="5" t="s">
        <v>38</v>
      </c>
      <c r="D85" s="5" t="s">
        <v>39</v>
      </c>
    </row>
    <row r="86" spans="1:4" x14ac:dyDescent="0.25">
      <c r="A86" s="5" t="s">
        <v>135</v>
      </c>
      <c r="B86" s="5" t="s">
        <v>256</v>
      </c>
      <c r="C86" s="5" t="s">
        <v>38</v>
      </c>
      <c r="D86" s="5" t="s">
        <v>39</v>
      </c>
    </row>
    <row r="87" spans="1:4" x14ac:dyDescent="0.25">
      <c r="A87" s="5" t="s">
        <v>136</v>
      </c>
      <c r="B87" s="5" t="s">
        <v>257</v>
      </c>
      <c r="C87" s="5" t="s">
        <v>38</v>
      </c>
      <c r="D87" s="5" t="s">
        <v>40</v>
      </c>
    </row>
    <row r="88" spans="1:4" x14ac:dyDescent="0.25">
      <c r="A88" s="5" t="s">
        <v>137</v>
      </c>
      <c r="B88" s="5" t="s">
        <v>258</v>
      </c>
      <c r="C88" s="5" t="s">
        <v>38</v>
      </c>
      <c r="D88" s="5" t="s">
        <v>40</v>
      </c>
    </row>
    <row r="89" spans="1:4" x14ac:dyDescent="0.25">
      <c r="A89" s="5" t="s">
        <v>138</v>
      </c>
      <c r="B89" s="5" t="s">
        <v>259</v>
      </c>
      <c r="C89" s="5" t="s">
        <v>38</v>
      </c>
      <c r="D89" s="5" t="s">
        <v>40</v>
      </c>
    </row>
    <row r="90" spans="1:4" x14ac:dyDescent="0.25">
      <c r="A90" s="5" t="s">
        <v>139</v>
      </c>
      <c r="B90" s="5" t="s">
        <v>260</v>
      </c>
      <c r="C90" s="5" t="s">
        <v>38</v>
      </c>
      <c r="D90" s="5" t="s">
        <v>40</v>
      </c>
    </row>
    <row r="91" spans="1:4" x14ac:dyDescent="0.25">
      <c r="A91" s="5" t="s">
        <v>140</v>
      </c>
      <c r="B91" s="5" t="s">
        <v>261</v>
      </c>
      <c r="C91" s="5" t="s">
        <v>36</v>
      </c>
      <c r="D91" s="5" t="s">
        <v>41</v>
      </c>
    </row>
    <row r="92" spans="1:4" x14ac:dyDescent="0.25">
      <c r="A92" s="5" t="s">
        <v>141</v>
      </c>
      <c r="B92" s="5" t="s">
        <v>262</v>
      </c>
      <c r="C92" s="5" t="s">
        <v>36</v>
      </c>
      <c r="D92" s="5" t="s">
        <v>41</v>
      </c>
    </row>
    <row r="93" spans="1:4" x14ac:dyDescent="0.25">
      <c r="A93" s="5" t="s">
        <v>142</v>
      </c>
      <c r="B93" s="5" t="s">
        <v>263</v>
      </c>
      <c r="C93" s="5" t="s">
        <v>36</v>
      </c>
      <c r="D93" s="5" t="s">
        <v>41</v>
      </c>
    </row>
    <row r="94" spans="1:4" x14ac:dyDescent="0.25">
      <c r="A94" s="5" t="s">
        <v>143</v>
      </c>
      <c r="B94" s="5" t="s">
        <v>264</v>
      </c>
      <c r="C94" s="5" t="s">
        <v>36</v>
      </c>
      <c r="D94" s="5" t="s">
        <v>41</v>
      </c>
    </row>
    <row r="95" spans="1:4" x14ac:dyDescent="0.25">
      <c r="A95" s="5" t="s">
        <v>144</v>
      </c>
      <c r="B95" s="5" t="s">
        <v>265</v>
      </c>
      <c r="C95" s="5" t="s">
        <v>36</v>
      </c>
      <c r="D95" s="5" t="s">
        <v>41</v>
      </c>
    </row>
    <row r="96" spans="1:4" x14ac:dyDescent="0.25">
      <c r="A96" s="5" t="s">
        <v>145</v>
      </c>
      <c r="B96" s="5" t="s">
        <v>266</v>
      </c>
      <c r="C96" s="5" t="s">
        <v>36</v>
      </c>
      <c r="D96" s="5" t="s">
        <v>41</v>
      </c>
    </row>
    <row r="97" spans="1:4" x14ac:dyDescent="0.25">
      <c r="A97" s="5" t="s">
        <v>146</v>
      </c>
      <c r="B97" s="5" t="s">
        <v>267</v>
      </c>
      <c r="C97" s="5" t="s">
        <v>36</v>
      </c>
      <c r="D97" s="5" t="s">
        <v>41</v>
      </c>
    </row>
    <row r="98" spans="1:4" x14ac:dyDescent="0.25">
      <c r="A98" s="5" t="s">
        <v>147</v>
      </c>
      <c r="B98" s="5" t="s">
        <v>268</v>
      </c>
      <c r="C98" s="5" t="s">
        <v>36</v>
      </c>
      <c r="D98" s="5" t="s">
        <v>41</v>
      </c>
    </row>
    <row r="99" spans="1:4" x14ac:dyDescent="0.25">
      <c r="A99" s="5" t="s">
        <v>148</v>
      </c>
      <c r="B99" s="5" t="s">
        <v>269</v>
      </c>
      <c r="C99" s="5" t="s">
        <v>36</v>
      </c>
      <c r="D99" s="5" t="s">
        <v>41</v>
      </c>
    </row>
    <row r="100" spans="1:4" x14ac:dyDescent="0.25">
      <c r="A100" s="5" t="s">
        <v>149</v>
      </c>
      <c r="B100" s="5" t="s">
        <v>270</v>
      </c>
      <c r="C100" s="5" t="s">
        <v>36</v>
      </c>
      <c r="D100" s="5" t="s">
        <v>41</v>
      </c>
    </row>
    <row r="101" spans="1:4" x14ac:dyDescent="0.25">
      <c r="A101" s="5" t="s">
        <v>150</v>
      </c>
      <c r="B101" s="5" t="s">
        <v>271</v>
      </c>
      <c r="C101" s="5" t="s">
        <v>36</v>
      </c>
      <c r="D101" s="5" t="s">
        <v>41</v>
      </c>
    </row>
    <row r="102" spans="1:4" x14ac:dyDescent="0.25">
      <c r="A102" s="5" t="s">
        <v>151</v>
      </c>
      <c r="B102" s="5" t="s">
        <v>272</v>
      </c>
      <c r="C102" s="5" t="s">
        <v>36</v>
      </c>
      <c r="D102" s="5" t="s">
        <v>41</v>
      </c>
    </row>
    <row r="103" spans="1:4" x14ac:dyDescent="0.25">
      <c r="A103" s="5" t="s">
        <v>152</v>
      </c>
      <c r="B103" s="5" t="s">
        <v>273</v>
      </c>
      <c r="C103" s="5" t="s">
        <v>36</v>
      </c>
      <c r="D103" s="5" t="s">
        <v>41</v>
      </c>
    </row>
    <row r="104" spans="1:4" x14ac:dyDescent="0.25">
      <c r="A104" s="5" t="s">
        <v>153</v>
      </c>
      <c r="B104" s="5" t="s">
        <v>274</v>
      </c>
      <c r="C104" s="5" t="s">
        <v>36</v>
      </c>
      <c r="D104" s="5" t="s">
        <v>41</v>
      </c>
    </row>
    <row r="105" spans="1:4" x14ac:dyDescent="0.25">
      <c r="A105" s="5" t="s">
        <v>154</v>
      </c>
      <c r="B105" s="5" t="s">
        <v>275</v>
      </c>
      <c r="C105" s="5" t="s">
        <v>36</v>
      </c>
      <c r="D105" s="5" t="s">
        <v>41</v>
      </c>
    </row>
    <row r="106" spans="1:4" x14ac:dyDescent="0.25">
      <c r="A106" s="5" t="s">
        <v>155</v>
      </c>
      <c r="B106" s="5" t="s">
        <v>276</v>
      </c>
      <c r="C106" s="5" t="s">
        <v>36</v>
      </c>
      <c r="D106" s="5" t="s">
        <v>41</v>
      </c>
    </row>
    <row r="107" spans="1:4" x14ac:dyDescent="0.25">
      <c r="A107" s="5" t="s">
        <v>156</v>
      </c>
      <c r="B107" s="5" t="s">
        <v>277</v>
      </c>
      <c r="C107" s="5" t="s">
        <v>36</v>
      </c>
      <c r="D107" s="5" t="s">
        <v>41</v>
      </c>
    </row>
    <row r="108" spans="1:4" x14ac:dyDescent="0.25">
      <c r="A108" s="5" t="s">
        <v>157</v>
      </c>
      <c r="B108" s="5" t="s">
        <v>278</v>
      </c>
      <c r="C108" s="5" t="s">
        <v>36</v>
      </c>
      <c r="D108" s="5" t="s">
        <v>41</v>
      </c>
    </row>
    <row r="109" spans="1:4" x14ac:dyDescent="0.25">
      <c r="A109" s="5" t="s">
        <v>158</v>
      </c>
      <c r="B109" s="5" t="s">
        <v>279</v>
      </c>
      <c r="C109" s="5" t="s">
        <v>36</v>
      </c>
      <c r="D109" s="5" t="s">
        <v>41</v>
      </c>
    </row>
    <row r="110" spans="1:4" x14ac:dyDescent="0.25">
      <c r="A110" s="5" t="s">
        <v>159</v>
      </c>
      <c r="B110" s="5" t="s">
        <v>280</v>
      </c>
      <c r="C110" s="5" t="s">
        <v>36</v>
      </c>
      <c r="D110" s="5" t="s">
        <v>41</v>
      </c>
    </row>
    <row r="111" spans="1:4" x14ac:dyDescent="0.25">
      <c r="A111" s="5" t="s">
        <v>160</v>
      </c>
      <c r="B111" s="5" t="s">
        <v>281</v>
      </c>
      <c r="C111" s="5" t="s">
        <v>36</v>
      </c>
      <c r="D111" s="5" t="s">
        <v>41</v>
      </c>
    </row>
    <row r="112" spans="1:4" x14ac:dyDescent="0.25">
      <c r="A112" s="5" t="s">
        <v>161</v>
      </c>
      <c r="B112" s="5" t="s">
        <v>282</v>
      </c>
      <c r="C112" s="5" t="s">
        <v>36</v>
      </c>
      <c r="D112" s="5" t="s">
        <v>41</v>
      </c>
    </row>
    <row r="113" spans="1:4" x14ac:dyDescent="0.25">
      <c r="A113" s="5" t="s">
        <v>162</v>
      </c>
      <c r="B113" s="5" t="s">
        <v>283</v>
      </c>
      <c r="C113" s="5" t="s">
        <v>36</v>
      </c>
      <c r="D113" s="5" t="s">
        <v>41</v>
      </c>
    </row>
    <row r="114" spans="1:4" x14ac:dyDescent="0.25">
      <c r="A114" s="5" t="s">
        <v>163</v>
      </c>
      <c r="B114" s="5" t="s">
        <v>284</v>
      </c>
      <c r="C114" s="5" t="s">
        <v>36</v>
      </c>
      <c r="D114" s="5" t="s">
        <v>41</v>
      </c>
    </row>
    <row r="115" spans="1:4" x14ac:dyDescent="0.25">
      <c r="A115" s="5" t="s">
        <v>164</v>
      </c>
      <c r="B115" s="5" t="s">
        <v>285</v>
      </c>
      <c r="C115" s="5" t="s">
        <v>36</v>
      </c>
      <c r="D115" s="5" t="s">
        <v>42</v>
      </c>
    </row>
    <row r="116" spans="1:4" x14ac:dyDescent="0.25">
      <c r="A116" s="5" t="s">
        <v>165</v>
      </c>
      <c r="B116" s="5" t="s">
        <v>286</v>
      </c>
      <c r="C116" s="5" t="s">
        <v>36</v>
      </c>
      <c r="D116" s="5" t="s">
        <v>42</v>
      </c>
    </row>
    <row r="117" spans="1:4" x14ac:dyDescent="0.25">
      <c r="A117" s="5" t="s">
        <v>166</v>
      </c>
      <c r="B117" s="5" t="s">
        <v>287</v>
      </c>
      <c r="C117" s="5" t="s">
        <v>36</v>
      </c>
      <c r="D117" s="5" t="s">
        <v>42</v>
      </c>
    </row>
    <row r="118" spans="1:4" x14ac:dyDescent="0.25">
      <c r="A118" s="5" t="s">
        <v>167</v>
      </c>
      <c r="B118" s="5" t="s">
        <v>288</v>
      </c>
      <c r="C118" s="5" t="s">
        <v>34</v>
      </c>
      <c r="D118" s="5" t="s">
        <v>43</v>
      </c>
    </row>
    <row r="119" spans="1:4" x14ac:dyDescent="0.25">
      <c r="A119" s="5" t="s">
        <v>168</v>
      </c>
      <c r="B119" s="5" t="s">
        <v>289</v>
      </c>
      <c r="C119" s="5" t="s">
        <v>34</v>
      </c>
      <c r="D119" s="5" t="s">
        <v>43</v>
      </c>
    </row>
    <row r="120" spans="1:4" x14ac:dyDescent="0.25">
      <c r="A120" s="5" t="s">
        <v>169</v>
      </c>
      <c r="B120" s="5" t="s">
        <v>290</v>
      </c>
      <c r="C120" s="5" t="s">
        <v>34</v>
      </c>
      <c r="D120" s="5" t="s">
        <v>43</v>
      </c>
    </row>
    <row r="121" spans="1:4" x14ac:dyDescent="0.25">
      <c r="A121" s="5" t="s">
        <v>170</v>
      </c>
      <c r="B121" s="5" t="s">
        <v>291</v>
      </c>
      <c r="C121" s="5" t="s">
        <v>34</v>
      </c>
      <c r="D121" s="5" t="s">
        <v>43</v>
      </c>
    </row>
    <row r="122" spans="1:4" x14ac:dyDescent="0.25">
      <c r="A122" s="5" t="s">
        <v>171</v>
      </c>
      <c r="B122" s="5" t="s">
        <v>292</v>
      </c>
      <c r="C122" s="5" t="s">
        <v>34</v>
      </c>
      <c r="D122" s="5" t="s">
        <v>43</v>
      </c>
    </row>
    <row r="123" spans="1:4" x14ac:dyDescent="0.25">
      <c r="A123" s="5" t="s">
        <v>172</v>
      </c>
      <c r="B123" s="5" t="s">
        <v>293</v>
      </c>
      <c r="C123" s="5" t="s">
        <v>34</v>
      </c>
      <c r="D123" s="5" t="s">
        <v>43</v>
      </c>
    </row>
    <row r="124" spans="1:4" x14ac:dyDescent="0.25">
      <c r="A124" s="5" t="s">
        <v>173</v>
      </c>
      <c r="B124" s="5" t="s">
        <v>294</v>
      </c>
      <c r="C124" s="5" t="s">
        <v>34</v>
      </c>
      <c r="D124" s="5" t="s">
        <v>44</v>
      </c>
    </row>
    <row r="125" spans="1:4" x14ac:dyDescent="0.25">
      <c r="A125" s="5" t="s">
        <v>174</v>
      </c>
      <c r="B125" s="5" t="s">
        <v>295</v>
      </c>
      <c r="C125" s="5" t="s">
        <v>34</v>
      </c>
      <c r="D125" s="5" t="s">
        <v>44</v>
      </c>
    </row>
    <row r="126" spans="1:4" x14ac:dyDescent="0.25">
      <c r="A126" s="5" t="s">
        <v>175</v>
      </c>
      <c r="B126" s="5" t="s">
        <v>296</v>
      </c>
      <c r="C126" s="5" t="s">
        <v>34</v>
      </c>
      <c r="D126" s="5" t="s">
        <v>44</v>
      </c>
    </row>
    <row r="127" spans="1:4" x14ac:dyDescent="0.25">
      <c r="A127" s="5" t="s">
        <v>176</v>
      </c>
      <c r="B127" s="5" t="s">
        <v>297</v>
      </c>
      <c r="C127" s="5" t="s">
        <v>34</v>
      </c>
      <c r="D127" s="5" t="s">
        <v>44</v>
      </c>
    </row>
    <row r="128" spans="1:4" x14ac:dyDescent="0.25">
      <c r="A128" s="5" t="s">
        <v>177</v>
      </c>
      <c r="B128" s="5" t="s">
        <v>298</v>
      </c>
      <c r="C128" s="5" t="s">
        <v>34</v>
      </c>
      <c r="D128" s="5" t="s">
        <v>44</v>
      </c>
    </row>
    <row r="129" spans="1:4" x14ac:dyDescent="0.25">
      <c r="A129" s="5" t="s">
        <v>178</v>
      </c>
      <c r="B129" s="5" t="s">
        <v>299</v>
      </c>
      <c r="C129" s="5" t="s">
        <v>34</v>
      </c>
      <c r="D129" s="5" t="s">
        <v>46</v>
      </c>
    </row>
    <row r="130" spans="1:4" x14ac:dyDescent="0.25">
      <c r="A130" s="5" t="s">
        <v>179</v>
      </c>
      <c r="B130" s="5" t="s">
        <v>300</v>
      </c>
      <c r="C130" s="5" t="s">
        <v>34</v>
      </c>
      <c r="D130" s="5" t="s">
        <v>46</v>
      </c>
    </row>
    <row r="131" spans="1:4" x14ac:dyDescent="0.25">
      <c r="A131" s="5" t="s">
        <v>180</v>
      </c>
      <c r="B131" s="5" t="s">
        <v>301</v>
      </c>
      <c r="C131" s="5" t="s">
        <v>34</v>
      </c>
      <c r="D131" s="5" t="s">
        <v>46</v>
      </c>
    </row>
    <row r="132" spans="1:4" x14ac:dyDescent="0.25">
      <c r="A132" s="5" t="s">
        <v>181</v>
      </c>
      <c r="B132" s="5" t="s">
        <v>302</v>
      </c>
      <c r="C132" s="5" t="s">
        <v>34</v>
      </c>
      <c r="D132" s="5" t="s">
        <v>45</v>
      </c>
    </row>
    <row r="133" spans="1:4" x14ac:dyDescent="0.25">
      <c r="A133" s="5" t="s">
        <v>182</v>
      </c>
      <c r="B133" s="5" t="s">
        <v>303</v>
      </c>
      <c r="C133" s="5" t="s">
        <v>34</v>
      </c>
      <c r="D133" s="5" t="s">
        <v>45</v>
      </c>
    </row>
    <row r="134" spans="1:4" x14ac:dyDescent="0.25">
      <c r="A134" s="5" t="s">
        <v>183</v>
      </c>
      <c r="B134" s="5" t="s">
        <v>304</v>
      </c>
      <c r="C134" s="5" t="s">
        <v>34</v>
      </c>
      <c r="D134" s="5" t="s">
        <v>45</v>
      </c>
    </row>
    <row r="135" spans="1:4" x14ac:dyDescent="0.25">
      <c r="A135" s="5" t="s">
        <v>184</v>
      </c>
      <c r="B135" s="5" t="s">
        <v>305</v>
      </c>
      <c r="C135" s="5" t="s">
        <v>34</v>
      </c>
      <c r="D135" s="5" t="s">
        <v>45</v>
      </c>
    </row>
    <row r="136" spans="1:4" x14ac:dyDescent="0.25">
      <c r="A136" s="5" t="s">
        <v>185</v>
      </c>
      <c r="B136" s="5" t="s">
        <v>306</v>
      </c>
      <c r="C136" s="5" t="s">
        <v>34</v>
      </c>
      <c r="D136" s="5" t="s">
        <v>47</v>
      </c>
    </row>
    <row r="137" spans="1:4" x14ac:dyDescent="0.25">
      <c r="A137" s="5" t="s">
        <v>186</v>
      </c>
      <c r="B137" s="5" t="s">
        <v>307</v>
      </c>
      <c r="C137" s="5" t="s">
        <v>34</v>
      </c>
      <c r="D137" s="5" t="s">
        <v>47</v>
      </c>
    </row>
    <row r="138" spans="1:4" x14ac:dyDescent="0.25">
      <c r="A138" s="5" t="s">
        <v>187</v>
      </c>
      <c r="B138" s="5" t="s">
        <v>308</v>
      </c>
      <c r="C138" s="5" t="s">
        <v>34</v>
      </c>
      <c r="D138" s="5" t="s">
        <v>48</v>
      </c>
    </row>
    <row r="139" spans="1:4" x14ac:dyDescent="0.25">
      <c r="A139" s="5" t="s">
        <v>188</v>
      </c>
      <c r="B139" s="5" t="s">
        <v>309</v>
      </c>
      <c r="C139" s="5" t="s">
        <v>34</v>
      </c>
      <c r="D139" s="5" t="s">
        <v>48</v>
      </c>
    </row>
    <row r="140" spans="1:4" x14ac:dyDescent="0.25">
      <c r="A140" s="5" t="s">
        <v>189</v>
      </c>
      <c r="B140" s="5" t="s">
        <v>310</v>
      </c>
      <c r="C140" s="5" t="s">
        <v>2</v>
      </c>
      <c r="D140" s="5" t="s">
        <v>49</v>
      </c>
    </row>
    <row r="141" spans="1:4" x14ac:dyDescent="0.25">
      <c r="A141" s="5" t="s">
        <v>190</v>
      </c>
      <c r="B141" s="5" t="s">
        <v>311</v>
      </c>
      <c r="C141" s="5" t="s">
        <v>2</v>
      </c>
      <c r="D141" s="5" t="s">
        <v>50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F595-E84C-4DA6-BBD0-1772F30BFA2F}">
  <dimension ref="A1:C9"/>
  <sheetViews>
    <sheetView showGridLines="0" zoomScale="130" zoomScaleNormal="130" workbookViewId="0">
      <selection activeCell="B1" sqref="B1:B1048576"/>
    </sheetView>
  </sheetViews>
  <sheetFormatPr defaultRowHeight="15" x14ac:dyDescent="0.25"/>
  <cols>
    <col min="1" max="1" width="14.42578125" style="5" customWidth="1"/>
    <col min="2" max="2" width="30.5703125" style="25" customWidth="1"/>
    <col min="3" max="3" width="11.5703125" style="5" customWidth="1"/>
  </cols>
  <sheetData>
    <row r="1" spans="1:3" x14ac:dyDescent="0.25">
      <c r="A1" s="5" t="s">
        <v>193</v>
      </c>
      <c r="B1" s="25" t="s">
        <v>0</v>
      </c>
      <c r="C1" s="5" t="s">
        <v>1</v>
      </c>
    </row>
    <row r="2" spans="1:3" x14ac:dyDescent="0.25">
      <c r="A2" s="5">
        <v>1</v>
      </c>
      <c r="B2" s="30" t="s">
        <v>35</v>
      </c>
      <c r="C2" s="28">
        <v>0</v>
      </c>
    </row>
    <row r="3" spans="1:3" x14ac:dyDescent="0.25">
      <c r="A3" s="5">
        <v>2</v>
      </c>
      <c r="B3" s="25" t="s">
        <v>38</v>
      </c>
      <c r="C3" s="5">
        <v>0</v>
      </c>
    </row>
    <row r="4" spans="1:3" x14ac:dyDescent="0.25">
      <c r="A4" s="5">
        <v>3</v>
      </c>
      <c r="B4" s="31" t="s">
        <v>3</v>
      </c>
      <c r="C4" s="29">
        <v>1</v>
      </c>
    </row>
    <row r="5" spans="1:3" x14ac:dyDescent="0.25">
      <c r="A5" s="5">
        <v>4</v>
      </c>
      <c r="B5" s="25" t="s">
        <v>36</v>
      </c>
      <c r="C5" s="5">
        <v>0</v>
      </c>
    </row>
    <row r="6" spans="1:3" x14ac:dyDescent="0.25">
      <c r="A6" s="5">
        <v>5</v>
      </c>
      <c r="B6" s="31" t="s">
        <v>4</v>
      </c>
      <c r="C6" s="29">
        <v>1</v>
      </c>
    </row>
    <row r="7" spans="1:3" x14ac:dyDescent="0.25">
      <c r="A7" s="5">
        <v>6</v>
      </c>
      <c r="B7" s="25" t="s">
        <v>34</v>
      </c>
      <c r="C7" s="5">
        <v>0</v>
      </c>
    </row>
    <row r="8" spans="1:3" x14ac:dyDescent="0.25">
      <c r="A8" s="5">
        <v>7</v>
      </c>
      <c r="B8" s="25" t="s">
        <v>2</v>
      </c>
      <c r="C8" s="5">
        <v>0</v>
      </c>
    </row>
    <row r="9" spans="1:3" x14ac:dyDescent="0.25">
      <c r="A9" s="5">
        <v>8</v>
      </c>
      <c r="B9" s="31" t="s">
        <v>5</v>
      </c>
      <c r="C9" s="2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FD32-40FA-4A9B-8A3B-AA42370CD62B}">
  <dimension ref="A1:C1681"/>
  <sheetViews>
    <sheetView showGridLines="0" workbookViewId="0">
      <selection activeCell="K12" sqref="K12"/>
    </sheetView>
  </sheetViews>
  <sheetFormatPr defaultRowHeight="15" x14ac:dyDescent="0.25"/>
  <cols>
    <col min="1" max="1" width="11.42578125" style="5" customWidth="1"/>
    <col min="2" max="2" width="11" style="5" customWidth="1"/>
    <col min="3" max="3" width="18.28515625" style="5" customWidth="1"/>
  </cols>
  <sheetData>
    <row r="1" spans="1:3" x14ac:dyDescent="0.25">
      <c r="A1" s="5" t="s">
        <v>191</v>
      </c>
      <c r="B1" s="5" t="s">
        <v>6</v>
      </c>
      <c r="C1" s="5" t="s">
        <v>192</v>
      </c>
    </row>
    <row r="2" spans="1:3" x14ac:dyDescent="0.25">
      <c r="A2" s="23">
        <v>43466</v>
      </c>
      <c r="B2" s="5" t="s">
        <v>51</v>
      </c>
      <c r="C2" s="5">
        <v>924509</v>
      </c>
    </row>
    <row r="3" spans="1:3" x14ac:dyDescent="0.25">
      <c r="A3" s="23">
        <v>43466</v>
      </c>
      <c r="B3" s="5" t="s">
        <v>52</v>
      </c>
      <c r="C3" s="5">
        <v>808117</v>
      </c>
    </row>
    <row r="4" spans="1:3" x14ac:dyDescent="0.25">
      <c r="A4" s="23">
        <v>43466</v>
      </c>
      <c r="B4" s="5" t="s">
        <v>53</v>
      </c>
      <c r="C4" s="5">
        <v>380859</v>
      </c>
    </row>
    <row r="5" spans="1:3" x14ac:dyDescent="0.25">
      <c r="A5" s="23">
        <v>43466</v>
      </c>
      <c r="B5" s="5" t="s">
        <v>54</v>
      </c>
      <c r="C5" s="5">
        <v>691242</v>
      </c>
    </row>
    <row r="6" spans="1:3" x14ac:dyDescent="0.25">
      <c r="A6" s="23">
        <v>43466</v>
      </c>
      <c r="B6" s="5" t="s">
        <v>55</v>
      </c>
      <c r="C6" s="5">
        <v>585387</v>
      </c>
    </row>
    <row r="7" spans="1:3" x14ac:dyDescent="0.25">
      <c r="A7" s="23">
        <v>43466</v>
      </c>
      <c r="B7" s="5" t="s">
        <v>56</v>
      </c>
      <c r="C7" s="5">
        <v>429430</v>
      </c>
    </row>
    <row r="8" spans="1:3" x14ac:dyDescent="0.25">
      <c r="A8" s="23">
        <v>43466</v>
      </c>
      <c r="B8" s="5" t="s">
        <v>57</v>
      </c>
      <c r="C8" s="5">
        <v>403251</v>
      </c>
    </row>
    <row r="9" spans="1:3" x14ac:dyDescent="0.25">
      <c r="A9" s="23">
        <v>43466</v>
      </c>
      <c r="B9" s="5" t="s">
        <v>58</v>
      </c>
      <c r="C9" s="5">
        <v>632394</v>
      </c>
    </row>
    <row r="10" spans="1:3" x14ac:dyDescent="0.25">
      <c r="A10" s="23">
        <v>43466</v>
      </c>
      <c r="B10" s="5" t="s">
        <v>59</v>
      </c>
      <c r="C10" s="5">
        <v>826236</v>
      </c>
    </row>
    <row r="11" spans="1:3" x14ac:dyDescent="0.25">
      <c r="A11" s="23">
        <v>43466</v>
      </c>
      <c r="B11" s="5" t="s">
        <v>60</v>
      </c>
      <c r="C11" s="5">
        <v>386199</v>
      </c>
    </row>
    <row r="12" spans="1:3" x14ac:dyDescent="0.25">
      <c r="A12" s="23">
        <v>43466</v>
      </c>
      <c r="B12" s="5" t="s">
        <v>61</v>
      </c>
      <c r="C12" s="5">
        <v>878999</v>
      </c>
    </row>
    <row r="13" spans="1:3" x14ac:dyDescent="0.25">
      <c r="A13" s="23">
        <v>43466</v>
      </c>
      <c r="B13" s="5" t="s">
        <v>62</v>
      </c>
      <c r="C13" s="5">
        <v>666733</v>
      </c>
    </row>
    <row r="14" spans="1:3" x14ac:dyDescent="0.25">
      <c r="A14" s="23">
        <v>43466</v>
      </c>
      <c r="B14" s="5" t="s">
        <v>63</v>
      </c>
      <c r="C14" s="5">
        <v>422187</v>
      </c>
    </row>
    <row r="15" spans="1:3" x14ac:dyDescent="0.25">
      <c r="A15" s="23">
        <v>43466</v>
      </c>
      <c r="B15" s="5" t="s">
        <v>64</v>
      </c>
      <c r="C15" s="5">
        <v>488250</v>
      </c>
    </row>
    <row r="16" spans="1:3" x14ac:dyDescent="0.25">
      <c r="A16" s="23">
        <v>43466</v>
      </c>
      <c r="B16" s="5" t="s">
        <v>65</v>
      </c>
      <c r="C16" s="5">
        <v>788816</v>
      </c>
    </row>
    <row r="17" spans="1:3" x14ac:dyDescent="0.25">
      <c r="A17" s="23">
        <v>43466</v>
      </c>
      <c r="B17" s="5" t="s">
        <v>66</v>
      </c>
      <c r="C17" s="5">
        <v>941936</v>
      </c>
    </row>
    <row r="18" spans="1:3" x14ac:dyDescent="0.25">
      <c r="A18" s="23">
        <v>43466</v>
      </c>
      <c r="B18" s="5" t="s">
        <v>67</v>
      </c>
      <c r="C18" s="5">
        <v>834401</v>
      </c>
    </row>
    <row r="19" spans="1:3" x14ac:dyDescent="0.25">
      <c r="A19" s="23">
        <v>43466</v>
      </c>
      <c r="B19" s="5" t="s">
        <v>68</v>
      </c>
      <c r="C19" s="5">
        <v>508791</v>
      </c>
    </row>
    <row r="20" spans="1:3" x14ac:dyDescent="0.25">
      <c r="A20" s="23">
        <v>43466</v>
      </c>
      <c r="B20" s="5" t="s">
        <v>69</v>
      </c>
      <c r="C20" s="5">
        <v>818258</v>
      </c>
    </row>
    <row r="21" spans="1:3" x14ac:dyDescent="0.25">
      <c r="A21" s="23">
        <v>43466</v>
      </c>
      <c r="B21" s="5" t="s">
        <v>70</v>
      </c>
      <c r="C21" s="5">
        <v>896885</v>
      </c>
    </row>
    <row r="22" spans="1:3" x14ac:dyDescent="0.25">
      <c r="A22" s="23">
        <v>43466</v>
      </c>
      <c r="B22" s="5" t="s">
        <v>71</v>
      </c>
      <c r="C22" s="5">
        <v>688201</v>
      </c>
    </row>
    <row r="23" spans="1:3" x14ac:dyDescent="0.25">
      <c r="A23" s="23">
        <v>43466</v>
      </c>
      <c r="B23" s="5" t="s">
        <v>72</v>
      </c>
      <c r="C23" s="5">
        <v>222641</v>
      </c>
    </row>
    <row r="24" spans="1:3" x14ac:dyDescent="0.25">
      <c r="A24" s="23">
        <v>43466</v>
      </c>
      <c r="B24" s="5" t="s">
        <v>73</v>
      </c>
      <c r="C24" s="5">
        <v>293270</v>
      </c>
    </row>
    <row r="25" spans="1:3" x14ac:dyDescent="0.25">
      <c r="A25" s="23">
        <v>43466</v>
      </c>
      <c r="B25" s="5" t="s">
        <v>74</v>
      </c>
      <c r="C25" s="5">
        <v>132652</v>
      </c>
    </row>
    <row r="26" spans="1:3" x14ac:dyDescent="0.25">
      <c r="A26" s="23">
        <v>43466</v>
      </c>
      <c r="B26" s="5" t="s">
        <v>75</v>
      </c>
      <c r="C26" s="5">
        <v>158117</v>
      </c>
    </row>
    <row r="27" spans="1:3" x14ac:dyDescent="0.25">
      <c r="A27" s="23">
        <v>43466</v>
      </c>
      <c r="B27" s="5" t="s">
        <v>76</v>
      </c>
      <c r="C27" s="5">
        <v>75114</v>
      </c>
    </row>
    <row r="28" spans="1:3" x14ac:dyDescent="0.25">
      <c r="A28" s="23">
        <v>43466</v>
      </c>
      <c r="B28" s="5" t="s">
        <v>77</v>
      </c>
      <c r="C28" s="5">
        <v>50445</v>
      </c>
    </row>
    <row r="29" spans="1:3" x14ac:dyDescent="0.25">
      <c r="A29" s="23">
        <v>43466</v>
      </c>
      <c r="B29" s="5" t="s">
        <v>78</v>
      </c>
      <c r="C29" s="5">
        <v>288091</v>
      </c>
    </row>
    <row r="30" spans="1:3" x14ac:dyDescent="0.25">
      <c r="A30" s="23">
        <v>43466</v>
      </c>
      <c r="B30" s="5" t="s">
        <v>79</v>
      </c>
      <c r="C30" s="5">
        <v>150479</v>
      </c>
    </row>
    <row r="31" spans="1:3" x14ac:dyDescent="0.25">
      <c r="A31" s="23">
        <v>43466</v>
      </c>
      <c r="B31" s="5" t="s">
        <v>80</v>
      </c>
      <c r="C31" s="5">
        <v>227263</v>
      </c>
    </row>
    <row r="32" spans="1:3" x14ac:dyDescent="0.25">
      <c r="A32" s="23">
        <v>43466</v>
      </c>
      <c r="B32" s="5" t="s">
        <v>81</v>
      </c>
      <c r="C32" s="5">
        <v>204664</v>
      </c>
    </row>
    <row r="33" spans="1:3" x14ac:dyDescent="0.25">
      <c r="A33" s="23">
        <v>43466</v>
      </c>
      <c r="B33" s="5" t="s">
        <v>82</v>
      </c>
      <c r="C33" s="5">
        <v>159890</v>
      </c>
    </row>
    <row r="34" spans="1:3" x14ac:dyDescent="0.25">
      <c r="A34" s="23">
        <v>43466</v>
      </c>
      <c r="B34" s="5" t="s">
        <v>83</v>
      </c>
      <c r="C34" s="5">
        <v>251029</v>
      </c>
    </row>
    <row r="35" spans="1:3" x14ac:dyDescent="0.25">
      <c r="A35" s="23">
        <v>43466</v>
      </c>
      <c r="B35" s="5" t="s">
        <v>84</v>
      </c>
      <c r="C35" s="5">
        <v>196894</v>
      </c>
    </row>
    <row r="36" spans="1:3" x14ac:dyDescent="0.25">
      <c r="A36" s="23">
        <v>43466</v>
      </c>
      <c r="B36" s="5" t="s">
        <v>85</v>
      </c>
      <c r="C36" s="5">
        <v>182598</v>
      </c>
    </row>
    <row r="37" spans="1:3" x14ac:dyDescent="0.25">
      <c r="A37" s="23">
        <v>43466</v>
      </c>
      <c r="B37" s="5" t="s">
        <v>86</v>
      </c>
      <c r="C37" s="5">
        <v>284183</v>
      </c>
    </row>
    <row r="38" spans="1:3" x14ac:dyDescent="0.25">
      <c r="A38" s="23">
        <v>43466</v>
      </c>
      <c r="B38" s="5" t="s">
        <v>87</v>
      </c>
      <c r="C38" s="5">
        <v>254059</v>
      </c>
    </row>
    <row r="39" spans="1:3" x14ac:dyDescent="0.25">
      <c r="A39" s="23">
        <v>43466</v>
      </c>
      <c r="B39" s="5" t="s">
        <v>88</v>
      </c>
      <c r="C39" s="5">
        <v>74285</v>
      </c>
    </row>
    <row r="40" spans="1:3" x14ac:dyDescent="0.25">
      <c r="A40" s="23">
        <v>43466</v>
      </c>
      <c r="B40" s="5" t="s">
        <v>89</v>
      </c>
      <c r="C40" s="5">
        <v>139257</v>
      </c>
    </row>
    <row r="41" spans="1:3" x14ac:dyDescent="0.25">
      <c r="A41" s="23">
        <v>43466</v>
      </c>
      <c r="B41" s="5" t="s">
        <v>90</v>
      </c>
      <c r="C41" s="5">
        <v>196946</v>
      </c>
    </row>
    <row r="42" spans="1:3" x14ac:dyDescent="0.25">
      <c r="A42" s="23">
        <v>43466</v>
      </c>
      <c r="B42" s="5" t="s">
        <v>91</v>
      </c>
      <c r="C42" s="5">
        <v>230143</v>
      </c>
    </row>
    <row r="43" spans="1:3" x14ac:dyDescent="0.25">
      <c r="A43" s="23">
        <v>43466</v>
      </c>
      <c r="B43" s="5" t="s">
        <v>92</v>
      </c>
      <c r="C43" s="5">
        <v>238779</v>
      </c>
    </row>
    <row r="44" spans="1:3" x14ac:dyDescent="0.25">
      <c r="A44" s="23">
        <v>43466</v>
      </c>
      <c r="B44" s="5" t="s">
        <v>93</v>
      </c>
      <c r="C44" s="5">
        <v>90194</v>
      </c>
    </row>
    <row r="45" spans="1:3" x14ac:dyDescent="0.25">
      <c r="A45" s="23">
        <v>43466</v>
      </c>
      <c r="B45" s="5" t="s">
        <v>94</v>
      </c>
      <c r="C45" s="5">
        <v>94792</v>
      </c>
    </row>
    <row r="46" spans="1:3" x14ac:dyDescent="0.25">
      <c r="A46" s="23">
        <v>43466</v>
      </c>
      <c r="B46" s="5" t="s">
        <v>95</v>
      </c>
      <c r="C46" s="5">
        <v>284849</v>
      </c>
    </row>
    <row r="47" spans="1:3" x14ac:dyDescent="0.25">
      <c r="A47" s="23">
        <v>43466</v>
      </c>
      <c r="B47" s="5" t="s">
        <v>96</v>
      </c>
      <c r="C47" s="5">
        <v>56085</v>
      </c>
    </row>
    <row r="48" spans="1:3" x14ac:dyDescent="0.25">
      <c r="A48" s="23">
        <v>43466</v>
      </c>
      <c r="B48" s="5" t="s">
        <v>97</v>
      </c>
      <c r="C48" s="5">
        <v>145670</v>
      </c>
    </row>
    <row r="49" spans="1:3" x14ac:dyDescent="0.25">
      <c r="A49" s="23">
        <v>43466</v>
      </c>
      <c r="B49" s="5" t="s">
        <v>98</v>
      </c>
      <c r="C49" s="5">
        <v>75705</v>
      </c>
    </row>
    <row r="50" spans="1:3" x14ac:dyDescent="0.25">
      <c r="A50" s="23">
        <v>43466</v>
      </c>
      <c r="B50" s="5" t="s">
        <v>99</v>
      </c>
      <c r="C50" s="5">
        <v>225797</v>
      </c>
    </row>
    <row r="51" spans="1:3" x14ac:dyDescent="0.25">
      <c r="A51" s="23">
        <v>43466</v>
      </c>
      <c r="B51" s="5" t="s">
        <v>100</v>
      </c>
      <c r="C51" s="5">
        <v>63192</v>
      </c>
    </row>
    <row r="52" spans="1:3" x14ac:dyDescent="0.25">
      <c r="A52" s="23">
        <v>43466</v>
      </c>
      <c r="B52" s="5" t="s">
        <v>101</v>
      </c>
      <c r="C52" s="5">
        <v>204876</v>
      </c>
    </row>
    <row r="53" spans="1:3" x14ac:dyDescent="0.25">
      <c r="A53" s="23">
        <v>43466</v>
      </c>
      <c r="B53" s="5" t="s">
        <v>102</v>
      </c>
      <c r="C53" s="5">
        <v>247327</v>
      </c>
    </row>
    <row r="54" spans="1:3" x14ac:dyDescent="0.25">
      <c r="A54" s="23">
        <v>43466</v>
      </c>
      <c r="B54" s="5" t="s">
        <v>103</v>
      </c>
      <c r="C54" s="5">
        <v>74303</v>
      </c>
    </row>
    <row r="55" spans="1:3" x14ac:dyDescent="0.25">
      <c r="A55" s="23">
        <v>43466</v>
      </c>
      <c r="B55" s="5" t="s">
        <v>104</v>
      </c>
      <c r="C55" s="5">
        <v>295521</v>
      </c>
    </row>
    <row r="56" spans="1:3" x14ac:dyDescent="0.25">
      <c r="A56" s="23">
        <v>43466</v>
      </c>
      <c r="B56" s="5" t="s">
        <v>105</v>
      </c>
      <c r="C56" s="5">
        <v>250249</v>
      </c>
    </row>
    <row r="57" spans="1:3" x14ac:dyDescent="0.25">
      <c r="A57" s="23">
        <v>43466</v>
      </c>
      <c r="B57" s="5" t="s">
        <v>106</v>
      </c>
      <c r="C57" s="5">
        <v>77062</v>
      </c>
    </row>
    <row r="58" spans="1:3" x14ac:dyDescent="0.25">
      <c r="A58" s="23">
        <v>43466</v>
      </c>
      <c r="B58" s="5" t="s">
        <v>107</v>
      </c>
      <c r="C58" s="5">
        <v>143226</v>
      </c>
    </row>
    <row r="59" spans="1:3" x14ac:dyDescent="0.25">
      <c r="A59" s="23">
        <v>43466</v>
      </c>
      <c r="B59" s="5" t="s">
        <v>108</v>
      </c>
      <c r="C59" s="5">
        <v>115877</v>
      </c>
    </row>
    <row r="60" spans="1:3" x14ac:dyDescent="0.25">
      <c r="A60" s="23">
        <v>43466</v>
      </c>
      <c r="B60" s="5" t="s">
        <v>109</v>
      </c>
      <c r="C60" s="5">
        <v>196555</v>
      </c>
    </row>
    <row r="61" spans="1:3" x14ac:dyDescent="0.25">
      <c r="A61" s="23">
        <v>43466</v>
      </c>
      <c r="B61" s="5" t="s">
        <v>110</v>
      </c>
      <c r="C61" s="5">
        <v>-3334</v>
      </c>
    </row>
    <row r="62" spans="1:3" x14ac:dyDescent="0.25">
      <c r="A62" s="23">
        <v>43466</v>
      </c>
      <c r="B62" s="5" t="s">
        <v>111</v>
      </c>
      <c r="C62" s="5">
        <v>-2458</v>
      </c>
    </row>
    <row r="63" spans="1:3" x14ac:dyDescent="0.25">
      <c r="A63" s="23">
        <v>43466</v>
      </c>
      <c r="B63" s="5" t="s">
        <v>112</v>
      </c>
      <c r="C63" s="5">
        <v>-9811</v>
      </c>
    </row>
    <row r="64" spans="1:3" x14ac:dyDescent="0.25">
      <c r="A64" s="23">
        <v>43466</v>
      </c>
      <c r="B64" s="5" t="s">
        <v>113</v>
      </c>
      <c r="C64" s="5">
        <v>-5031</v>
      </c>
    </row>
    <row r="65" spans="1:3" x14ac:dyDescent="0.25">
      <c r="A65" s="23">
        <v>43466</v>
      </c>
      <c r="B65" s="5" t="s">
        <v>114</v>
      </c>
      <c r="C65" s="5">
        <v>-2264</v>
      </c>
    </row>
    <row r="66" spans="1:3" x14ac:dyDescent="0.25">
      <c r="A66" s="23">
        <v>43466</v>
      </c>
      <c r="B66" s="5" t="s">
        <v>115</v>
      </c>
      <c r="C66" s="5">
        <v>-5540</v>
      </c>
    </row>
    <row r="67" spans="1:3" x14ac:dyDescent="0.25">
      <c r="A67" s="23">
        <v>43466</v>
      </c>
      <c r="B67" s="5" t="s">
        <v>116</v>
      </c>
      <c r="C67" s="5">
        <v>-3873</v>
      </c>
    </row>
    <row r="68" spans="1:3" x14ac:dyDescent="0.25">
      <c r="A68" s="23">
        <v>43466</v>
      </c>
      <c r="B68" s="5" t="s">
        <v>117</v>
      </c>
      <c r="C68" s="5">
        <v>-9159</v>
      </c>
    </row>
    <row r="69" spans="1:3" x14ac:dyDescent="0.25">
      <c r="A69" s="23">
        <v>43466</v>
      </c>
      <c r="B69" s="5" t="s">
        <v>118</v>
      </c>
      <c r="C69" s="5">
        <v>-9212</v>
      </c>
    </row>
    <row r="70" spans="1:3" x14ac:dyDescent="0.25">
      <c r="A70" s="23">
        <v>43466</v>
      </c>
      <c r="B70" s="5" t="s">
        <v>119</v>
      </c>
      <c r="C70" s="5">
        <v>-6157</v>
      </c>
    </row>
    <row r="71" spans="1:3" x14ac:dyDescent="0.25">
      <c r="A71" s="23">
        <v>43466</v>
      </c>
      <c r="B71" s="5" t="s">
        <v>120</v>
      </c>
      <c r="C71" s="5">
        <v>-4978</v>
      </c>
    </row>
    <row r="72" spans="1:3" x14ac:dyDescent="0.25">
      <c r="A72" s="23">
        <v>43466</v>
      </c>
      <c r="B72" s="5" t="s">
        <v>121</v>
      </c>
      <c r="C72" s="5">
        <v>-1141</v>
      </c>
    </row>
    <row r="73" spans="1:3" x14ac:dyDescent="0.25">
      <c r="A73" s="23">
        <v>43466</v>
      </c>
      <c r="B73" s="5" t="s">
        <v>122</v>
      </c>
      <c r="C73" s="5">
        <v>-9371</v>
      </c>
    </row>
    <row r="74" spans="1:3" x14ac:dyDescent="0.25">
      <c r="A74" s="23">
        <v>43466</v>
      </c>
      <c r="B74" s="5" t="s">
        <v>123</v>
      </c>
      <c r="C74" s="5">
        <v>-7676</v>
      </c>
    </row>
    <row r="75" spans="1:3" x14ac:dyDescent="0.25">
      <c r="A75" s="23">
        <v>43466</v>
      </c>
      <c r="B75" s="5" t="s">
        <v>124</v>
      </c>
      <c r="C75" s="5">
        <v>-8315</v>
      </c>
    </row>
    <row r="76" spans="1:3" x14ac:dyDescent="0.25">
      <c r="A76" s="23">
        <v>43466</v>
      </c>
      <c r="B76" s="5" t="s">
        <v>125</v>
      </c>
      <c r="C76" s="5">
        <v>-5463</v>
      </c>
    </row>
    <row r="77" spans="1:3" x14ac:dyDescent="0.25">
      <c r="A77" s="23">
        <v>43466</v>
      </c>
      <c r="B77" s="5" t="s">
        <v>126</v>
      </c>
      <c r="C77" s="5">
        <v>-5316</v>
      </c>
    </row>
    <row r="78" spans="1:3" x14ac:dyDescent="0.25">
      <c r="A78" s="23">
        <v>43466</v>
      </c>
      <c r="B78" s="5" t="s">
        <v>127</v>
      </c>
      <c r="C78" s="5">
        <v>-6405</v>
      </c>
    </row>
    <row r="79" spans="1:3" x14ac:dyDescent="0.25">
      <c r="A79" s="23">
        <v>43466</v>
      </c>
      <c r="B79" s="5" t="s">
        <v>128</v>
      </c>
      <c r="C79" s="5">
        <v>-7821</v>
      </c>
    </row>
    <row r="80" spans="1:3" x14ac:dyDescent="0.25">
      <c r="A80" s="23">
        <v>43466</v>
      </c>
      <c r="B80" s="5" t="s">
        <v>129</v>
      </c>
      <c r="C80" s="5">
        <v>-5510</v>
      </c>
    </row>
    <row r="81" spans="1:3" x14ac:dyDescent="0.25">
      <c r="A81" s="23">
        <v>43466</v>
      </c>
      <c r="B81" s="5" t="s">
        <v>130</v>
      </c>
      <c r="C81" s="5">
        <v>-4341</v>
      </c>
    </row>
    <row r="82" spans="1:3" x14ac:dyDescent="0.25">
      <c r="A82" s="23">
        <v>43466</v>
      </c>
      <c r="B82" s="5" t="s">
        <v>131</v>
      </c>
      <c r="C82" s="5">
        <v>-1925</v>
      </c>
    </row>
    <row r="83" spans="1:3" x14ac:dyDescent="0.25">
      <c r="A83" s="23">
        <v>43466</v>
      </c>
      <c r="B83" s="5" t="s">
        <v>132</v>
      </c>
      <c r="C83" s="5">
        <v>-4467</v>
      </c>
    </row>
    <row r="84" spans="1:3" x14ac:dyDescent="0.25">
      <c r="A84" s="23">
        <v>43466</v>
      </c>
      <c r="B84" s="5" t="s">
        <v>133</v>
      </c>
      <c r="C84" s="5">
        <v>-2122</v>
      </c>
    </row>
    <row r="85" spans="1:3" x14ac:dyDescent="0.25">
      <c r="A85" s="23">
        <v>43466</v>
      </c>
      <c r="B85" s="5" t="s">
        <v>134</v>
      </c>
      <c r="C85" s="5">
        <v>-2743</v>
      </c>
    </row>
    <row r="86" spans="1:3" x14ac:dyDescent="0.25">
      <c r="A86" s="23">
        <v>43466</v>
      </c>
      <c r="B86" s="5" t="s">
        <v>135</v>
      </c>
      <c r="C86" s="5">
        <v>-6506</v>
      </c>
    </row>
    <row r="87" spans="1:3" x14ac:dyDescent="0.25">
      <c r="A87" s="23">
        <v>43466</v>
      </c>
      <c r="B87" s="5" t="s">
        <v>136</v>
      </c>
      <c r="C87" s="5">
        <v>-7029</v>
      </c>
    </row>
    <row r="88" spans="1:3" x14ac:dyDescent="0.25">
      <c r="A88" s="23">
        <v>43466</v>
      </c>
      <c r="B88" s="5" t="s">
        <v>137</v>
      </c>
      <c r="C88" s="5">
        <v>-5484</v>
      </c>
    </row>
    <row r="89" spans="1:3" x14ac:dyDescent="0.25">
      <c r="A89" s="23">
        <v>43466</v>
      </c>
      <c r="B89" s="5" t="s">
        <v>138</v>
      </c>
      <c r="C89" s="5">
        <v>-6689</v>
      </c>
    </row>
    <row r="90" spans="1:3" x14ac:dyDescent="0.25">
      <c r="A90" s="23">
        <v>43466</v>
      </c>
      <c r="B90" s="5" t="s">
        <v>139</v>
      </c>
      <c r="C90" s="5">
        <v>-7049</v>
      </c>
    </row>
    <row r="91" spans="1:3" x14ac:dyDescent="0.25">
      <c r="A91" s="23">
        <v>43466</v>
      </c>
      <c r="B91" s="5" t="s">
        <v>140</v>
      </c>
      <c r="C91" s="5">
        <v>-90972</v>
      </c>
    </row>
    <row r="92" spans="1:3" x14ac:dyDescent="0.25">
      <c r="A92" s="23">
        <v>43466</v>
      </c>
      <c r="B92" s="5" t="s">
        <v>141</v>
      </c>
      <c r="C92" s="5">
        <v>-127110</v>
      </c>
    </row>
    <row r="93" spans="1:3" x14ac:dyDescent="0.25">
      <c r="A93" s="23">
        <v>43466</v>
      </c>
      <c r="B93" s="5" t="s">
        <v>142</v>
      </c>
      <c r="C93" s="5">
        <v>-245495</v>
      </c>
    </row>
    <row r="94" spans="1:3" x14ac:dyDescent="0.25">
      <c r="A94" s="23">
        <v>43466</v>
      </c>
      <c r="B94" s="5" t="s">
        <v>143</v>
      </c>
      <c r="C94" s="5">
        <v>-186455</v>
      </c>
    </row>
    <row r="95" spans="1:3" x14ac:dyDescent="0.25">
      <c r="A95" s="23">
        <v>43466</v>
      </c>
      <c r="B95" s="5" t="s">
        <v>144</v>
      </c>
      <c r="C95" s="5">
        <v>-190602</v>
      </c>
    </row>
    <row r="96" spans="1:3" x14ac:dyDescent="0.25">
      <c r="A96" s="23">
        <v>43466</v>
      </c>
      <c r="B96" s="5" t="s">
        <v>145</v>
      </c>
      <c r="C96" s="5">
        <v>-242942</v>
      </c>
    </row>
    <row r="97" spans="1:3" x14ac:dyDescent="0.25">
      <c r="A97" s="23">
        <v>43466</v>
      </c>
      <c r="B97" s="5" t="s">
        <v>146</v>
      </c>
      <c r="C97" s="5">
        <v>-277942</v>
      </c>
    </row>
    <row r="98" spans="1:3" x14ac:dyDescent="0.25">
      <c r="A98" s="23">
        <v>43466</v>
      </c>
      <c r="B98" s="5" t="s">
        <v>147</v>
      </c>
      <c r="C98" s="5">
        <v>-111230</v>
      </c>
    </row>
    <row r="99" spans="1:3" x14ac:dyDescent="0.25">
      <c r="A99" s="23">
        <v>43466</v>
      </c>
      <c r="B99" s="5" t="s">
        <v>148</v>
      </c>
      <c r="C99" s="5">
        <v>-245701</v>
      </c>
    </row>
    <row r="100" spans="1:3" x14ac:dyDescent="0.25">
      <c r="A100" s="23">
        <v>43466</v>
      </c>
      <c r="B100" s="5" t="s">
        <v>149</v>
      </c>
      <c r="C100" s="5">
        <v>-79186</v>
      </c>
    </row>
    <row r="101" spans="1:3" x14ac:dyDescent="0.25">
      <c r="A101" s="23">
        <v>43466</v>
      </c>
      <c r="B101" s="5" t="s">
        <v>150</v>
      </c>
      <c r="C101" s="5">
        <v>-220853</v>
      </c>
    </row>
    <row r="102" spans="1:3" x14ac:dyDescent="0.25">
      <c r="A102" s="23">
        <v>43466</v>
      </c>
      <c r="B102" s="5" t="s">
        <v>151</v>
      </c>
      <c r="C102" s="5">
        <v>-244114</v>
      </c>
    </row>
    <row r="103" spans="1:3" x14ac:dyDescent="0.25">
      <c r="A103" s="23">
        <v>43466</v>
      </c>
      <c r="B103" s="5" t="s">
        <v>152</v>
      </c>
      <c r="C103" s="5">
        <v>-132682</v>
      </c>
    </row>
    <row r="104" spans="1:3" x14ac:dyDescent="0.25">
      <c r="A104" s="23">
        <v>43466</v>
      </c>
      <c r="B104" s="5" t="s">
        <v>153</v>
      </c>
      <c r="C104" s="5">
        <v>-286430</v>
      </c>
    </row>
    <row r="105" spans="1:3" x14ac:dyDescent="0.25">
      <c r="A105" s="23">
        <v>43466</v>
      </c>
      <c r="B105" s="5" t="s">
        <v>154</v>
      </c>
      <c r="C105" s="5">
        <v>-234883</v>
      </c>
    </row>
    <row r="106" spans="1:3" x14ac:dyDescent="0.25">
      <c r="A106" s="23">
        <v>43466</v>
      </c>
      <c r="B106" s="5" t="s">
        <v>155</v>
      </c>
      <c r="C106" s="5">
        <v>-127209</v>
      </c>
    </row>
    <row r="107" spans="1:3" x14ac:dyDescent="0.25">
      <c r="A107" s="23">
        <v>43466</v>
      </c>
      <c r="B107" s="5" t="s">
        <v>156</v>
      </c>
      <c r="C107" s="5">
        <v>-127067</v>
      </c>
    </row>
    <row r="108" spans="1:3" x14ac:dyDescent="0.25">
      <c r="A108" s="23">
        <v>43466</v>
      </c>
      <c r="B108" s="5" t="s">
        <v>157</v>
      </c>
      <c r="C108" s="5">
        <v>-191796</v>
      </c>
    </row>
    <row r="109" spans="1:3" x14ac:dyDescent="0.25">
      <c r="A109" s="23">
        <v>43466</v>
      </c>
      <c r="B109" s="5" t="s">
        <v>158</v>
      </c>
      <c r="C109" s="5">
        <v>-234291</v>
      </c>
    </row>
    <row r="110" spans="1:3" x14ac:dyDescent="0.25">
      <c r="A110" s="23">
        <v>43466</v>
      </c>
      <c r="B110" s="5" t="s">
        <v>159</v>
      </c>
      <c r="C110" s="5">
        <v>-212642</v>
      </c>
    </row>
    <row r="111" spans="1:3" x14ac:dyDescent="0.25">
      <c r="A111" s="23">
        <v>43466</v>
      </c>
      <c r="B111" s="5" t="s">
        <v>160</v>
      </c>
      <c r="C111" s="5">
        <v>-182346</v>
      </c>
    </row>
    <row r="112" spans="1:3" x14ac:dyDescent="0.25">
      <c r="A112" s="23">
        <v>43466</v>
      </c>
      <c r="B112" s="5" t="s">
        <v>161</v>
      </c>
      <c r="C112" s="5">
        <v>-103677</v>
      </c>
    </row>
    <row r="113" spans="1:3" x14ac:dyDescent="0.25">
      <c r="A113" s="23">
        <v>43466</v>
      </c>
      <c r="B113" s="5" t="s">
        <v>162</v>
      </c>
      <c r="C113" s="5">
        <v>-170130</v>
      </c>
    </row>
    <row r="114" spans="1:3" x14ac:dyDescent="0.25">
      <c r="A114" s="23">
        <v>43466</v>
      </c>
      <c r="B114" s="5" t="s">
        <v>163</v>
      </c>
      <c r="C114" s="5">
        <v>-179172</v>
      </c>
    </row>
    <row r="115" spans="1:3" x14ac:dyDescent="0.25">
      <c r="A115" s="23">
        <v>43466</v>
      </c>
      <c r="B115" s="5" t="s">
        <v>164</v>
      </c>
      <c r="C115" s="5">
        <v>-96375</v>
      </c>
    </row>
    <row r="116" spans="1:3" x14ac:dyDescent="0.25">
      <c r="A116" s="23">
        <v>43466</v>
      </c>
      <c r="B116" s="5" t="s">
        <v>165</v>
      </c>
      <c r="C116" s="5">
        <v>-67073</v>
      </c>
    </row>
    <row r="117" spans="1:3" x14ac:dyDescent="0.25">
      <c r="A117" s="23">
        <v>43466</v>
      </c>
      <c r="B117" s="5" t="s">
        <v>166</v>
      </c>
      <c r="C117" s="5">
        <v>-98436</v>
      </c>
    </row>
    <row r="118" spans="1:3" x14ac:dyDescent="0.25">
      <c r="A118" s="23">
        <v>43466</v>
      </c>
      <c r="B118" s="5" t="s">
        <v>167</v>
      </c>
      <c r="C118" s="5">
        <v>-312710</v>
      </c>
    </row>
    <row r="119" spans="1:3" x14ac:dyDescent="0.25">
      <c r="A119" s="23">
        <v>43466</v>
      </c>
      <c r="B119" s="5" t="s">
        <v>168</v>
      </c>
      <c r="C119" s="5">
        <v>-151577</v>
      </c>
    </row>
    <row r="120" spans="1:3" x14ac:dyDescent="0.25">
      <c r="A120" s="23">
        <v>43466</v>
      </c>
      <c r="B120" s="5" t="s">
        <v>169</v>
      </c>
      <c r="C120" s="5">
        <v>-171885</v>
      </c>
    </row>
    <row r="121" spans="1:3" x14ac:dyDescent="0.25">
      <c r="A121" s="23">
        <v>43466</v>
      </c>
      <c r="B121" s="5" t="s">
        <v>170</v>
      </c>
      <c r="C121" s="5">
        <v>-301372</v>
      </c>
    </row>
    <row r="122" spans="1:3" x14ac:dyDescent="0.25">
      <c r="A122" s="23">
        <v>43466</v>
      </c>
      <c r="B122" s="5" t="s">
        <v>171</v>
      </c>
      <c r="C122" s="5">
        <v>-244109</v>
      </c>
    </row>
    <row r="123" spans="1:3" x14ac:dyDescent="0.25">
      <c r="A123" s="23">
        <v>43466</v>
      </c>
      <c r="B123" s="5" t="s">
        <v>172</v>
      </c>
      <c r="C123" s="5">
        <v>-224598</v>
      </c>
    </row>
    <row r="124" spans="1:3" x14ac:dyDescent="0.25">
      <c r="A124" s="23">
        <v>43466</v>
      </c>
      <c r="B124" s="5" t="s">
        <v>173</v>
      </c>
      <c r="C124" s="5">
        <v>-50976</v>
      </c>
    </row>
    <row r="125" spans="1:3" x14ac:dyDescent="0.25">
      <c r="A125" s="23">
        <v>43466</v>
      </c>
      <c r="B125" s="5" t="s">
        <v>174</v>
      </c>
      <c r="C125" s="5">
        <v>-54881</v>
      </c>
    </row>
    <row r="126" spans="1:3" x14ac:dyDescent="0.25">
      <c r="A126" s="23">
        <v>43466</v>
      </c>
      <c r="B126" s="5" t="s">
        <v>175</v>
      </c>
      <c r="C126" s="5">
        <v>-42609</v>
      </c>
    </row>
    <row r="127" spans="1:3" x14ac:dyDescent="0.25">
      <c r="A127" s="23">
        <v>43466</v>
      </c>
      <c r="B127" s="5" t="s">
        <v>176</v>
      </c>
      <c r="C127" s="5">
        <v>-44950</v>
      </c>
    </row>
    <row r="128" spans="1:3" x14ac:dyDescent="0.25">
      <c r="A128" s="23">
        <v>43466</v>
      </c>
      <c r="B128" s="5" t="s">
        <v>177</v>
      </c>
      <c r="C128" s="5">
        <v>-57778</v>
      </c>
    </row>
    <row r="129" spans="1:3" x14ac:dyDescent="0.25">
      <c r="A129" s="23">
        <v>43466</v>
      </c>
      <c r="B129" s="5" t="s">
        <v>178</v>
      </c>
      <c r="C129" s="5">
        <v>-168875</v>
      </c>
    </row>
    <row r="130" spans="1:3" x14ac:dyDescent="0.25">
      <c r="A130" s="23">
        <v>43466</v>
      </c>
      <c r="B130" s="5" t="s">
        <v>179</v>
      </c>
      <c r="C130" s="5">
        <v>-188927</v>
      </c>
    </row>
    <row r="131" spans="1:3" x14ac:dyDescent="0.25">
      <c r="A131" s="23">
        <v>43466</v>
      </c>
      <c r="B131" s="5" t="s">
        <v>180</v>
      </c>
      <c r="C131" s="5">
        <v>-265340</v>
      </c>
    </row>
    <row r="132" spans="1:3" x14ac:dyDescent="0.25">
      <c r="A132" s="23">
        <v>43466</v>
      </c>
      <c r="B132" s="5" t="s">
        <v>181</v>
      </c>
      <c r="C132" s="5">
        <v>-82747</v>
      </c>
    </row>
    <row r="133" spans="1:3" x14ac:dyDescent="0.25">
      <c r="A133" s="23">
        <v>43466</v>
      </c>
      <c r="B133" s="5" t="s">
        <v>182</v>
      </c>
      <c r="C133" s="5">
        <v>-66694</v>
      </c>
    </row>
    <row r="134" spans="1:3" x14ac:dyDescent="0.25">
      <c r="A134" s="23">
        <v>43466</v>
      </c>
      <c r="B134" s="5" t="s">
        <v>183</v>
      </c>
      <c r="C134" s="5">
        <v>-80058</v>
      </c>
    </row>
    <row r="135" spans="1:3" x14ac:dyDescent="0.25">
      <c r="A135" s="23">
        <v>43466</v>
      </c>
      <c r="B135" s="5" t="s">
        <v>184</v>
      </c>
      <c r="C135" s="5">
        <v>-81562</v>
      </c>
    </row>
    <row r="136" spans="1:3" x14ac:dyDescent="0.25">
      <c r="A136" s="23">
        <v>43466</v>
      </c>
      <c r="B136" s="5" t="s">
        <v>185</v>
      </c>
      <c r="C136" s="5">
        <v>-119562</v>
      </c>
    </row>
    <row r="137" spans="1:3" x14ac:dyDescent="0.25">
      <c r="A137" s="23">
        <v>43466</v>
      </c>
      <c r="B137" s="5" t="s">
        <v>186</v>
      </c>
      <c r="C137" s="5">
        <v>-89295</v>
      </c>
    </row>
    <row r="138" spans="1:3" x14ac:dyDescent="0.25">
      <c r="A138" s="23">
        <v>43466</v>
      </c>
      <c r="B138" s="5" t="s">
        <v>187</v>
      </c>
      <c r="C138" s="5">
        <v>-171245</v>
      </c>
    </row>
    <row r="139" spans="1:3" x14ac:dyDescent="0.25">
      <c r="A139" s="23">
        <v>43466</v>
      </c>
      <c r="B139" s="5" t="s">
        <v>188</v>
      </c>
      <c r="C139" s="5">
        <v>-143147</v>
      </c>
    </row>
    <row r="140" spans="1:3" x14ac:dyDescent="0.25">
      <c r="A140" s="23">
        <v>43466</v>
      </c>
      <c r="B140" s="5" t="s">
        <v>189</v>
      </c>
      <c r="C140" s="5">
        <v>-8074</v>
      </c>
    </row>
    <row r="141" spans="1:3" x14ac:dyDescent="0.25">
      <c r="A141" s="23">
        <v>43466</v>
      </c>
      <c r="B141" s="5" t="s">
        <v>190</v>
      </c>
      <c r="C141" s="5">
        <v>-27846</v>
      </c>
    </row>
    <row r="142" spans="1:3" x14ac:dyDescent="0.25">
      <c r="A142" s="23">
        <f>EDATE(A2,1)</f>
        <v>43497</v>
      </c>
      <c r="B142" s="5" t="s">
        <v>51</v>
      </c>
      <c r="C142" s="5">
        <v>980743</v>
      </c>
    </row>
    <row r="143" spans="1:3" x14ac:dyDescent="0.25">
      <c r="A143" s="23">
        <f t="shared" ref="A143:A206" si="0">EDATE(A3,1)</f>
        <v>43497</v>
      </c>
      <c r="B143" s="5" t="s">
        <v>52</v>
      </c>
      <c r="C143" s="5">
        <v>224468</v>
      </c>
    </row>
    <row r="144" spans="1:3" x14ac:dyDescent="0.25">
      <c r="A144" s="23">
        <f t="shared" si="0"/>
        <v>43497</v>
      </c>
      <c r="B144" s="5" t="s">
        <v>53</v>
      </c>
      <c r="C144" s="5">
        <v>207530</v>
      </c>
    </row>
    <row r="145" spans="1:3" x14ac:dyDescent="0.25">
      <c r="A145" s="23">
        <f t="shared" si="0"/>
        <v>43497</v>
      </c>
      <c r="B145" s="5" t="s">
        <v>54</v>
      </c>
      <c r="C145" s="5">
        <v>481795</v>
      </c>
    </row>
    <row r="146" spans="1:3" x14ac:dyDescent="0.25">
      <c r="A146" s="23">
        <f t="shared" si="0"/>
        <v>43497</v>
      </c>
      <c r="B146" s="5" t="s">
        <v>55</v>
      </c>
      <c r="C146" s="5">
        <v>887669</v>
      </c>
    </row>
    <row r="147" spans="1:3" x14ac:dyDescent="0.25">
      <c r="A147" s="23">
        <f t="shared" si="0"/>
        <v>43497</v>
      </c>
      <c r="B147" s="5" t="s">
        <v>56</v>
      </c>
      <c r="C147" s="5">
        <v>989570</v>
      </c>
    </row>
    <row r="148" spans="1:3" x14ac:dyDescent="0.25">
      <c r="A148" s="23">
        <f t="shared" si="0"/>
        <v>43497</v>
      </c>
      <c r="B148" s="5" t="s">
        <v>57</v>
      </c>
      <c r="C148" s="5">
        <v>944968</v>
      </c>
    </row>
    <row r="149" spans="1:3" x14ac:dyDescent="0.25">
      <c r="A149" s="23">
        <f t="shared" si="0"/>
        <v>43497</v>
      </c>
      <c r="B149" s="5" t="s">
        <v>58</v>
      </c>
      <c r="C149" s="5">
        <v>909395</v>
      </c>
    </row>
    <row r="150" spans="1:3" x14ac:dyDescent="0.25">
      <c r="A150" s="23">
        <f t="shared" si="0"/>
        <v>43497</v>
      </c>
      <c r="B150" s="5" t="s">
        <v>59</v>
      </c>
      <c r="C150" s="5">
        <v>772824</v>
      </c>
    </row>
    <row r="151" spans="1:3" x14ac:dyDescent="0.25">
      <c r="A151" s="23">
        <f t="shared" si="0"/>
        <v>43497</v>
      </c>
      <c r="B151" s="5" t="s">
        <v>60</v>
      </c>
      <c r="C151" s="5">
        <v>303480</v>
      </c>
    </row>
    <row r="152" spans="1:3" x14ac:dyDescent="0.25">
      <c r="A152" s="23">
        <f t="shared" si="0"/>
        <v>43497</v>
      </c>
      <c r="B152" s="5" t="s">
        <v>61</v>
      </c>
      <c r="C152" s="5">
        <v>921437</v>
      </c>
    </row>
    <row r="153" spans="1:3" x14ac:dyDescent="0.25">
      <c r="A153" s="23">
        <f t="shared" si="0"/>
        <v>43497</v>
      </c>
      <c r="B153" s="5" t="s">
        <v>62</v>
      </c>
      <c r="C153" s="5">
        <v>413068</v>
      </c>
    </row>
    <row r="154" spans="1:3" x14ac:dyDescent="0.25">
      <c r="A154" s="23">
        <f t="shared" si="0"/>
        <v>43497</v>
      </c>
      <c r="B154" s="5" t="s">
        <v>63</v>
      </c>
      <c r="C154" s="5">
        <v>420600</v>
      </c>
    </row>
    <row r="155" spans="1:3" x14ac:dyDescent="0.25">
      <c r="A155" s="23">
        <f t="shared" si="0"/>
        <v>43497</v>
      </c>
      <c r="B155" s="5" t="s">
        <v>64</v>
      </c>
      <c r="C155" s="5">
        <v>797404</v>
      </c>
    </row>
    <row r="156" spans="1:3" x14ac:dyDescent="0.25">
      <c r="A156" s="23">
        <f t="shared" si="0"/>
        <v>43497</v>
      </c>
      <c r="B156" s="5" t="s">
        <v>65</v>
      </c>
      <c r="C156" s="5">
        <v>662156</v>
      </c>
    </row>
    <row r="157" spans="1:3" x14ac:dyDescent="0.25">
      <c r="A157" s="23">
        <f t="shared" si="0"/>
        <v>43497</v>
      </c>
      <c r="B157" s="5" t="s">
        <v>66</v>
      </c>
      <c r="C157" s="5">
        <v>349416</v>
      </c>
    </row>
    <row r="158" spans="1:3" x14ac:dyDescent="0.25">
      <c r="A158" s="23">
        <f t="shared" si="0"/>
        <v>43497</v>
      </c>
      <c r="B158" s="5" t="s">
        <v>67</v>
      </c>
      <c r="C158" s="5">
        <v>541155</v>
      </c>
    </row>
    <row r="159" spans="1:3" x14ac:dyDescent="0.25">
      <c r="A159" s="23">
        <f t="shared" si="0"/>
        <v>43497</v>
      </c>
      <c r="B159" s="5" t="s">
        <v>68</v>
      </c>
      <c r="C159" s="5">
        <v>794464</v>
      </c>
    </row>
    <row r="160" spans="1:3" x14ac:dyDescent="0.25">
      <c r="A160" s="23">
        <f t="shared" si="0"/>
        <v>43497</v>
      </c>
      <c r="B160" s="5" t="s">
        <v>69</v>
      </c>
      <c r="C160" s="5">
        <v>315398</v>
      </c>
    </row>
    <row r="161" spans="1:3" x14ac:dyDescent="0.25">
      <c r="A161" s="23">
        <f t="shared" si="0"/>
        <v>43497</v>
      </c>
      <c r="B161" s="5" t="s">
        <v>70</v>
      </c>
      <c r="C161" s="5">
        <v>575082</v>
      </c>
    </row>
    <row r="162" spans="1:3" x14ac:dyDescent="0.25">
      <c r="A162" s="23">
        <f t="shared" si="0"/>
        <v>43497</v>
      </c>
      <c r="B162" s="5" t="s">
        <v>71</v>
      </c>
      <c r="C162" s="5">
        <v>565026</v>
      </c>
    </row>
    <row r="163" spans="1:3" x14ac:dyDescent="0.25">
      <c r="A163" s="23">
        <f t="shared" si="0"/>
        <v>43497</v>
      </c>
      <c r="B163" s="5" t="s">
        <v>72</v>
      </c>
      <c r="C163" s="5">
        <v>583435</v>
      </c>
    </row>
    <row r="164" spans="1:3" x14ac:dyDescent="0.25">
      <c r="A164" s="23">
        <f t="shared" si="0"/>
        <v>43497</v>
      </c>
      <c r="B164" s="5" t="s">
        <v>73</v>
      </c>
      <c r="C164" s="5">
        <v>55321</v>
      </c>
    </row>
    <row r="165" spans="1:3" x14ac:dyDescent="0.25">
      <c r="A165" s="23">
        <f t="shared" si="0"/>
        <v>43497</v>
      </c>
      <c r="B165" s="5" t="s">
        <v>74</v>
      </c>
      <c r="C165" s="5">
        <v>175413</v>
      </c>
    </row>
    <row r="166" spans="1:3" x14ac:dyDescent="0.25">
      <c r="A166" s="23">
        <f t="shared" si="0"/>
        <v>43497</v>
      </c>
      <c r="B166" s="5" t="s">
        <v>75</v>
      </c>
      <c r="C166" s="5">
        <v>281759</v>
      </c>
    </row>
    <row r="167" spans="1:3" x14ac:dyDescent="0.25">
      <c r="A167" s="23">
        <f t="shared" si="0"/>
        <v>43497</v>
      </c>
      <c r="B167" s="5" t="s">
        <v>76</v>
      </c>
      <c r="C167" s="5">
        <v>273305</v>
      </c>
    </row>
    <row r="168" spans="1:3" x14ac:dyDescent="0.25">
      <c r="A168" s="23">
        <f t="shared" si="0"/>
        <v>43497</v>
      </c>
      <c r="B168" s="5" t="s">
        <v>77</v>
      </c>
      <c r="C168" s="5">
        <v>272436</v>
      </c>
    </row>
    <row r="169" spans="1:3" x14ac:dyDescent="0.25">
      <c r="A169" s="23">
        <f t="shared" si="0"/>
        <v>43497</v>
      </c>
      <c r="B169" s="5" t="s">
        <v>78</v>
      </c>
      <c r="C169" s="5">
        <v>148056</v>
      </c>
    </row>
    <row r="170" spans="1:3" x14ac:dyDescent="0.25">
      <c r="A170" s="23">
        <f t="shared" si="0"/>
        <v>43497</v>
      </c>
      <c r="B170" s="5" t="s">
        <v>79</v>
      </c>
      <c r="C170" s="5">
        <v>159706</v>
      </c>
    </row>
    <row r="171" spans="1:3" x14ac:dyDescent="0.25">
      <c r="A171" s="23">
        <f t="shared" si="0"/>
        <v>43497</v>
      </c>
      <c r="B171" s="5" t="s">
        <v>80</v>
      </c>
      <c r="C171" s="5">
        <v>54052</v>
      </c>
    </row>
    <row r="172" spans="1:3" x14ac:dyDescent="0.25">
      <c r="A172" s="23">
        <f t="shared" si="0"/>
        <v>43497</v>
      </c>
      <c r="B172" s="5" t="s">
        <v>81</v>
      </c>
      <c r="C172" s="5">
        <v>121569</v>
      </c>
    </row>
    <row r="173" spans="1:3" x14ac:dyDescent="0.25">
      <c r="A173" s="23">
        <f t="shared" si="0"/>
        <v>43497</v>
      </c>
      <c r="B173" s="5" t="s">
        <v>82</v>
      </c>
      <c r="C173" s="5">
        <v>161749</v>
      </c>
    </row>
    <row r="174" spans="1:3" x14ac:dyDescent="0.25">
      <c r="A174" s="23">
        <f t="shared" si="0"/>
        <v>43497</v>
      </c>
      <c r="B174" s="5" t="s">
        <v>83</v>
      </c>
      <c r="C174" s="5">
        <v>61716</v>
      </c>
    </row>
    <row r="175" spans="1:3" x14ac:dyDescent="0.25">
      <c r="A175" s="23">
        <f t="shared" si="0"/>
        <v>43497</v>
      </c>
      <c r="B175" s="5" t="s">
        <v>84</v>
      </c>
      <c r="C175" s="5">
        <v>275826</v>
      </c>
    </row>
    <row r="176" spans="1:3" x14ac:dyDescent="0.25">
      <c r="A176" s="23">
        <f t="shared" si="0"/>
        <v>43497</v>
      </c>
      <c r="B176" s="5" t="s">
        <v>85</v>
      </c>
      <c r="C176" s="5">
        <v>130197</v>
      </c>
    </row>
    <row r="177" spans="1:3" x14ac:dyDescent="0.25">
      <c r="A177" s="23">
        <f t="shared" si="0"/>
        <v>43497</v>
      </c>
      <c r="B177" s="5" t="s">
        <v>86</v>
      </c>
      <c r="C177" s="5">
        <v>93232</v>
      </c>
    </row>
    <row r="178" spans="1:3" x14ac:dyDescent="0.25">
      <c r="A178" s="23">
        <f t="shared" si="0"/>
        <v>43497</v>
      </c>
      <c r="B178" s="5" t="s">
        <v>87</v>
      </c>
      <c r="C178" s="5">
        <v>196486</v>
      </c>
    </row>
    <row r="179" spans="1:3" x14ac:dyDescent="0.25">
      <c r="A179" s="23">
        <f t="shared" si="0"/>
        <v>43497</v>
      </c>
      <c r="B179" s="5" t="s">
        <v>88</v>
      </c>
      <c r="C179" s="5">
        <v>159626</v>
      </c>
    </row>
    <row r="180" spans="1:3" x14ac:dyDescent="0.25">
      <c r="A180" s="23">
        <f t="shared" si="0"/>
        <v>43497</v>
      </c>
      <c r="B180" s="5" t="s">
        <v>89</v>
      </c>
      <c r="C180" s="5">
        <v>62417</v>
      </c>
    </row>
    <row r="181" spans="1:3" x14ac:dyDescent="0.25">
      <c r="A181" s="23">
        <f t="shared" si="0"/>
        <v>43497</v>
      </c>
      <c r="B181" s="5" t="s">
        <v>90</v>
      </c>
      <c r="C181" s="5">
        <v>110631</v>
      </c>
    </row>
    <row r="182" spans="1:3" x14ac:dyDescent="0.25">
      <c r="A182" s="23">
        <f t="shared" si="0"/>
        <v>43497</v>
      </c>
      <c r="B182" s="5" t="s">
        <v>91</v>
      </c>
      <c r="C182" s="5">
        <v>240691</v>
      </c>
    </row>
    <row r="183" spans="1:3" x14ac:dyDescent="0.25">
      <c r="A183" s="23">
        <f t="shared" si="0"/>
        <v>43497</v>
      </c>
      <c r="B183" s="5" t="s">
        <v>92</v>
      </c>
      <c r="C183" s="5">
        <v>132842</v>
      </c>
    </row>
    <row r="184" spans="1:3" x14ac:dyDescent="0.25">
      <c r="A184" s="23">
        <f t="shared" si="0"/>
        <v>43497</v>
      </c>
      <c r="B184" s="5" t="s">
        <v>93</v>
      </c>
      <c r="C184" s="5">
        <v>84884</v>
      </c>
    </row>
    <row r="185" spans="1:3" x14ac:dyDescent="0.25">
      <c r="A185" s="23">
        <f t="shared" si="0"/>
        <v>43497</v>
      </c>
      <c r="B185" s="5" t="s">
        <v>94</v>
      </c>
      <c r="C185" s="5">
        <v>249172</v>
      </c>
    </row>
    <row r="186" spans="1:3" x14ac:dyDescent="0.25">
      <c r="A186" s="23">
        <f t="shared" si="0"/>
        <v>43497</v>
      </c>
      <c r="B186" s="5" t="s">
        <v>95</v>
      </c>
      <c r="C186" s="5">
        <v>281591</v>
      </c>
    </row>
    <row r="187" spans="1:3" x14ac:dyDescent="0.25">
      <c r="A187" s="23">
        <f t="shared" si="0"/>
        <v>43497</v>
      </c>
      <c r="B187" s="5" t="s">
        <v>96</v>
      </c>
      <c r="C187" s="5">
        <v>294288</v>
      </c>
    </row>
    <row r="188" spans="1:3" x14ac:dyDescent="0.25">
      <c r="A188" s="23">
        <f t="shared" si="0"/>
        <v>43497</v>
      </c>
      <c r="B188" s="5" t="s">
        <v>97</v>
      </c>
      <c r="C188" s="5">
        <v>147994</v>
      </c>
    </row>
    <row r="189" spans="1:3" x14ac:dyDescent="0.25">
      <c r="A189" s="23">
        <f t="shared" si="0"/>
        <v>43497</v>
      </c>
      <c r="B189" s="5" t="s">
        <v>98</v>
      </c>
      <c r="C189" s="5">
        <v>235516</v>
      </c>
    </row>
    <row r="190" spans="1:3" x14ac:dyDescent="0.25">
      <c r="A190" s="23">
        <f t="shared" si="0"/>
        <v>43497</v>
      </c>
      <c r="B190" s="5" t="s">
        <v>99</v>
      </c>
      <c r="C190" s="5">
        <v>87609</v>
      </c>
    </row>
    <row r="191" spans="1:3" x14ac:dyDescent="0.25">
      <c r="A191" s="23">
        <f t="shared" si="0"/>
        <v>43497</v>
      </c>
      <c r="B191" s="5" t="s">
        <v>100</v>
      </c>
      <c r="C191" s="5">
        <v>71054</v>
      </c>
    </row>
    <row r="192" spans="1:3" x14ac:dyDescent="0.25">
      <c r="A192" s="23">
        <f t="shared" si="0"/>
        <v>43497</v>
      </c>
      <c r="B192" s="5" t="s">
        <v>101</v>
      </c>
      <c r="C192" s="5">
        <v>57874</v>
      </c>
    </row>
    <row r="193" spans="1:3" x14ac:dyDescent="0.25">
      <c r="A193" s="23">
        <f t="shared" si="0"/>
        <v>43497</v>
      </c>
      <c r="B193" s="5" t="s">
        <v>102</v>
      </c>
      <c r="C193" s="5">
        <v>160095</v>
      </c>
    </row>
    <row r="194" spans="1:3" x14ac:dyDescent="0.25">
      <c r="A194" s="23">
        <f t="shared" si="0"/>
        <v>43497</v>
      </c>
      <c r="B194" s="5" t="s">
        <v>103</v>
      </c>
      <c r="C194" s="5">
        <v>154898</v>
      </c>
    </row>
    <row r="195" spans="1:3" x14ac:dyDescent="0.25">
      <c r="A195" s="23">
        <f t="shared" si="0"/>
        <v>43497</v>
      </c>
      <c r="B195" s="5" t="s">
        <v>104</v>
      </c>
      <c r="C195" s="5">
        <v>145659</v>
      </c>
    </row>
    <row r="196" spans="1:3" x14ac:dyDescent="0.25">
      <c r="A196" s="23">
        <f t="shared" si="0"/>
        <v>43497</v>
      </c>
      <c r="B196" s="5" t="s">
        <v>105</v>
      </c>
      <c r="C196" s="5">
        <v>136535</v>
      </c>
    </row>
    <row r="197" spans="1:3" x14ac:dyDescent="0.25">
      <c r="A197" s="23">
        <f t="shared" si="0"/>
        <v>43497</v>
      </c>
      <c r="B197" s="5" t="s">
        <v>106</v>
      </c>
      <c r="C197" s="5">
        <v>269728</v>
      </c>
    </row>
    <row r="198" spans="1:3" x14ac:dyDescent="0.25">
      <c r="A198" s="23">
        <f t="shared" si="0"/>
        <v>43497</v>
      </c>
      <c r="B198" s="5" t="s">
        <v>107</v>
      </c>
      <c r="C198" s="5">
        <v>230381</v>
      </c>
    </row>
    <row r="199" spans="1:3" x14ac:dyDescent="0.25">
      <c r="A199" s="23">
        <f t="shared" si="0"/>
        <v>43497</v>
      </c>
      <c r="B199" s="5" t="s">
        <v>108</v>
      </c>
      <c r="C199" s="5">
        <v>232210</v>
      </c>
    </row>
    <row r="200" spans="1:3" x14ac:dyDescent="0.25">
      <c r="A200" s="23">
        <f t="shared" si="0"/>
        <v>43497</v>
      </c>
      <c r="B200" s="5" t="s">
        <v>109</v>
      </c>
      <c r="C200" s="5">
        <v>69289</v>
      </c>
    </row>
    <row r="201" spans="1:3" x14ac:dyDescent="0.25">
      <c r="A201" s="23">
        <f t="shared" si="0"/>
        <v>43497</v>
      </c>
      <c r="B201" s="5" t="s">
        <v>110</v>
      </c>
      <c r="C201" s="5">
        <v>-1023</v>
      </c>
    </row>
    <row r="202" spans="1:3" x14ac:dyDescent="0.25">
      <c r="A202" s="23">
        <f t="shared" si="0"/>
        <v>43497</v>
      </c>
      <c r="B202" s="5" t="s">
        <v>111</v>
      </c>
      <c r="C202" s="5">
        <v>-7570</v>
      </c>
    </row>
    <row r="203" spans="1:3" x14ac:dyDescent="0.25">
      <c r="A203" s="23">
        <f t="shared" si="0"/>
        <v>43497</v>
      </c>
      <c r="B203" s="5" t="s">
        <v>112</v>
      </c>
      <c r="C203" s="5">
        <v>-3666</v>
      </c>
    </row>
    <row r="204" spans="1:3" x14ac:dyDescent="0.25">
      <c r="A204" s="23">
        <f t="shared" si="0"/>
        <v>43497</v>
      </c>
      <c r="B204" s="5" t="s">
        <v>113</v>
      </c>
      <c r="C204" s="5">
        <v>-9374</v>
      </c>
    </row>
    <row r="205" spans="1:3" x14ac:dyDescent="0.25">
      <c r="A205" s="23">
        <f t="shared" si="0"/>
        <v>43497</v>
      </c>
      <c r="B205" s="5" t="s">
        <v>114</v>
      </c>
      <c r="C205" s="5">
        <v>-9626</v>
      </c>
    </row>
    <row r="206" spans="1:3" x14ac:dyDescent="0.25">
      <c r="A206" s="23">
        <f t="shared" si="0"/>
        <v>43497</v>
      </c>
      <c r="B206" s="5" t="s">
        <v>115</v>
      </c>
      <c r="C206" s="5">
        <v>-4656</v>
      </c>
    </row>
    <row r="207" spans="1:3" x14ac:dyDescent="0.25">
      <c r="A207" s="23">
        <f t="shared" ref="A207:A270" si="1">EDATE(A67,1)</f>
        <v>43497</v>
      </c>
      <c r="B207" s="5" t="s">
        <v>116</v>
      </c>
      <c r="C207" s="5">
        <v>-4523</v>
      </c>
    </row>
    <row r="208" spans="1:3" x14ac:dyDescent="0.25">
      <c r="A208" s="23">
        <f t="shared" si="1"/>
        <v>43497</v>
      </c>
      <c r="B208" s="5" t="s">
        <v>117</v>
      </c>
      <c r="C208" s="5">
        <v>-7754</v>
      </c>
    </row>
    <row r="209" spans="1:3" x14ac:dyDescent="0.25">
      <c r="A209" s="23">
        <f t="shared" si="1"/>
        <v>43497</v>
      </c>
      <c r="B209" s="5" t="s">
        <v>118</v>
      </c>
      <c r="C209" s="5">
        <v>-4315</v>
      </c>
    </row>
    <row r="210" spans="1:3" x14ac:dyDescent="0.25">
      <c r="A210" s="23">
        <f t="shared" si="1"/>
        <v>43497</v>
      </c>
      <c r="B210" s="5" t="s">
        <v>119</v>
      </c>
      <c r="C210" s="5">
        <v>-1957</v>
      </c>
    </row>
    <row r="211" spans="1:3" x14ac:dyDescent="0.25">
      <c r="A211" s="23">
        <f t="shared" si="1"/>
        <v>43497</v>
      </c>
      <c r="B211" s="5" t="s">
        <v>120</v>
      </c>
      <c r="C211" s="5">
        <v>-7061</v>
      </c>
    </row>
    <row r="212" spans="1:3" x14ac:dyDescent="0.25">
      <c r="A212" s="23">
        <f t="shared" si="1"/>
        <v>43497</v>
      </c>
      <c r="B212" s="5" t="s">
        <v>121</v>
      </c>
      <c r="C212" s="5">
        <v>-7559</v>
      </c>
    </row>
    <row r="213" spans="1:3" x14ac:dyDescent="0.25">
      <c r="A213" s="23">
        <f t="shared" si="1"/>
        <v>43497</v>
      </c>
      <c r="B213" s="5" t="s">
        <v>122</v>
      </c>
      <c r="C213" s="5">
        <v>-8607</v>
      </c>
    </row>
    <row r="214" spans="1:3" x14ac:dyDescent="0.25">
      <c r="A214" s="23">
        <f t="shared" si="1"/>
        <v>43497</v>
      </c>
      <c r="B214" s="5" t="s">
        <v>123</v>
      </c>
      <c r="C214" s="5">
        <v>-2294</v>
      </c>
    </row>
    <row r="215" spans="1:3" x14ac:dyDescent="0.25">
      <c r="A215" s="23">
        <f t="shared" si="1"/>
        <v>43497</v>
      </c>
      <c r="B215" s="5" t="s">
        <v>124</v>
      </c>
      <c r="C215" s="5">
        <v>-3526</v>
      </c>
    </row>
    <row r="216" spans="1:3" x14ac:dyDescent="0.25">
      <c r="A216" s="23">
        <f t="shared" si="1"/>
        <v>43497</v>
      </c>
      <c r="B216" s="5" t="s">
        <v>125</v>
      </c>
      <c r="C216" s="5">
        <v>-6752</v>
      </c>
    </row>
    <row r="217" spans="1:3" x14ac:dyDescent="0.25">
      <c r="A217" s="23">
        <f t="shared" si="1"/>
        <v>43497</v>
      </c>
      <c r="B217" s="5" t="s">
        <v>126</v>
      </c>
      <c r="C217" s="5">
        <v>-1398</v>
      </c>
    </row>
    <row r="218" spans="1:3" x14ac:dyDescent="0.25">
      <c r="A218" s="23">
        <f t="shared" si="1"/>
        <v>43497</v>
      </c>
      <c r="B218" s="5" t="s">
        <v>127</v>
      </c>
      <c r="C218" s="5">
        <v>-4959</v>
      </c>
    </row>
    <row r="219" spans="1:3" x14ac:dyDescent="0.25">
      <c r="A219" s="23">
        <f t="shared" si="1"/>
        <v>43497</v>
      </c>
      <c r="B219" s="5" t="s">
        <v>128</v>
      </c>
      <c r="C219" s="5">
        <v>-3777</v>
      </c>
    </row>
    <row r="220" spans="1:3" x14ac:dyDescent="0.25">
      <c r="A220" s="23">
        <f t="shared" si="1"/>
        <v>43497</v>
      </c>
      <c r="B220" s="5" t="s">
        <v>129</v>
      </c>
      <c r="C220" s="5">
        <v>-9393</v>
      </c>
    </row>
    <row r="221" spans="1:3" x14ac:dyDescent="0.25">
      <c r="A221" s="23">
        <f t="shared" si="1"/>
        <v>43497</v>
      </c>
      <c r="B221" s="5" t="s">
        <v>130</v>
      </c>
      <c r="C221" s="5">
        <v>-8914</v>
      </c>
    </row>
    <row r="222" spans="1:3" x14ac:dyDescent="0.25">
      <c r="A222" s="23">
        <f t="shared" si="1"/>
        <v>43497</v>
      </c>
      <c r="B222" s="5" t="s">
        <v>131</v>
      </c>
      <c r="C222" s="5">
        <v>-5551</v>
      </c>
    </row>
    <row r="223" spans="1:3" x14ac:dyDescent="0.25">
      <c r="A223" s="23">
        <f t="shared" si="1"/>
        <v>43497</v>
      </c>
      <c r="B223" s="5" t="s">
        <v>132</v>
      </c>
      <c r="C223" s="5">
        <v>-4583</v>
      </c>
    </row>
    <row r="224" spans="1:3" x14ac:dyDescent="0.25">
      <c r="A224" s="23">
        <f t="shared" si="1"/>
        <v>43497</v>
      </c>
      <c r="B224" s="5" t="s">
        <v>133</v>
      </c>
      <c r="C224" s="5">
        <v>-5888</v>
      </c>
    </row>
    <row r="225" spans="1:3" x14ac:dyDescent="0.25">
      <c r="A225" s="23">
        <f t="shared" si="1"/>
        <v>43497</v>
      </c>
      <c r="B225" s="5" t="s">
        <v>134</v>
      </c>
      <c r="C225" s="5">
        <v>-5463</v>
      </c>
    </row>
    <row r="226" spans="1:3" x14ac:dyDescent="0.25">
      <c r="A226" s="23">
        <f t="shared" si="1"/>
        <v>43497</v>
      </c>
      <c r="B226" s="5" t="s">
        <v>135</v>
      </c>
      <c r="C226" s="5">
        <v>-6467</v>
      </c>
    </row>
    <row r="227" spans="1:3" x14ac:dyDescent="0.25">
      <c r="A227" s="23">
        <f t="shared" si="1"/>
        <v>43497</v>
      </c>
      <c r="B227" s="5" t="s">
        <v>136</v>
      </c>
      <c r="C227" s="5">
        <v>-7915</v>
      </c>
    </row>
    <row r="228" spans="1:3" x14ac:dyDescent="0.25">
      <c r="A228" s="23">
        <f t="shared" si="1"/>
        <v>43497</v>
      </c>
      <c r="B228" s="5" t="s">
        <v>137</v>
      </c>
      <c r="C228" s="5">
        <v>-5438</v>
      </c>
    </row>
    <row r="229" spans="1:3" x14ac:dyDescent="0.25">
      <c r="A229" s="23">
        <f t="shared" si="1"/>
        <v>43497</v>
      </c>
      <c r="B229" s="5" t="s">
        <v>138</v>
      </c>
      <c r="C229" s="5">
        <v>-6266</v>
      </c>
    </row>
    <row r="230" spans="1:3" x14ac:dyDescent="0.25">
      <c r="A230" s="23">
        <f t="shared" si="1"/>
        <v>43497</v>
      </c>
      <c r="B230" s="5" t="s">
        <v>139</v>
      </c>
      <c r="C230" s="5">
        <v>-7948</v>
      </c>
    </row>
    <row r="231" spans="1:3" x14ac:dyDescent="0.25">
      <c r="A231" s="23">
        <f t="shared" si="1"/>
        <v>43497</v>
      </c>
      <c r="B231" s="5" t="s">
        <v>140</v>
      </c>
      <c r="C231" s="5">
        <v>-276230</v>
      </c>
    </row>
    <row r="232" spans="1:3" x14ac:dyDescent="0.25">
      <c r="A232" s="23">
        <f t="shared" si="1"/>
        <v>43497</v>
      </c>
      <c r="B232" s="5" t="s">
        <v>141</v>
      </c>
      <c r="C232" s="5">
        <v>-101743</v>
      </c>
    </row>
    <row r="233" spans="1:3" x14ac:dyDescent="0.25">
      <c r="A233" s="23">
        <f t="shared" si="1"/>
        <v>43497</v>
      </c>
      <c r="B233" s="5" t="s">
        <v>142</v>
      </c>
      <c r="C233" s="5">
        <v>-278035</v>
      </c>
    </row>
    <row r="234" spans="1:3" x14ac:dyDescent="0.25">
      <c r="A234" s="23">
        <f t="shared" si="1"/>
        <v>43497</v>
      </c>
      <c r="B234" s="5" t="s">
        <v>143</v>
      </c>
      <c r="C234" s="5">
        <v>-88681</v>
      </c>
    </row>
    <row r="235" spans="1:3" x14ac:dyDescent="0.25">
      <c r="A235" s="23">
        <f t="shared" si="1"/>
        <v>43497</v>
      </c>
      <c r="B235" s="5" t="s">
        <v>144</v>
      </c>
      <c r="C235" s="5">
        <v>-92842</v>
      </c>
    </row>
    <row r="236" spans="1:3" x14ac:dyDescent="0.25">
      <c r="A236" s="23">
        <f t="shared" si="1"/>
        <v>43497</v>
      </c>
      <c r="B236" s="5" t="s">
        <v>145</v>
      </c>
      <c r="C236" s="5">
        <v>-171518</v>
      </c>
    </row>
    <row r="237" spans="1:3" x14ac:dyDescent="0.25">
      <c r="A237" s="23">
        <f t="shared" si="1"/>
        <v>43497</v>
      </c>
      <c r="B237" s="5" t="s">
        <v>146</v>
      </c>
      <c r="C237" s="5">
        <v>-158905</v>
      </c>
    </row>
    <row r="238" spans="1:3" x14ac:dyDescent="0.25">
      <c r="A238" s="23">
        <f t="shared" si="1"/>
        <v>43497</v>
      </c>
      <c r="B238" s="5" t="s">
        <v>147</v>
      </c>
      <c r="C238" s="5">
        <v>-159695</v>
      </c>
    </row>
    <row r="239" spans="1:3" x14ac:dyDescent="0.25">
      <c r="A239" s="23">
        <f t="shared" si="1"/>
        <v>43497</v>
      </c>
      <c r="B239" s="5" t="s">
        <v>148</v>
      </c>
      <c r="C239" s="5">
        <v>-280290</v>
      </c>
    </row>
    <row r="240" spans="1:3" x14ac:dyDescent="0.25">
      <c r="A240" s="23">
        <f t="shared" si="1"/>
        <v>43497</v>
      </c>
      <c r="B240" s="5" t="s">
        <v>149</v>
      </c>
      <c r="C240" s="5">
        <v>-208415</v>
      </c>
    </row>
    <row r="241" spans="1:3" x14ac:dyDescent="0.25">
      <c r="A241" s="23">
        <f t="shared" si="1"/>
        <v>43497</v>
      </c>
      <c r="B241" s="5" t="s">
        <v>150</v>
      </c>
      <c r="C241" s="5">
        <v>-269042</v>
      </c>
    </row>
    <row r="242" spans="1:3" x14ac:dyDescent="0.25">
      <c r="A242" s="23">
        <f t="shared" si="1"/>
        <v>43497</v>
      </c>
      <c r="B242" s="5" t="s">
        <v>151</v>
      </c>
      <c r="C242" s="5">
        <v>-235949</v>
      </c>
    </row>
    <row r="243" spans="1:3" x14ac:dyDescent="0.25">
      <c r="A243" s="23">
        <f t="shared" si="1"/>
        <v>43497</v>
      </c>
      <c r="B243" s="5" t="s">
        <v>152</v>
      </c>
      <c r="C243" s="5">
        <v>-178079</v>
      </c>
    </row>
    <row r="244" spans="1:3" x14ac:dyDescent="0.25">
      <c r="A244" s="23">
        <f t="shared" si="1"/>
        <v>43497</v>
      </c>
      <c r="B244" s="5" t="s">
        <v>153</v>
      </c>
      <c r="C244" s="5">
        <v>-228731</v>
      </c>
    </row>
    <row r="245" spans="1:3" x14ac:dyDescent="0.25">
      <c r="A245" s="23">
        <f t="shared" si="1"/>
        <v>43497</v>
      </c>
      <c r="B245" s="5" t="s">
        <v>154</v>
      </c>
      <c r="C245" s="5">
        <v>-149633</v>
      </c>
    </row>
    <row r="246" spans="1:3" x14ac:dyDescent="0.25">
      <c r="A246" s="23">
        <f t="shared" si="1"/>
        <v>43497</v>
      </c>
      <c r="B246" s="5" t="s">
        <v>155</v>
      </c>
      <c r="C246" s="5">
        <v>-100795</v>
      </c>
    </row>
    <row r="247" spans="1:3" x14ac:dyDescent="0.25">
      <c r="A247" s="23">
        <f t="shared" si="1"/>
        <v>43497</v>
      </c>
      <c r="B247" s="5" t="s">
        <v>156</v>
      </c>
      <c r="C247" s="5">
        <v>-141357</v>
      </c>
    </row>
    <row r="248" spans="1:3" x14ac:dyDescent="0.25">
      <c r="A248" s="23">
        <f t="shared" si="1"/>
        <v>43497</v>
      </c>
      <c r="B248" s="5" t="s">
        <v>157</v>
      </c>
      <c r="C248" s="5">
        <v>-105180</v>
      </c>
    </row>
    <row r="249" spans="1:3" x14ac:dyDescent="0.25">
      <c r="A249" s="23">
        <f t="shared" si="1"/>
        <v>43497</v>
      </c>
      <c r="B249" s="5" t="s">
        <v>158</v>
      </c>
      <c r="C249" s="5">
        <v>-141755</v>
      </c>
    </row>
    <row r="250" spans="1:3" x14ac:dyDescent="0.25">
      <c r="A250" s="23">
        <f t="shared" si="1"/>
        <v>43497</v>
      </c>
      <c r="B250" s="5" t="s">
        <v>159</v>
      </c>
      <c r="C250" s="5">
        <v>-175025</v>
      </c>
    </row>
    <row r="251" spans="1:3" x14ac:dyDescent="0.25">
      <c r="A251" s="23">
        <f t="shared" si="1"/>
        <v>43497</v>
      </c>
      <c r="B251" s="5" t="s">
        <v>160</v>
      </c>
      <c r="C251" s="5">
        <v>-198152</v>
      </c>
    </row>
    <row r="252" spans="1:3" x14ac:dyDescent="0.25">
      <c r="A252" s="23">
        <f t="shared" si="1"/>
        <v>43497</v>
      </c>
      <c r="B252" s="5" t="s">
        <v>161</v>
      </c>
      <c r="C252" s="5">
        <v>-154519</v>
      </c>
    </row>
    <row r="253" spans="1:3" x14ac:dyDescent="0.25">
      <c r="A253" s="23">
        <f t="shared" si="1"/>
        <v>43497</v>
      </c>
      <c r="B253" s="5" t="s">
        <v>162</v>
      </c>
      <c r="C253" s="5">
        <v>-97441</v>
      </c>
    </row>
    <row r="254" spans="1:3" x14ac:dyDescent="0.25">
      <c r="A254" s="23">
        <f t="shared" si="1"/>
        <v>43497</v>
      </c>
      <c r="B254" s="5" t="s">
        <v>163</v>
      </c>
      <c r="C254" s="5">
        <v>-113359</v>
      </c>
    </row>
    <row r="255" spans="1:3" x14ac:dyDescent="0.25">
      <c r="A255" s="23">
        <f t="shared" si="1"/>
        <v>43497</v>
      </c>
      <c r="B255" s="5" t="s">
        <v>164</v>
      </c>
      <c r="C255" s="5">
        <v>-54554</v>
      </c>
    </row>
    <row r="256" spans="1:3" x14ac:dyDescent="0.25">
      <c r="A256" s="23">
        <f t="shared" si="1"/>
        <v>43497</v>
      </c>
      <c r="B256" s="5" t="s">
        <v>165</v>
      </c>
      <c r="C256" s="5">
        <v>-54649</v>
      </c>
    </row>
    <row r="257" spans="1:3" x14ac:dyDescent="0.25">
      <c r="A257" s="23">
        <f t="shared" si="1"/>
        <v>43497</v>
      </c>
      <c r="B257" s="5" t="s">
        <v>166</v>
      </c>
      <c r="C257" s="5">
        <v>-62519</v>
      </c>
    </row>
    <row r="258" spans="1:3" x14ac:dyDescent="0.25">
      <c r="A258" s="23">
        <f t="shared" si="1"/>
        <v>43497</v>
      </c>
      <c r="B258" s="5" t="s">
        <v>167</v>
      </c>
      <c r="C258" s="5">
        <v>-147863</v>
      </c>
    </row>
    <row r="259" spans="1:3" x14ac:dyDescent="0.25">
      <c r="A259" s="23">
        <f t="shared" si="1"/>
        <v>43497</v>
      </c>
      <c r="B259" s="5" t="s">
        <v>168</v>
      </c>
      <c r="C259" s="5">
        <v>-128502</v>
      </c>
    </row>
    <row r="260" spans="1:3" x14ac:dyDescent="0.25">
      <c r="A260" s="23">
        <f t="shared" si="1"/>
        <v>43497</v>
      </c>
      <c r="B260" s="5" t="s">
        <v>169</v>
      </c>
      <c r="C260" s="5">
        <v>-107468</v>
      </c>
    </row>
    <row r="261" spans="1:3" x14ac:dyDescent="0.25">
      <c r="A261" s="23">
        <f t="shared" si="1"/>
        <v>43497</v>
      </c>
      <c r="B261" s="5" t="s">
        <v>170</v>
      </c>
      <c r="C261" s="5">
        <v>-94611</v>
      </c>
    </row>
    <row r="262" spans="1:3" x14ac:dyDescent="0.25">
      <c r="A262" s="23">
        <f t="shared" si="1"/>
        <v>43497</v>
      </c>
      <c r="B262" s="5" t="s">
        <v>171</v>
      </c>
      <c r="C262" s="5">
        <v>-176114</v>
      </c>
    </row>
    <row r="263" spans="1:3" x14ac:dyDescent="0.25">
      <c r="A263" s="23">
        <f t="shared" si="1"/>
        <v>43497</v>
      </c>
      <c r="B263" s="5" t="s">
        <v>172</v>
      </c>
      <c r="C263" s="5">
        <v>-235782</v>
      </c>
    </row>
    <row r="264" spans="1:3" x14ac:dyDescent="0.25">
      <c r="A264" s="23">
        <f t="shared" si="1"/>
        <v>43497</v>
      </c>
      <c r="B264" s="5" t="s">
        <v>173</v>
      </c>
      <c r="C264" s="5">
        <v>-43640</v>
      </c>
    </row>
    <row r="265" spans="1:3" x14ac:dyDescent="0.25">
      <c r="A265" s="23">
        <f t="shared" si="1"/>
        <v>43497</v>
      </c>
      <c r="B265" s="5" t="s">
        <v>174</v>
      </c>
      <c r="C265" s="5">
        <v>-44617</v>
      </c>
    </row>
    <row r="266" spans="1:3" x14ac:dyDescent="0.25">
      <c r="A266" s="23">
        <f t="shared" si="1"/>
        <v>43497</v>
      </c>
      <c r="B266" s="5" t="s">
        <v>175</v>
      </c>
      <c r="C266" s="5">
        <v>-43484</v>
      </c>
    </row>
    <row r="267" spans="1:3" x14ac:dyDescent="0.25">
      <c r="A267" s="23">
        <f t="shared" si="1"/>
        <v>43497</v>
      </c>
      <c r="B267" s="5" t="s">
        <v>176</v>
      </c>
      <c r="C267" s="5">
        <v>-44437</v>
      </c>
    </row>
    <row r="268" spans="1:3" x14ac:dyDescent="0.25">
      <c r="A268" s="23">
        <f t="shared" si="1"/>
        <v>43497</v>
      </c>
      <c r="B268" s="5" t="s">
        <v>177</v>
      </c>
      <c r="C268" s="5">
        <v>-44202</v>
      </c>
    </row>
    <row r="269" spans="1:3" x14ac:dyDescent="0.25">
      <c r="A269" s="23">
        <f t="shared" si="1"/>
        <v>43497</v>
      </c>
      <c r="B269" s="5" t="s">
        <v>178</v>
      </c>
      <c r="C269" s="5">
        <v>-184115</v>
      </c>
    </row>
    <row r="270" spans="1:3" x14ac:dyDescent="0.25">
      <c r="A270" s="23">
        <f t="shared" si="1"/>
        <v>43497</v>
      </c>
      <c r="B270" s="5" t="s">
        <v>179</v>
      </c>
      <c r="C270" s="5">
        <v>-209547</v>
      </c>
    </row>
    <row r="271" spans="1:3" x14ac:dyDescent="0.25">
      <c r="A271" s="23">
        <f t="shared" ref="A271:A334" si="2">EDATE(A131,1)</f>
        <v>43497</v>
      </c>
      <c r="B271" s="5" t="s">
        <v>180</v>
      </c>
      <c r="C271" s="5">
        <v>-180557</v>
      </c>
    </row>
    <row r="272" spans="1:3" x14ac:dyDescent="0.25">
      <c r="A272" s="23">
        <f t="shared" si="2"/>
        <v>43497</v>
      </c>
      <c r="B272" s="5" t="s">
        <v>181</v>
      </c>
      <c r="C272" s="5">
        <v>-87650</v>
      </c>
    </row>
    <row r="273" spans="1:3" x14ac:dyDescent="0.25">
      <c r="A273" s="23">
        <f t="shared" si="2"/>
        <v>43497</v>
      </c>
      <c r="B273" s="5" t="s">
        <v>182</v>
      </c>
      <c r="C273" s="5">
        <v>-71293</v>
      </c>
    </row>
    <row r="274" spans="1:3" x14ac:dyDescent="0.25">
      <c r="A274" s="23">
        <f t="shared" si="2"/>
        <v>43497</v>
      </c>
      <c r="B274" s="5" t="s">
        <v>183</v>
      </c>
      <c r="C274" s="5">
        <v>-75751</v>
      </c>
    </row>
    <row r="275" spans="1:3" x14ac:dyDescent="0.25">
      <c r="A275" s="23">
        <f t="shared" si="2"/>
        <v>43497</v>
      </c>
      <c r="B275" s="5" t="s">
        <v>184</v>
      </c>
      <c r="C275" s="5">
        <v>-55776</v>
      </c>
    </row>
    <row r="276" spans="1:3" x14ac:dyDescent="0.25">
      <c r="A276" s="23">
        <f t="shared" si="2"/>
        <v>43497</v>
      </c>
      <c r="B276" s="5" t="s">
        <v>185</v>
      </c>
      <c r="C276" s="5">
        <v>-108929</v>
      </c>
    </row>
    <row r="277" spans="1:3" x14ac:dyDescent="0.25">
      <c r="A277" s="23">
        <f t="shared" si="2"/>
        <v>43497</v>
      </c>
      <c r="B277" s="5" t="s">
        <v>186</v>
      </c>
      <c r="C277" s="5">
        <v>-81581</v>
      </c>
    </row>
    <row r="278" spans="1:3" x14ac:dyDescent="0.25">
      <c r="A278" s="23">
        <f t="shared" si="2"/>
        <v>43497</v>
      </c>
      <c r="B278" s="5" t="s">
        <v>187</v>
      </c>
      <c r="C278" s="5">
        <v>-155281</v>
      </c>
    </row>
    <row r="279" spans="1:3" x14ac:dyDescent="0.25">
      <c r="A279" s="23">
        <f t="shared" si="2"/>
        <v>43497</v>
      </c>
      <c r="B279" s="5" t="s">
        <v>188</v>
      </c>
      <c r="C279" s="5">
        <v>-121665</v>
      </c>
    </row>
    <row r="280" spans="1:3" x14ac:dyDescent="0.25">
      <c r="A280" s="23">
        <f t="shared" si="2"/>
        <v>43497</v>
      </c>
      <c r="B280" s="5" t="s">
        <v>189</v>
      </c>
      <c r="C280" s="5">
        <v>-11187</v>
      </c>
    </row>
    <row r="281" spans="1:3" x14ac:dyDescent="0.25">
      <c r="A281" s="23">
        <f t="shared" si="2"/>
        <v>43497</v>
      </c>
      <c r="B281" s="5" t="s">
        <v>190</v>
      </c>
      <c r="C281" s="5">
        <v>-23811</v>
      </c>
    </row>
    <row r="282" spans="1:3" x14ac:dyDescent="0.25">
      <c r="A282" s="23">
        <f t="shared" si="2"/>
        <v>43525</v>
      </c>
      <c r="B282" s="5" t="s">
        <v>51</v>
      </c>
      <c r="C282" s="5">
        <v>949396</v>
      </c>
    </row>
    <row r="283" spans="1:3" x14ac:dyDescent="0.25">
      <c r="A283" s="23">
        <f t="shared" si="2"/>
        <v>43525</v>
      </c>
      <c r="B283" s="5" t="s">
        <v>52</v>
      </c>
      <c r="C283" s="5">
        <v>687028</v>
      </c>
    </row>
    <row r="284" spans="1:3" x14ac:dyDescent="0.25">
      <c r="A284" s="23">
        <f t="shared" si="2"/>
        <v>43525</v>
      </c>
      <c r="B284" s="5" t="s">
        <v>53</v>
      </c>
      <c r="C284" s="5">
        <v>290160</v>
      </c>
    </row>
    <row r="285" spans="1:3" x14ac:dyDescent="0.25">
      <c r="A285" s="23">
        <f t="shared" si="2"/>
        <v>43525</v>
      </c>
      <c r="B285" s="5" t="s">
        <v>54</v>
      </c>
      <c r="C285" s="5">
        <v>762932</v>
      </c>
    </row>
    <row r="286" spans="1:3" x14ac:dyDescent="0.25">
      <c r="A286" s="23">
        <f t="shared" si="2"/>
        <v>43525</v>
      </c>
      <c r="B286" s="5" t="s">
        <v>55</v>
      </c>
      <c r="C286" s="5">
        <v>996627</v>
      </c>
    </row>
    <row r="287" spans="1:3" x14ac:dyDescent="0.25">
      <c r="A287" s="23">
        <f t="shared" si="2"/>
        <v>43525</v>
      </c>
      <c r="B287" s="5" t="s">
        <v>56</v>
      </c>
      <c r="C287" s="5">
        <v>664059</v>
      </c>
    </row>
    <row r="288" spans="1:3" x14ac:dyDescent="0.25">
      <c r="A288" s="23">
        <f t="shared" si="2"/>
        <v>43525</v>
      </c>
      <c r="B288" s="5" t="s">
        <v>57</v>
      </c>
      <c r="C288" s="5">
        <v>406243</v>
      </c>
    </row>
    <row r="289" spans="1:3" x14ac:dyDescent="0.25">
      <c r="A289" s="23">
        <f t="shared" si="2"/>
        <v>43525</v>
      </c>
      <c r="B289" s="5" t="s">
        <v>58</v>
      </c>
      <c r="C289" s="5">
        <v>462584</v>
      </c>
    </row>
    <row r="290" spans="1:3" x14ac:dyDescent="0.25">
      <c r="A290" s="23">
        <f t="shared" si="2"/>
        <v>43525</v>
      </c>
      <c r="B290" s="5" t="s">
        <v>59</v>
      </c>
      <c r="C290" s="5">
        <v>977181</v>
      </c>
    </row>
    <row r="291" spans="1:3" x14ac:dyDescent="0.25">
      <c r="A291" s="23">
        <f t="shared" si="2"/>
        <v>43525</v>
      </c>
      <c r="B291" s="5" t="s">
        <v>60</v>
      </c>
      <c r="C291" s="5">
        <v>885884</v>
      </c>
    </row>
    <row r="292" spans="1:3" x14ac:dyDescent="0.25">
      <c r="A292" s="23">
        <f t="shared" si="2"/>
        <v>43525</v>
      </c>
      <c r="B292" s="5" t="s">
        <v>61</v>
      </c>
      <c r="C292" s="5">
        <v>268473</v>
      </c>
    </row>
    <row r="293" spans="1:3" x14ac:dyDescent="0.25">
      <c r="A293" s="23">
        <f t="shared" si="2"/>
        <v>43525</v>
      </c>
      <c r="B293" s="5" t="s">
        <v>62</v>
      </c>
      <c r="C293" s="5">
        <v>949100</v>
      </c>
    </row>
    <row r="294" spans="1:3" x14ac:dyDescent="0.25">
      <c r="A294" s="23">
        <f t="shared" si="2"/>
        <v>43525</v>
      </c>
      <c r="B294" s="5" t="s">
        <v>63</v>
      </c>
      <c r="C294" s="5">
        <v>903695</v>
      </c>
    </row>
    <row r="295" spans="1:3" x14ac:dyDescent="0.25">
      <c r="A295" s="23">
        <f t="shared" si="2"/>
        <v>43525</v>
      </c>
      <c r="B295" s="5" t="s">
        <v>64</v>
      </c>
      <c r="C295" s="5">
        <v>804634</v>
      </c>
    </row>
    <row r="296" spans="1:3" x14ac:dyDescent="0.25">
      <c r="A296" s="23">
        <f t="shared" si="2"/>
        <v>43525</v>
      </c>
      <c r="B296" s="5" t="s">
        <v>65</v>
      </c>
      <c r="C296" s="5">
        <v>946090</v>
      </c>
    </row>
    <row r="297" spans="1:3" x14ac:dyDescent="0.25">
      <c r="A297" s="23">
        <f t="shared" si="2"/>
        <v>43525</v>
      </c>
      <c r="B297" s="5" t="s">
        <v>66</v>
      </c>
      <c r="C297" s="5">
        <v>802941</v>
      </c>
    </row>
    <row r="298" spans="1:3" x14ac:dyDescent="0.25">
      <c r="A298" s="23">
        <f t="shared" si="2"/>
        <v>43525</v>
      </c>
      <c r="B298" s="5" t="s">
        <v>67</v>
      </c>
      <c r="C298" s="5">
        <v>836946</v>
      </c>
    </row>
    <row r="299" spans="1:3" x14ac:dyDescent="0.25">
      <c r="A299" s="23">
        <f t="shared" si="2"/>
        <v>43525</v>
      </c>
      <c r="B299" s="5" t="s">
        <v>68</v>
      </c>
      <c r="C299" s="5">
        <v>741710</v>
      </c>
    </row>
    <row r="300" spans="1:3" x14ac:dyDescent="0.25">
      <c r="A300" s="23">
        <f t="shared" si="2"/>
        <v>43525</v>
      </c>
      <c r="B300" s="5" t="s">
        <v>69</v>
      </c>
      <c r="C300" s="5">
        <v>466211</v>
      </c>
    </row>
    <row r="301" spans="1:3" x14ac:dyDescent="0.25">
      <c r="A301" s="23">
        <f t="shared" si="2"/>
        <v>43525</v>
      </c>
      <c r="B301" s="5" t="s">
        <v>70</v>
      </c>
      <c r="C301" s="5">
        <v>411430</v>
      </c>
    </row>
    <row r="302" spans="1:3" x14ac:dyDescent="0.25">
      <c r="A302" s="23">
        <f t="shared" si="2"/>
        <v>43525</v>
      </c>
      <c r="B302" s="5" t="s">
        <v>71</v>
      </c>
      <c r="C302" s="5">
        <v>792058</v>
      </c>
    </row>
    <row r="303" spans="1:3" x14ac:dyDescent="0.25">
      <c r="A303" s="23">
        <f t="shared" si="2"/>
        <v>43525</v>
      </c>
      <c r="B303" s="5" t="s">
        <v>72</v>
      </c>
      <c r="C303" s="5">
        <v>771585</v>
      </c>
    </row>
    <row r="304" spans="1:3" x14ac:dyDescent="0.25">
      <c r="A304" s="23">
        <f t="shared" si="2"/>
        <v>43525</v>
      </c>
      <c r="B304" s="5" t="s">
        <v>73</v>
      </c>
      <c r="C304" s="5">
        <v>138878</v>
      </c>
    </row>
    <row r="305" spans="1:3" x14ac:dyDescent="0.25">
      <c r="A305" s="23">
        <f t="shared" si="2"/>
        <v>43525</v>
      </c>
      <c r="B305" s="5" t="s">
        <v>74</v>
      </c>
      <c r="C305" s="5">
        <v>280991</v>
      </c>
    </row>
    <row r="306" spans="1:3" x14ac:dyDescent="0.25">
      <c r="A306" s="23">
        <f t="shared" si="2"/>
        <v>43525</v>
      </c>
      <c r="B306" s="5" t="s">
        <v>75</v>
      </c>
      <c r="C306" s="5">
        <v>242157</v>
      </c>
    </row>
    <row r="307" spans="1:3" x14ac:dyDescent="0.25">
      <c r="A307" s="23">
        <f t="shared" si="2"/>
        <v>43525</v>
      </c>
      <c r="B307" s="5" t="s">
        <v>76</v>
      </c>
      <c r="C307" s="5">
        <v>234256</v>
      </c>
    </row>
    <row r="308" spans="1:3" x14ac:dyDescent="0.25">
      <c r="A308" s="23">
        <f t="shared" si="2"/>
        <v>43525</v>
      </c>
      <c r="B308" s="5" t="s">
        <v>77</v>
      </c>
      <c r="C308" s="5">
        <v>154911</v>
      </c>
    </row>
    <row r="309" spans="1:3" x14ac:dyDescent="0.25">
      <c r="A309" s="23">
        <f t="shared" si="2"/>
        <v>43525</v>
      </c>
      <c r="B309" s="5" t="s">
        <v>78</v>
      </c>
      <c r="C309" s="5">
        <v>170312</v>
      </c>
    </row>
    <row r="310" spans="1:3" x14ac:dyDescent="0.25">
      <c r="A310" s="23">
        <f t="shared" si="2"/>
        <v>43525</v>
      </c>
      <c r="B310" s="5" t="s">
        <v>79</v>
      </c>
      <c r="C310" s="5">
        <v>74528</v>
      </c>
    </row>
    <row r="311" spans="1:3" x14ac:dyDescent="0.25">
      <c r="A311" s="23">
        <f t="shared" si="2"/>
        <v>43525</v>
      </c>
      <c r="B311" s="5" t="s">
        <v>80</v>
      </c>
      <c r="C311" s="5">
        <v>172549</v>
      </c>
    </row>
    <row r="312" spans="1:3" x14ac:dyDescent="0.25">
      <c r="A312" s="23">
        <f t="shared" si="2"/>
        <v>43525</v>
      </c>
      <c r="B312" s="5" t="s">
        <v>81</v>
      </c>
      <c r="C312" s="5">
        <v>129525</v>
      </c>
    </row>
    <row r="313" spans="1:3" x14ac:dyDescent="0.25">
      <c r="A313" s="23">
        <f t="shared" si="2"/>
        <v>43525</v>
      </c>
      <c r="B313" s="5" t="s">
        <v>82</v>
      </c>
      <c r="C313" s="5">
        <v>78900</v>
      </c>
    </row>
    <row r="314" spans="1:3" x14ac:dyDescent="0.25">
      <c r="A314" s="23">
        <f t="shared" si="2"/>
        <v>43525</v>
      </c>
      <c r="B314" s="5" t="s">
        <v>83</v>
      </c>
      <c r="C314" s="5">
        <v>274794</v>
      </c>
    </row>
    <row r="315" spans="1:3" x14ac:dyDescent="0.25">
      <c r="A315" s="23">
        <f t="shared" si="2"/>
        <v>43525</v>
      </c>
      <c r="B315" s="5" t="s">
        <v>84</v>
      </c>
      <c r="C315" s="5">
        <v>235077</v>
      </c>
    </row>
    <row r="316" spans="1:3" x14ac:dyDescent="0.25">
      <c r="A316" s="23">
        <f t="shared" si="2"/>
        <v>43525</v>
      </c>
      <c r="B316" s="5" t="s">
        <v>85</v>
      </c>
      <c r="C316" s="5">
        <v>254719</v>
      </c>
    </row>
    <row r="317" spans="1:3" x14ac:dyDescent="0.25">
      <c r="A317" s="23">
        <f t="shared" si="2"/>
        <v>43525</v>
      </c>
      <c r="B317" s="5" t="s">
        <v>86</v>
      </c>
      <c r="C317" s="5">
        <v>179036</v>
      </c>
    </row>
    <row r="318" spans="1:3" x14ac:dyDescent="0.25">
      <c r="A318" s="23">
        <f t="shared" si="2"/>
        <v>43525</v>
      </c>
      <c r="B318" s="5" t="s">
        <v>87</v>
      </c>
      <c r="C318" s="5">
        <v>89739</v>
      </c>
    </row>
    <row r="319" spans="1:3" x14ac:dyDescent="0.25">
      <c r="A319" s="23">
        <f t="shared" si="2"/>
        <v>43525</v>
      </c>
      <c r="B319" s="5" t="s">
        <v>88</v>
      </c>
      <c r="C319" s="5">
        <v>124553</v>
      </c>
    </row>
    <row r="320" spans="1:3" x14ac:dyDescent="0.25">
      <c r="A320" s="23">
        <f t="shared" si="2"/>
        <v>43525</v>
      </c>
      <c r="B320" s="5" t="s">
        <v>89</v>
      </c>
      <c r="C320" s="5">
        <v>67949</v>
      </c>
    </row>
    <row r="321" spans="1:3" x14ac:dyDescent="0.25">
      <c r="A321" s="23">
        <f t="shared" si="2"/>
        <v>43525</v>
      </c>
      <c r="B321" s="5" t="s">
        <v>90</v>
      </c>
      <c r="C321" s="5">
        <v>132617</v>
      </c>
    </row>
    <row r="322" spans="1:3" x14ac:dyDescent="0.25">
      <c r="A322" s="23">
        <f t="shared" si="2"/>
        <v>43525</v>
      </c>
      <c r="B322" s="5" t="s">
        <v>91</v>
      </c>
      <c r="C322" s="5">
        <v>76426</v>
      </c>
    </row>
    <row r="323" spans="1:3" x14ac:dyDescent="0.25">
      <c r="A323" s="23">
        <f t="shared" si="2"/>
        <v>43525</v>
      </c>
      <c r="B323" s="5" t="s">
        <v>92</v>
      </c>
      <c r="C323" s="5">
        <v>196052</v>
      </c>
    </row>
    <row r="324" spans="1:3" x14ac:dyDescent="0.25">
      <c r="A324" s="23">
        <f t="shared" si="2"/>
        <v>43525</v>
      </c>
      <c r="B324" s="5" t="s">
        <v>93</v>
      </c>
      <c r="C324" s="5">
        <v>54058</v>
      </c>
    </row>
    <row r="325" spans="1:3" x14ac:dyDescent="0.25">
      <c r="A325" s="23">
        <f t="shared" si="2"/>
        <v>43525</v>
      </c>
      <c r="B325" s="5" t="s">
        <v>94</v>
      </c>
      <c r="C325" s="5">
        <v>288709</v>
      </c>
    </row>
    <row r="326" spans="1:3" x14ac:dyDescent="0.25">
      <c r="A326" s="23">
        <f t="shared" si="2"/>
        <v>43525</v>
      </c>
      <c r="B326" s="5" t="s">
        <v>95</v>
      </c>
      <c r="C326" s="5">
        <v>214235</v>
      </c>
    </row>
    <row r="327" spans="1:3" x14ac:dyDescent="0.25">
      <c r="A327" s="23">
        <f t="shared" si="2"/>
        <v>43525</v>
      </c>
      <c r="B327" s="5" t="s">
        <v>96</v>
      </c>
      <c r="C327" s="5">
        <v>67731</v>
      </c>
    </row>
    <row r="328" spans="1:3" x14ac:dyDescent="0.25">
      <c r="A328" s="23">
        <f t="shared" si="2"/>
        <v>43525</v>
      </c>
      <c r="B328" s="5" t="s">
        <v>97</v>
      </c>
      <c r="C328" s="5">
        <v>240182</v>
      </c>
    </row>
    <row r="329" spans="1:3" x14ac:dyDescent="0.25">
      <c r="A329" s="23">
        <f t="shared" si="2"/>
        <v>43525</v>
      </c>
      <c r="B329" s="5" t="s">
        <v>98</v>
      </c>
      <c r="C329" s="5">
        <v>173146</v>
      </c>
    </row>
    <row r="330" spans="1:3" x14ac:dyDescent="0.25">
      <c r="A330" s="23">
        <f t="shared" si="2"/>
        <v>43525</v>
      </c>
      <c r="B330" s="5" t="s">
        <v>99</v>
      </c>
      <c r="C330" s="5">
        <v>88066</v>
      </c>
    </row>
    <row r="331" spans="1:3" x14ac:dyDescent="0.25">
      <c r="A331" s="23">
        <f t="shared" si="2"/>
        <v>43525</v>
      </c>
      <c r="B331" s="5" t="s">
        <v>100</v>
      </c>
      <c r="C331" s="5">
        <v>274493</v>
      </c>
    </row>
    <row r="332" spans="1:3" x14ac:dyDescent="0.25">
      <c r="A332" s="23">
        <f t="shared" si="2"/>
        <v>43525</v>
      </c>
      <c r="B332" s="5" t="s">
        <v>101</v>
      </c>
      <c r="C332" s="5">
        <v>68235</v>
      </c>
    </row>
    <row r="333" spans="1:3" x14ac:dyDescent="0.25">
      <c r="A333" s="23">
        <f t="shared" si="2"/>
        <v>43525</v>
      </c>
      <c r="B333" s="5" t="s">
        <v>102</v>
      </c>
      <c r="C333" s="5">
        <v>154919</v>
      </c>
    </row>
    <row r="334" spans="1:3" x14ac:dyDescent="0.25">
      <c r="A334" s="23">
        <f t="shared" si="2"/>
        <v>43525</v>
      </c>
      <c r="B334" s="5" t="s">
        <v>103</v>
      </c>
      <c r="C334" s="5">
        <v>238340</v>
      </c>
    </row>
    <row r="335" spans="1:3" x14ac:dyDescent="0.25">
      <c r="A335" s="23">
        <f t="shared" ref="A335:A398" si="3">EDATE(A195,1)</f>
        <v>43525</v>
      </c>
      <c r="B335" s="5" t="s">
        <v>104</v>
      </c>
      <c r="C335" s="5">
        <v>280046</v>
      </c>
    </row>
    <row r="336" spans="1:3" x14ac:dyDescent="0.25">
      <c r="A336" s="23">
        <f t="shared" si="3"/>
        <v>43525</v>
      </c>
      <c r="B336" s="5" t="s">
        <v>105</v>
      </c>
      <c r="C336" s="5">
        <v>200569</v>
      </c>
    </row>
    <row r="337" spans="1:3" x14ac:dyDescent="0.25">
      <c r="A337" s="23">
        <f t="shared" si="3"/>
        <v>43525</v>
      </c>
      <c r="B337" s="5" t="s">
        <v>106</v>
      </c>
      <c r="C337" s="5">
        <v>53697</v>
      </c>
    </row>
    <row r="338" spans="1:3" x14ac:dyDescent="0.25">
      <c r="A338" s="23">
        <f t="shared" si="3"/>
        <v>43525</v>
      </c>
      <c r="B338" s="5" t="s">
        <v>107</v>
      </c>
      <c r="C338" s="5">
        <v>220366</v>
      </c>
    </row>
    <row r="339" spans="1:3" x14ac:dyDescent="0.25">
      <c r="A339" s="23">
        <f t="shared" si="3"/>
        <v>43525</v>
      </c>
      <c r="B339" s="5" t="s">
        <v>108</v>
      </c>
      <c r="C339" s="5">
        <v>212068</v>
      </c>
    </row>
    <row r="340" spans="1:3" x14ac:dyDescent="0.25">
      <c r="A340" s="23">
        <f t="shared" si="3"/>
        <v>43525</v>
      </c>
      <c r="B340" s="5" t="s">
        <v>109</v>
      </c>
      <c r="C340" s="5">
        <v>62324</v>
      </c>
    </row>
    <row r="341" spans="1:3" x14ac:dyDescent="0.25">
      <c r="A341" s="23">
        <f t="shared" si="3"/>
        <v>43525</v>
      </c>
      <c r="B341" s="5" t="s">
        <v>110</v>
      </c>
      <c r="C341" s="5">
        <v>-2580</v>
      </c>
    </row>
    <row r="342" spans="1:3" x14ac:dyDescent="0.25">
      <c r="A342" s="23">
        <f t="shared" si="3"/>
        <v>43525</v>
      </c>
      <c r="B342" s="5" t="s">
        <v>111</v>
      </c>
      <c r="C342" s="5">
        <v>-1103</v>
      </c>
    </row>
    <row r="343" spans="1:3" x14ac:dyDescent="0.25">
      <c r="A343" s="23">
        <f t="shared" si="3"/>
        <v>43525</v>
      </c>
      <c r="B343" s="5" t="s">
        <v>112</v>
      </c>
      <c r="C343" s="5">
        <v>-2106</v>
      </c>
    </row>
    <row r="344" spans="1:3" x14ac:dyDescent="0.25">
      <c r="A344" s="23">
        <f t="shared" si="3"/>
        <v>43525</v>
      </c>
      <c r="B344" s="5" t="s">
        <v>113</v>
      </c>
      <c r="C344" s="5">
        <v>-3775</v>
      </c>
    </row>
    <row r="345" spans="1:3" x14ac:dyDescent="0.25">
      <c r="A345" s="23">
        <f t="shared" si="3"/>
        <v>43525</v>
      </c>
      <c r="B345" s="5" t="s">
        <v>114</v>
      </c>
      <c r="C345" s="5">
        <v>-5095</v>
      </c>
    </row>
    <row r="346" spans="1:3" x14ac:dyDescent="0.25">
      <c r="A346" s="23">
        <f t="shared" si="3"/>
        <v>43525</v>
      </c>
      <c r="B346" s="5" t="s">
        <v>115</v>
      </c>
      <c r="C346" s="5">
        <v>-8648</v>
      </c>
    </row>
    <row r="347" spans="1:3" x14ac:dyDescent="0.25">
      <c r="A347" s="23">
        <f t="shared" si="3"/>
        <v>43525</v>
      </c>
      <c r="B347" s="5" t="s">
        <v>116</v>
      </c>
      <c r="C347" s="5">
        <v>-9433</v>
      </c>
    </row>
    <row r="348" spans="1:3" x14ac:dyDescent="0.25">
      <c r="A348" s="23">
        <f t="shared" si="3"/>
        <v>43525</v>
      </c>
      <c r="B348" s="5" t="s">
        <v>117</v>
      </c>
      <c r="C348" s="5">
        <v>-6004</v>
      </c>
    </row>
    <row r="349" spans="1:3" x14ac:dyDescent="0.25">
      <c r="A349" s="23">
        <f t="shared" si="3"/>
        <v>43525</v>
      </c>
      <c r="B349" s="5" t="s">
        <v>118</v>
      </c>
      <c r="C349" s="5">
        <v>-1278</v>
      </c>
    </row>
    <row r="350" spans="1:3" x14ac:dyDescent="0.25">
      <c r="A350" s="23">
        <f t="shared" si="3"/>
        <v>43525</v>
      </c>
      <c r="B350" s="5" t="s">
        <v>119</v>
      </c>
      <c r="C350" s="5">
        <v>-1227</v>
      </c>
    </row>
    <row r="351" spans="1:3" x14ac:dyDescent="0.25">
      <c r="A351" s="23">
        <f t="shared" si="3"/>
        <v>43525</v>
      </c>
      <c r="B351" s="5" t="s">
        <v>120</v>
      </c>
      <c r="C351" s="5">
        <v>-3830</v>
      </c>
    </row>
    <row r="352" spans="1:3" x14ac:dyDescent="0.25">
      <c r="A352" s="23">
        <f t="shared" si="3"/>
        <v>43525</v>
      </c>
      <c r="B352" s="5" t="s">
        <v>121</v>
      </c>
      <c r="C352" s="5">
        <v>-5406</v>
      </c>
    </row>
    <row r="353" spans="1:3" x14ac:dyDescent="0.25">
      <c r="A353" s="23">
        <f t="shared" si="3"/>
        <v>43525</v>
      </c>
      <c r="B353" s="5" t="s">
        <v>122</v>
      </c>
      <c r="C353" s="5">
        <v>-9901</v>
      </c>
    </row>
    <row r="354" spans="1:3" x14ac:dyDescent="0.25">
      <c r="A354" s="23">
        <f t="shared" si="3"/>
        <v>43525</v>
      </c>
      <c r="B354" s="5" t="s">
        <v>123</v>
      </c>
      <c r="C354" s="5">
        <v>-6762</v>
      </c>
    </row>
    <row r="355" spans="1:3" x14ac:dyDescent="0.25">
      <c r="A355" s="23">
        <f t="shared" si="3"/>
        <v>43525</v>
      </c>
      <c r="B355" s="5" t="s">
        <v>124</v>
      </c>
      <c r="C355" s="5">
        <v>-9704</v>
      </c>
    </row>
    <row r="356" spans="1:3" x14ac:dyDescent="0.25">
      <c r="A356" s="23">
        <f t="shared" si="3"/>
        <v>43525</v>
      </c>
      <c r="B356" s="5" t="s">
        <v>125</v>
      </c>
      <c r="C356" s="5">
        <v>-1079</v>
      </c>
    </row>
    <row r="357" spans="1:3" x14ac:dyDescent="0.25">
      <c r="A357" s="23">
        <f t="shared" si="3"/>
        <v>43525</v>
      </c>
      <c r="B357" s="5" t="s">
        <v>126</v>
      </c>
      <c r="C357" s="5">
        <v>-7819</v>
      </c>
    </row>
    <row r="358" spans="1:3" x14ac:dyDescent="0.25">
      <c r="A358" s="23">
        <f t="shared" si="3"/>
        <v>43525</v>
      </c>
      <c r="B358" s="5" t="s">
        <v>127</v>
      </c>
      <c r="C358" s="5">
        <v>-6689</v>
      </c>
    </row>
    <row r="359" spans="1:3" x14ac:dyDescent="0.25">
      <c r="A359" s="23">
        <f t="shared" si="3"/>
        <v>43525</v>
      </c>
      <c r="B359" s="5" t="s">
        <v>128</v>
      </c>
      <c r="C359" s="5">
        <v>-4450</v>
      </c>
    </row>
    <row r="360" spans="1:3" x14ac:dyDescent="0.25">
      <c r="A360" s="23">
        <f t="shared" si="3"/>
        <v>43525</v>
      </c>
      <c r="B360" s="5" t="s">
        <v>129</v>
      </c>
      <c r="C360" s="5">
        <v>-3799</v>
      </c>
    </row>
    <row r="361" spans="1:3" x14ac:dyDescent="0.25">
      <c r="A361" s="23">
        <f t="shared" si="3"/>
        <v>43525</v>
      </c>
      <c r="B361" s="5" t="s">
        <v>130</v>
      </c>
      <c r="C361" s="5">
        <v>-2035</v>
      </c>
    </row>
    <row r="362" spans="1:3" x14ac:dyDescent="0.25">
      <c r="A362" s="23">
        <f t="shared" si="3"/>
        <v>43525</v>
      </c>
      <c r="B362" s="5" t="s">
        <v>131</v>
      </c>
      <c r="C362" s="5">
        <v>-7232</v>
      </c>
    </row>
    <row r="363" spans="1:3" x14ac:dyDescent="0.25">
      <c r="A363" s="23">
        <f t="shared" si="3"/>
        <v>43525</v>
      </c>
      <c r="B363" s="5" t="s">
        <v>132</v>
      </c>
      <c r="C363" s="5">
        <v>-9059</v>
      </c>
    </row>
    <row r="364" spans="1:3" x14ac:dyDescent="0.25">
      <c r="A364" s="23">
        <f t="shared" si="3"/>
        <v>43525</v>
      </c>
      <c r="B364" s="5" t="s">
        <v>133</v>
      </c>
      <c r="C364" s="5">
        <v>-2398</v>
      </c>
    </row>
    <row r="365" spans="1:3" x14ac:dyDescent="0.25">
      <c r="A365" s="23">
        <f t="shared" si="3"/>
        <v>43525</v>
      </c>
      <c r="B365" s="5" t="s">
        <v>134</v>
      </c>
      <c r="C365" s="5">
        <v>-8439</v>
      </c>
    </row>
    <row r="366" spans="1:3" x14ac:dyDescent="0.25">
      <c r="A366" s="23">
        <f t="shared" si="3"/>
        <v>43525</v>
      </c>
      <c r="B366" s="5" t="s">
        <v>135</v>
      </c>
      <c r="C366" s="5">
        <v>-3872</v>
      </c>
    </row>
    <row r="367" spans="1:3" x14ac:dyDescent="0.25">
      <c r="A367" s="23">
        <f t="shared" si="3"/>
        <v>43525</v>
      </c>
      <c r="B367" s="5" t="s">
        <v>136</v>
      </c>
      <c r="C367" s="5">
        <v>-7000</v>
      </c>
    </row>
    <row r="368" spans="1:3" x14ac:dyDescent="0.25">
      <c r="A368" s="23">
        <f t="shared" si="3"/>
        <v>43525</v>
      </c>
      <c r="B368" s="5" t="s">
        <v>137</v>
      </c>
      <c r="C368" s="5">
        <v>-9051</v>
      </c>
    </row>
    <row r="369" spans="1:3" x14ac:dyDescent="0.25">
      <c r="A369" s="23">
        <f t="shared" si="3"/>
        <v>43525</v>
      </c>
      <c r="B369" s="5" t="s">
        <v>138</v>
      </c>
      <c r="C369" s="5">
        <v>-7130</v>
      </c>
    </row>
    <row r="370" spans="1:3" x14ac:dyDescent="0.25">
      <c r="A370" s="23">
        <f t="shared" si="3"/>
        <v>43525</v>
      </c>
      <c r="B370" s="5" t="s">
        <v>139</v>
      </c>
      <c r="C370" s="5">
        <v>-9382</v>
      </c>
    </row>
    <row r="371" spans="1:3" x14ac:dyDescent="0.25">
      <c r="A371" s="23">
        <f t="shared" si="3"/>
        <v>43525</v>
      </c>
      <c r="B371" s="5" t="s">
        <v>140</v>
      </c>
      <c r="C371" s="5">
        <v>-156011</v>
      </c>
    </row>
    <row r="372" spans="1:3" x14ac:dyDescent="0.25">
      <c r="A372" s="23">
        <f t="shared" si="3"/>
        <v>43525</v>
      </c>
      <c r="B372" s="5" t="s">
        <v>141</v>
      </c>
      <c r="C372" s="5">
        <v>-196081</v>
      </c>
    </row>
    <row r="373" spans="1:3" x14ac:dyDescent="0.25">
      <c r="A373" s="23">
        <f t="shared" si="3"/>
        <v>43525</v>
      </c>
      <c r="B373" s="5" t="s">
        <v>142</v>
      </c>
      <c r="C373" s="5">
        <v>-245765</v>
      </c>
    </row>
    <row r="374" spans="1:3" x14ac:dyDescent="0.25">
      <c r="A374" s="23">
        <f t="shared" si="3"/>
        <v>43525</v>
      </c>
      <c r="B374" s="5" t="s">
        <v>143</v>
      </c>
      <c r="C374" s="5">
        <v>-92936</v>
      </c>
    </row>
    <row r="375" spans="1:3" x14ac:dyDescent="0.25">
      <c r="A375" s="23">
        <f t="shared" si="3"/>
        <v>43525</v>
      </c>
      <c r="B375" s="5" t="s">
        <v>144</v>
      </c>
      <c r="C375" s="5">
        <v>-168884</v>
      </c>
    </row>
    <row r="376" spans="1:3" x14ac:dyDescent="0.25">
      <c r="A376" s="23">
        <f t="shared" si="3"/>
        <v>43525</v>
      </c>
      <c r="B376" s="5" t="s">
        <v>145</v>
      </c>
      <c r="C376" s="5">
        <v>-158457</v>
      </c>
    </row>
    <row r="377" spans="1:3" x14ac:dyDescent="0.25">
      <c r="A377" s="23">
        <f t="shared" si="3"/>
        <v>43525</v>
      </c>
      <c r="B377" s="5" t="s">
        <v>146</v>
      </c>
      <c r="C377" s="5">
        <v>-291798</v>
      </c>
    </row>
    <row r="378" spans="1:3" x14ac:dyDescent="0.25">
      <c r="A378" s="23">
        <f t="shared" si="3"/>
        <v>43525</v>
      </c>
      <c r="B378" s="5" t="s">
        <v>147</v>
      </c>
      <c r="C378" s="5">
        <v>-165411</v>
      </c>
    </row>
    <row r="379" spans="1:3" x14ac:dyDescent="0.25">
      <c r="A379" s="23">
        <f t="shared" si="3"/>
        <v>43525</v>
      </c>
      <c r="B379" s="5" t="s">
        <v>148</v>
      </c>
      <c r="C379" s="5">
        <v>-244382</v>
      </c>
    </row>
    <row r="380" spans="1:3" x14ac:dyDescent="0.25">
      <c r="A380" s="23">
        <f t="shared" si="3"/>
        <v>43525</v>
      </c>
      <c r="B380" s="5" t="s">
        <v>149</v>
      </c>
      <c r="C380" s="5">
        <v>-255632</v>
      </c>
    </row>
    <row r="381" spans="1:3" x14ac:dyDescent="0.25">
      <c r="A381" s="23">
        <f t="shared" si="3"/>
        <v>43525</v>
      </c>
      <c r="B381" s="5" t="s">
        <v>150</v>
      </c>
      <c r="C381" s="5">
        <v>-189099</v>
      </c>
    </row>
    <row r="382" spans="1:3" x14ac:dyDescent="0.25">
      <c r="A382" s="23">
        <f t="shared" si="3"/>
        <v>43525</v>
      </c>
      <c r="B382" s="5" t="s">
        <v>151</v>
      </c>
      <c r="C382" s="5">
        <v>-206158</v>
      </c>
    </row>
    <row r="383" spans="1:3" x14ac:dyDescent="0.25">
      <c r="A383" s="23">
        <f t="shared" si="3"/>
        <v>43525</v>
      </c>
      <c r="B383" s="5" t="s">
        <v>152</v>
      </c>
      <c r="C383" s="5">
        <v>-146803</v>
      </c>
    </row>
    <row r="384" spans="1:3" x14ac:dyDescent="0.25">
      <c r="A384" s="23">
        <f t="shared" si="3"/>
        <v>43525</v>
      </c>
      <c r="B384" s="5" t="s">
        <v>153</v>
      </c>
      <c r="C384" s="5">
        <v>-198645</v>
      </c>
    </row>
    <row r="385" spans="1:3" x14ac:dyDescent="0.25">
      <c r="A385" s="23">
        <f t="shared" si="3"/>
        <v>43525</v>
      </c>
      <c r="B385" s="5" t="s">
        <v>154</v>
      </c>
      <c r="C385" s="5">
        <v>-192871</v>
      </c>
    </row>
    <row r="386" spans="1:3" x14ac:dyDescent="0.25">
      <c r="A386" s="23">
        <f t="shared" si="3"/>
        <v>43525</v>
      </c>
      <c r="B386" s="5" t="s">
        <v>155</v>
      </c>
      <c r="C386" s="5">
        <v>-110972</v>
      </c>
    </row>
    <row r="387" spans="1:3" x14ac:dyDescent="0.25">
      <c r="A387" s="23">
        <f t="shared" si="3"/>
        <v>43525</v>
      </c>
      <c r="B387" s="5" t="s">
        <v>156</v>
      </c>
      <c r="C387" s="5">
        <v>-170299</v>
      </c>
    </row>
    <row r="388" spans="1:3" x14ac:dyDescent="0.25">
      <c r="A388" s="23">
        <f t="shared" si="3"/>
        <v>43525</v>
      </c>
      <c r="B388" s="5" t="s">
        <v>157</v>
      </c>
      <c r="C388" s="5">
        <v>-272360</v>
      </c>
    </row>
    <row r="389" spans="1:3" x14ac:dyDescent="0.25">
      <c r="A389" s="23">
        <f t="shared" si="3"/>
        <v>43525</v>
      </c>
      <c r="B389" s="5" t="s">
        <v>158</v>
      </c>
      <c r="C389" s="5">
        <v>-124373</v>
      </c>
    </row>
    <row r="390" spans="1:3" x14ac:dyDescent="0.25">
      <c r="A390" s="23">
        <f t="shared" si="3"/>
        <v>43525</v>
      </c>
      <c r="B390" s="5" t="s">
        <v>159</v>
      </c>
      <c r="C390" s="5">
        <v>-295239</v>
      </c>
    </row>
    <row r="391" spans="1:3" x14ac:dyDescent="0.25">
      <c r="A391" s="23">
        <f t="shared" si="3"/>
        <v>43525</v>
      </c>
      <c r="B391" s="5" t="s">
        <v>160</v>
      </c>
      <c r="C391" s="5">
        <v>-178463</v>
      </c>
    </row>
    <row r="392" spans="1:3" x14ac:dyDescent="0.25">
      <c r="A392" s="23">
        <f t="shared" si="3"/>
        <v>43525</v>
      </c>
      <c r="B392" s="5" t="s">
        <v>161</v>
      </c>
      <c r="C392" s="5">
        <v>-131148</v>
      </c>
    </row>
    <row r="393" spans="1:3" x14ac:dyDescent="0.25">
      <c r="A393" s="23">
        <f t="shared" si="3"/>
        <v>43525</v>
      </c>
      <c r="B393" s="5" t="s">
        <v>162</v>
      </c>
      <c r="C393" s="5">
        <v>-165582</v>
      </c>
    </row>
    <row r="394" spans="1:3" x14ac:dyDescent="0.25">
      <c r="A394" s="23">
        <f t="shared" si="3"/>
        <v>43525</v>
      </c>
      <c r="B394" s="5" t="s">
        <v>163</v>
      </c>
      <c r="C394" s="5">
        <v>-102545</v>
      </c>
    </row>
    <row r="395" spans="1:3" x14ac:dyDescent="0.25">
      <c r="A395" s="23">
        <f t="shared" si="3"/>
        <v>43525</v>
      </c>
      <c r="B395" s="5" t="s">
        <v>164</v>
      </c>
      <c r="C395" s="5">
        <v>-61220</v>
      </c>
    </row>
    <row r="396" spans="1:3" x14ac:dyDescent="0.25">
      <c r="A396" s="23">
        <f t="shared" si="3"/>
        <v>43525</v>
      </c>
      <c r="B396" s="5" t="s">
        <v>165</v>
      </c>
      <c r="C396" s="5">
        <v>-53913</v>
      </c>
    </row>
    <row r="397" spans="1:3" x14ac:dyDescent="0.25">
      <c r="A397" s="23">
        <f t="shared" si="3"/>
        <v>43525</v>
      </c>
      <c r="B397" s="5" t="s">
        <v>166</v>
      </c>
      <c r="C397" s="5">
        <v>-58251</v>
      </c>
    </row>
    <row r="398" spans="1:3" x14ac:dyDescent="0.25">
      <c r="A398" s="23">
        <f t="shared" si="3"/>
        <v>43525</v>
      </c>
      <c r="B398" s="5" t="s">
        <v>167</v>
      </c>
      <c r="C398" s="5">
        <v>-134865</v>
      </c>
    </row>
    <row r="399" spans="1:3" x14ac:dyDescent="0.25">
      <c r="A399" s="23">
        <f t="shared" ref="A399:A462" si="4">EDATE(A259,1)</f>
        <v>43525</v>
      </c>
      <c r="B399" s="5" t="s">
        <v>168</v>
      </c>
      <c r="C399" s="5">
        <v>-201517</v>
      </c>
    </row>
    <row r="400" spans="1:3" x14ac:dyDescent="0.25">
      <c r="A400" s="23">
        <f t="shared" si="4"/>
        <v>43525</v>
      </c>
      <c r="B400" s="5" t="s">
        <v>169</v>
      </c>
      <c r="C400" s="5">
        <v>-314378</v>
      </c>
    </row>
    <row r="401" spans="1:3" x14ac:dyDescent="0.25">
      <c r="A401" s="23">
        <f t="shared" si="4"/>
        <v>43525</v>
      </c>
      <c r="B401" s="5" t="s">
        <v>170</v>
      </c>
      <c r="C401" s="5">
        <v>-330195</v>
      </c>
    </row>
    <row r="402" spans="1:3" x14ac:dyDescent="0.25">
      <c r="A402" s="23">
        <f t="shared" si="4"/>
        <v>43525</v>
      </c>
      <c r="B402" s="5" t="s">
        <v>171</v>
      </c>
      <c r="C402" s="5">
        <v>-187862</v>
      </c>
    </row>
    <row r="403" spans="1:3" x14ac:dyDescent="0.25">
      <c r="A403" s="23">
        <f t="shared" si="4"/>
        <v>43525</v>
      </c>
      <c r="B403" s="5" t="s">
        <v>172</v>
      </c>
      <c r="C403" s="5">
        <v>-237087</v>
      </c>
    </row>
    <row r="404" spans="1:3" x14ac:dyDescent="0.25">
      <c r="A404" s="23">
        <f t="shared" si="4"/>
        <v>43525</v>
      </c>
      <c r="B404" s="5" t="s">
        <v>173</v>
      </c>
      <c r="C404" s="5">
        <v>-59270</v>
      </c>
    </row>
    <row r="405" spans="1:3" x14ac:dyDescent="0.25">
      <c r="A405" s="23">
        <f t="shared" si="4"/>
        <v>43525</v>
      </c>
      <c r="B405" s="5" t="s">
        <v>174</v>
      </c>
      <c r="C405" s="5">
        <v>-40512</v>
      </c>
    </row>
    <row r="406" spans="1:3" x14ac:dyDescent="0.25">
      <c r="A406" s="23">
        <f t="shared" si="4"/>
        <v>43525</v>
      </c>
      <c r="B406" s="5" t="s">
        <v>175</v>
      </c>
      <c r="C406" s="5">
        <v>-45764</v>
      </c>
    </row>
    <row r="407" spans="1:3" x14ac:dyDescent="0.25">
      <c r="A407" s="23">
        <f t="shared" si="4"/>
        <v>43525</v>
      </c>
      <c r="B407" s="5" t="s">
        <v>176</v>
      </c>
      <c r="C407" s="5">
        <v>-45939</v>
      </c>
    </row>
    <row r="408" spans="1:3" x14ac:dyDescent="0.25">
      <c r="A408" s="23">
        <f t="shared" si="4"/>
        <v>43525</v>
      </c>
      <c r="B408" s="5" t="s">
        <v>177</v>
      </c>
      <c r="C408" s="5">
        <v>-57223</v>
      </c>
    </row>
    <row r="409" spans="1:3" x14ac:dyDescent="0.25">
      <c r="A409" s="23">
        <f t="shared" si="4"/>
        <v>43525</v>
      </c>
      <c r="B409" s="5" t="s">
        <v>178</v>
      </c>
      <c r="C409" s="5">
        <v>-124963</v>
      </c>
    </row>
    <row r="410" spans="1:3" x14ac:dyDescent="0.25">
      <c r="A410" s="23">
        <f t="shared" si="4"/>
        <v>43525</v>
      </c>
      <c r="B410" s="5" t="s">
        <v>179</v>
      </c>
      <c r="C410" s="5">
        <v>-122531</v>
      </c>
    </row>
    <row r="411" spans="1:3" x14ac:dyDescent="0.25">
      <c r="A411" s="23">
        <f t="shared" si="4"/>
        <v>43525</v>
      </c>
      <c r="B411" s="5" t="s">
        <v>180</v>
      </c>
      <c r="C411" s="5">
        <v>-211556</v>
      </c>
    </row>
    <row r="412" spans="1:3" x14ac:dyDescent="0.25">
      <c r="A412" s="23">
        <f t="shared" si="4"/>
        <v>43525</v>
      </c>
      <c r="B412" s="5" t="s">
        <v>181</v>
      </c>
      <c r="C412" s="5">
        <v>-86381</v>
      </c>
    </row>
    <row r="413" spans="1:3" x14ac:dyDescent="0.25">
      <c r="A413" s="23">
        <f t="shared" si="4"/>
        <v>43525</v>
      </c>
      <c r="B413" s="5" t="s">
        <v>182</v>
      </c>
      <c r="C413" s="5">
        <v>-59638</v>
      </c>
    </row>
    <row r="414" spans="1:3" x14ac:dyDescent="0.25">
      <c r="A414" s="23">
        <f t="shared" si="4"/>
        <v>43525</v>
      </c>
      <c r="B414" s="5" t="s">
        <v>183</v>
      </c>
      <c r="C414" s="5">
        <v>-81897</v>
      </c>
    </row>
    <row r="415" spans="1:3" x14ac:dyDescent="0.25">
      <c r="A415" s="23">
        <f t="shared" si="4"/>
        <v>43525</v>
      </c>
      <c r="B415" s="5" t="s">
        <v>184</v>
      </c>
      <c r="C415" s="5">
        <v>-53238</v>
      </c>
    </row>
    <row r="416" spans="1:3" x14ac:dyDescent="0.25">
      <c r="A416" s="23">
        <f t="shared" si="4"/>
        <v>43525</v>
      </c>
      <c r="B416" s="5" t="s">
        <v>185</v>
      </c>
      <c r="C416" s="5">
        <v>-117244</v>
      </c>
    </row>
    <row r="417" spans="1:3" x14ac:dyDescent="0.25">
      <c r="A417" s="23">
        <f t="shared" si="4"/>
        <v>43525</v>
      </c>
      <c r="B417" s="5" t="s">
        <v>186</v>
      </c>
      <c r="C417" s="5">
        <v>-114319</v>
      </c>
    </row>
    <row r="418" spans="1:3" x14ac:dyDescent="0.25">
      <c r="A418" s="23">
        <f t="shared" si="4"/>
        <v>43525</v>
      </c>
      <c r="B418" s="5" t="s">
        <v>187</v>
      </c>
      <c r="C418" s="5">
        <v>-138127</v>
      </c>
    </row>
    <row r="419" spans="1:3" x14ac:dyDescent="0.25">
      <c r="A419" s="23">
        <f t="shared" si="4"/>
        <v>43525</v>
      </c>
      <c r="B419" s="5" t="s">
        <v>188</v>
      </c>
      <c r="C419" s="5">
        <v>-195157</v>
      </c>
    </row>
    <row r="420" spans="1:3" x14ac:dyDescent="0.25">
      <c r="A420" s="23">
        <f t="shared" si="4"/>
        <v>43525</v>
      </c>
      <c r="B420" s="5" t="s">
        <v>189</v>
      </c>
      <c r="C420" s="5">
        <v>-9445</v>
      </c>
    </row>
    <row r="421" spans="1:3" x14ac:dyDescent="0.25">
      <c r="A421" s="23">
        <f t="shared" si="4"/>
        <v>43525</v>
      </c>
      <c r="B421" s="5" t="s">
        <v>190</v>
      </c>
      <c r="C421" s="5">
        <v>-21055</v>
      </c>
    </row>
    <row r="422" spans="1:3" x14ac:dyDescent="0.25">
      <c r="A422" s="23">
        <f t="shared" si="4"/>
        <v>43556</v>
      </c>
      <c r="B422" s="5" t="s">
        <v>51</v>
      </c>
      <c r="C422" s="5">
        <v>600612</v>
      </c>
    </row>
    <row r="423" spans="1:3" x14ac:dyDescent="0.25">
      <c r="A423" s="23">
        <f t="shared" si="4"/>
        <v>43556</v>
      </c>
      <c r="B423" s="5" t="s">
        <v>52</v>
      </c>
      <c r="C423" s="5">
        <v>928548</v>
      </c>
    </row>
    <row r="424" spans="1:3" x14ac:dyDescent="0.25">
      <c r="A424" s="23">
        <f t="shared" si="4"/>
        <v>43556</v>
      </c>
      <c r="B424" s="5" t="s">
        <v>53</v>
      </c>
      <c r="C424" s="5">
        <v>351700</v>
      </c>
    </row>
    <row r="425" spans="1:3" x14ac:dyDescent="0.25">
      <c r="A425" s="23">
        <f t="shared" si="4"/>
        <v>43556</v>
      </c>
      <c r="B425" s="5" t="s">
        <v>54</v>
      </c>
      <c r="C425" s="5">
        <v>396746</v>
      </c>
    </row>
    <row r="426" spans="1:3" x14ac:dyDescent="0.25">
      <c r="A426" s="23">
        <f t="shared" si="4"/>
        <v>43556</v>
      </c>
      <c r="B426" s="5" t="s">
        <v>55</v>
      </c>
      <c r="C426" s="5">
        <v>647206</v>
      </c>
    </row>
    <row r="427" spans="1:3" x14ac:dyDescent="0.25">
      <c r="A427" s="23">
        <f t="shared" si="4"/>
        <v>43556</v>
      </c>
      <c r="B427" s="5" t="s">
        <v>56</v>
      </c>
      <c r="C427" s="5">
        <v>770233</v>
      </c>
    </row>
    <row r="428" spans="1:3" x14ac:dyDescent="0.25">
      <c r="A428" s="23">
        <f t="shared" si="4"/>
        <v>43556</v>
      </c>
      <c r="B428" s="5" t="s">
        <v>57</v>
      </c>
      <c r="C428" s="5">
        <v>459648</v>
      </c>
    </row>
    <row r="429" spans="1:3" x14ac:dyDescent="0.25">
      <c r="A429" s="23">
        <f t="shared" si="4"/>
        <v>43556</v>
      </c>
      <c r="B429" s="5" t="s">
        <v>58</v>
      </c>
      <c r="C429" s="5">
        <v>446744</v>
      </c>
    </row>
    <row r="430" spans="1:3" x14ac:dyDescent="0.25">
      <c r="A430" s="23">
        <f t="shared" si="4"/>
        <v>43556</v>
      </c>
      <c r="B430" s="5" t="s">
        <v>59</v>
      </c>
      <c r="C430" s="5">
        <v>495457</v>
      </c>
    </row>
    <row r="431" spans="1:3" x14ac:dyDescent="0.25">
      <c r="A431" s="23">
        <f t="shared" si="4"/>
        <v>43556</v>
      </c>
      <c r="B431" s="5" t="s">
        <v>60</v>
      </c>
      <c r="C431" s="5">
        <v>644421</v>
      </c>
    </row>
    <row r="432" spans="1:3" x14ac:dyDescent="0.25">
      <c r="A432" s="23">
        <f t="shared" si="4"/>
        <v>43556</v>
      </c>
      <c r="B432" s="5" t="s">
        <v>61</v>
      </c>
      <c r="C432" s="5">
        <v>494511</v>
      </c>
    </row>
    <row r="433" spans="1:3" x14ac:dyDescent="0.25">
      <c r="A433" s="23">
        <f t="shared" si="4"/>
        <v>43556</v>
      </c>
      <c r="B433" s="5" t="s">
        <v>62</v>
      </c>
      <c r="C433" s="5">
        <v>784751</v>
      </c>
    </row>
    <row r="434" spans="1:3" x14ac:dyDescent="0.25">
      <c r="A434" s="23">
        <f t="shared" si="4"/>
        <v>43556</v>
      </c>
      <c r="B434" s="5" t="s">
        <v>63</v>
      </c>
      <c r="C434" s="5">
        <v>600201</v>
      </c>
    </row>
    <row r="435" spans="1:3" x14ac:dyDescent="0.25">
      <c r="A435" s="23">
        <f t="shared" si="4"/>
        <v>43556</v>
      </c>
      <c r="B435" s="5" t="s">
        <v>64</v>
      </c>
      <c r="C435" s="5">
        <v>350326</v>
      </c>
    </row>
    <row r="436" spans="1:3" x14ac:dyDescent="0.25">
      <c r="A436" s="23">
        <f t="shared" si="4"/>
        <v>43556</v>
      </c>
      <c r="B436" s="5" t="s">
        <v>65</v>
      </c>
      <c r="C436" s="5">
        <v>867594</v>
      </c>
    </row>
    <row r="437" spans="1:3" x14ac:dyDescent="0.25">
      <c r="A437" s="23">
        <f t="shared" si="4"/>
        <v>43556</v>
      </c>
      <c r="B437" s="5" t="s">
        <v>66</v>
      </c>
      <c r="C437" s="5">
        <v>215806</v>
      </c>
    </row>
    <row r="438" spans="1:3" x14ac:dyDescent="0.25">
      <c r="A438" s="23">
        <f t="shared" si="4"/>
        <v>43556</v>
      </c>
      <c r="B438" s="5" t="s">
        <v>67</v>
      </c>
      <c r="C438" s="5">
        <v>208897</v>
      </c>
    </row>
    <row r="439" spans="1:3" x14ac:dyDescent="0.25">
      <c r="A439" s="23">
        <f t="shared" si="4"/>
        <v>43556</v>
      </c>
      <c r="B439" s="5" t="s">
        <v>68</v>
      </c>
      <c r="C439" s="5">
        <v>711653</v>
      </c>
    </row>
    <row r="440" spans="1:3" x14ac:dyDescent="0.25">
      <c r="A440" s="23">
        <f t="shared" si="4"/>
        <v>43556</v>
      </c>
      <c r="B440" s="5" t="s">
        <v>69</v>
      </c>
      <c r="C440" s="5">
        <v>348899</v>
      </c>
    </row>
    <row r="441" spans="1:3" x14ac:dyDescent="0.25">
      <c r="A441" s="23">
        <f t="shared" si="4"/>
        <v>43556</v>
      </c>
      <c r="B441" s="5" t="s">
        <v>70</v>
      </c>
      <c r="C441" s="5">
        <v>395040</v>
      </c>
    </row>
    <row r="442" spans="1:3" x14ac:dyDescent="0.25">
      <c r="A442" s="23">
        <f t="shared" si="4"/>
        <v>43556</v>
      </c>
      <c r="B442" s="5" t="s">
        <v>71</v>
      </c>
      <c r="C442" s="5">
        <v>229864</v>
      </c>
    </row>
    <row r="443" spans="1:3" x14ac:dyDescent="0.25">
      <c r="A443" s="23">
        <f t="shared" si="4"/>
        <v>43556</v>
      </c>
      <c r="B443" s="5" t="s">
        <v>72</v>
      </c>
      <c r="C443" s="5">
        <v>707885</v>
      </c>
    </row>
    <row r="444" spans="1:3" x14ac:dyDescent="0.25">
      <c r="A444" s="23">
        <f t="shared" si="4"/>
        <v>43556</v>
      </c>
      <c r="B444" s="5" t="s">
        <v>73</v>
      </c>
      <c r="C444" s="5">
        <v>147154</v>
      </c>
    </row>
    <row r="445" spans="1:3" x14ac:dyDescent="0.25">
      <c r="A445" s="23">
        <f t="shared" si="4"/>
        <v>43556</v>
      </c>
      <c r="B445" s="5" t="s">
        <v>74</v>
      </c>
      <c r="C445" s="5">
        <v>183829</v>
      </c>
    </row>
    <row r="446" spans="1:3" x14ac:dyDescent="0.25">
      <c r="A446" s="23">
        <f t="shared" si="4"/>
        <v>43556</v>
      </c>
      <c r="B446" s="5" t="s">
        <v>75</v>
      </c>
      <c r="C446" s="5">
        <v>171475</v>
      </c>
    </row>
    <row r="447" spans="1:3" x14ac:dyDescent="0.25">
      <c r="A447" s="23">
        <f t="shared" si="4"/>
        <v>43556</v>
      </c>
      <c r="B447" s="5" t="s">
        <v>76</v>
      </c>
      <c r="C447" s="5">
        <v>218861</v>
      </c>
    </row>
    <row r="448" spans="1:3" x14ac:dyDescent="0.25">
      <c r="A448" s="23">
        <f t="shared" si="4"/>
        <v>43556</v>
      </c>
      <c r="B448" s="5" t="s">
        <v>77</v>
      </c>
      <c r="C448" s="5">
        <v>235972</v>
      </c>
    </row>
    <row r="449" spans="1:3" x14ac:dyDescent="0.25">
      <c r="A449" s="23">
        <f t="shared" si="4"/>
        <v>43556</v>
      </c>
      <c r="B449" s="5" t="s">
        <v>78</v>
      </c>
      <c r="C449" s="5">
        <v>196738</v>
      </c>
    </row>
    <row r="450" spans="1:3" x14ac:dyDescent="0.25">
      <c r="A450" s="23">
        <f t="shared" si="4"/>
        <v>43556</v>
      </c>
      <c r="B450" s="5" t="s">
        <v>79</v>
      </c>
      <c r="C450" s="5">
        <v>292454</v>
      </c>
    </row>
    <row r="451" spans="1:3" x14ac:dyDescent="0.25">
      <c r="A451" s="23">
        <f t="shared" si="4"/>
        <v>43556</v>
      </c>
      <c r="B451" s="5" t="s">
        <v>80</v>
      </c>
      <c r="C451" s="5">
        <v>164945</v>
      </c>
    </row>
    <row r="452" spans="1:3" x14ac:dyDescent="0.25">
      <c r="A452" s="23">
        <f t="shared" si="4"/>
        <v>43556</v>
      </c>
      <c r="B452" s="5" t="s">
        <v>81</v>
      </c>
      <c r="C452" s="5">
        <v>71962</v>
      </c>
    </row>
    <row r="453" spans="1:3" x14ac:dyDescent="0.25">
      <c r="A453" s="23">
        <f t="shared" si="4"/>
        <v>43556</v>
      </c>
      <c r="B453" s="5" t="s">
        <v>82</v>
      </c>
      <c r="C453" s="5">
        <v>158656</v>
      </c>
    </row>
    <row r="454" spans="1:3" x14ac:dyDescent="0.25">
      <c r="A454" s="23">
        <f t="shared" si="4"/>
        <v>43556</v>
      </c>
      <c r="B454" s="5" t="s">
        <v>83</v>
      </c>
      <c r="C454" s="5">
        <v>159619</v>
      </c>
    </row>
    <row r="455" spans="1:3" x14ac:dyDescent="0.25">
      <c r="A455" s="23">
        <f t="shared" si="4"/>
        <v>43556</v>
      </c>
      <c r="B455" s="5" t="s">
        <v>84</v>
      </c>
      <c r="C455" s="5">
        <v>176814</v>
      </c>
    </row>
    <row r="456" spans="1:3" x14ac:dyDescent="0.25">
      <c r="A456" s="23">
        <f t="shared" si="4"/>
        <v>43556</v>
      </c>
      <c r="B456" s="5" t="s">
        <v>85</v>
      </c>
      <c r="C456" s="5">
        <v>271732</v>
      </c>
    </row>
    <row r="457" spans="1:3" x14ac:dyDescent="0.25">
      <c r="A457" s="23">
        <f t="shared" si="4"/>
        <v>43556</v>
      </c>
      <c r="B457" s="5" t="s">
        <v>86</v>
      </c>
      <c r="C457" s="5">
        <v>121169</v>
      </c>
    </row>
    <row r="458" spans="1:3" x14ac:dyDescent="0.25">
      <c r="A458" s="23">
        <f t="shared" si="4"/>
        <v>43556</v>
      </c>
      <c r="B458" s="5" t="s">
        <v>87</v>
      </c>
      <c r="C458" s="5">
        <v>191908</v>
      </c>
    </row>
    <row r="459" spans="1:3" x14ac:dyDescent="0.25">
      <c r="A459" s="23">
        <f t="shared" si="4"/>
        <v>43556</v>
      </c>
      <c r="B459" s="5" t="s">
        <v>88</v>
      </c>
      <c r="C459" s="5">
        <v>133952</v>
      </c>
    </row>
    <row r="460" spans="1:3" x14ac:dyDescent="0.25">
      <c r="A460" s="23">
        <f t="shared" si="4"/>
        <v>43556</v>
      </c>
      <c r="B460" s="5" t="s">
        <v>89</v>
      </c>
      <c r="C460" s="5">
        <v>161351</v>
      </c>
    </row>
    <row r="461" spans="1:3" x14ac:dyDescent="0.25">
      <c r="A461" s="23">
        <f t="shared" si="4"/>
        <v>43556</v>
      </c>
      <c r="B461" s="5" t="s">
        <v>90</v>
      </c>
      <c r="C461" s="5">
        <v>274492</v>
      </c>
    </row>
    <row r="462" spans="1:3" x14ac:dyDescent="0.25">
      <c r="A462" s="23">
        <f t="shared" si="4"/>
        <v>43556</v>
      </c>
      <c r="B462" s="5" t="s">
        <v>91</v>
      </c>
      <c r="C462" s="5">
        <v>229144</v>
      </c>
    </row>
    <row r="463" spans="1:3" x14ac:dyDescent="0.25">
      <c r="A463" s="23">
        <f t="shared" ref="A463:A526" si="5">EDATE(A323,1)</f>
        <v>43556</v>
      </c>
      <c r="B463" s="5" t="s">
        <v>92</v>
      </c>
      <c r="C463" s="5">
        <v>179365</v>
      </c>
    </row>
    <row r="464" spans="1:3" x14ac:dyDescent="0.25">
      <c r="A464" s="23">
        <f t="shared" si="5"/>
        <v>43556</v>
      </c>
      <c r="B464" s="5" t="s">
        <v>93</v>
      </c>
      <c r="C464" s="5">
        <v>212360</v>
      </c>
    </row>
    <row r="465" spans="1:3" x14ac:dyDescent="0.25">
      <c r="A465" s="23">
        <f t="shared" si="5"/>
        <v>43556</v>
      </c>
      <c r="B465" s="5" t="s">
        <v>94</v>
      </c>
      <c r="C465" s="5">
        <v>203933</v>
      </c>
    </row>
    <row r="466" spans="1:3" x14ac:dyDescent="0.25">
      <c r="A466" s="23">
        <f t="shared" si="5"/>
        <v>43556</v>
      </c>
      <c r="B466" s="5" t="s">
        <v>95</v>
      </c>
      <c r="C466" s="5">
        <v>165576</v>
      </c>
    </row>
    <row r="467" spans="1:3" x14ac:dyDescent="0.25">
      <c r="A467" s="23">
        <f t="shared" si="5"/>
        <v>43556</v>
      </c>
      <c r="B467" s="5" t="s">
        <v>96</v>
      </c>
      <c r="C467" s="5">
        <v>145523</v>
      </c>
    </row>
    <row r="468" spans="1:3" x14ac:dyDescent="0.25">
      <c r="A468" s="23">
        <f t="shared" si="5"/>
        <v>43556</v>
      </c>
      <c r="B468" s="5" t="s">
        <v>97</v>
      </c>
      <c r="C468" s="5">
        <v>256971</v>
      </c>
    </row>
    <row r="469" spans="1:3" x14ac:dyDescent="0.25">
      <c r="A469" s="23">
        <f t="shared" si="5"/>
        <v>43556</v>
      </c>
      <c r="B469" s="5" t="s">
        <v>98</v>
      </c>
      <c r="C469" s="5">
        <v>208400</v>
      </c>
    </row>
    <row r="470" spans="1:3" x14ac:dyDescent="0.25">
      <c r="A470" s="23">
        <f t="shared" si="5"/>
        <v>43556</v>
      </c>
      <c r="B470" s="5" t="s">
        <v>99</v>
      </c>
      <c r="C470" s="5">
        <v>184322</v>
      </c>
    </row>
    <row r="471" spans="1:3" x14ac:dyDescent="0.25">
      <c r="A471" s="23">
        <f t="shared" si="5"/>
        <v>43556</v>
      </c>
      <c r="B471" s="5" t="s">
        <v>100</v>
      </c>
      <c r="C471" s="5">
        <v>247343</v>
      </c>
    </row>
    <row r="472" spans="1:3" x14ac:dyDescent="0.25">
      <c r="A472" s="23">
        <f t="shared" si="5"/>
        <v>43556</v>
      </c>
      <c r="B472" s="5" t="s">
        <v>101</v>
      </c>
      <c r="C472" s="5">
        <v>148378</v>
      </c>
    </row>
    <row r="473" spans="1:3" x14ac:dyDescent="0.25">
      <c r="A473" s="23">
        <f t="shared" si="5"/>
        <v>43556</v>
      </c>
      <c r="B473" s="5" t="s">
        <v>102</v>
      </c>
      <c r="C473" s="5">
        <v>278943</v>
      </c>
    </row>
    <row r="474" spans="1:3" x14ac:dyDescent="0.25">
      <c r="A474" s="23">
        <f t="shared" si="5"/>
        <v>43556</v>
      </c>
      <c r="B474" s="5" t="s">
        <v>103</v>
      </c>
      <c r="C474" s="5">
        <v>54497</v>
      </c>
    </row>
    <row r="475" spans="1:3" x14ac:dyDescent="0.25">
      <c r="A475" s="23">
        <f t="shared" si="5"/>
        <v>43556</v>
      </c>
      <c r="B475" s="5" t="s">
        <v>104</v>
      </c>
      <c r="C475" s="5">
        <v>188014</v>
      </c>
    </row>
    <row r="476" spans="1:3" x14ac:dyDescent="0.25">
      <c r="A476" s="23">
        <f t="shared" si="5"/>
        <v>43556</v>
      </c>
      <c r="B476" s="5" t="s">
        <v>105</v>
      </c>
      <c r="C476" s="5">
        <v>264700</v>
      </c>
    </row>
    <row r="477" spans="1:3" x14ac:dyDescent="0.25">
      <c r="A477" s="23">
        <f t="shared" si="5"/>
        <v>43556</v>
      </c>
      <c r="B477" s="5" t="s">
        <v>106</v>
      </c>
      <c r="C477" s="5">
        <v>197236</v>
      </c>
    </row>
    <row r="478" spans="1:3" x14ac:dyDescent="0.25">
      <c r="A478" s="23">
        <f t="shared" si="5"/>
        <v>43556</v>
      </c>
      <c r="B478" s="5" t="s">
        <v>107</v>
      </c>
      <c r="C478" s="5">
        <v>72755</v>
      </c>
    </row>
    <row r="479" spans="1:3" x14ac:dyDescent="0.25">
      <c r="A479" s="23">
        <f t="shared" si="5"/>
        <v>43556</v>
      </c>
      <c r="B479" s="5" t="s">
        <v>108</v>
      </c>
      <c r="C479" s="5">
        <v>141066</v>
      </c>
    </row>
    <row r="480" spans="1:3" x14ac:dyDescent="0.25">
      <c r="A480" s="23">
        <f t="shared" si="5"/>
        <v>43556</v>
      </c>
      <c r="B480" s="5" t="s">
        <v>109</v>
      </c>
      <c r="C480" s="5">
        <v>122656</v>
      </c>
    </row>
    <row r="481" spans="1:3" x14ac:dyDescent="0.25">
      <c r="A481" s="23">
        <f t="shared" si="5"/>
        <v>43556</v>
      </c>
      <c r="B481" s="5" t="s">
        <v>110</v>
      </c>
      <c r="C481" s="5">
        <v>-5218</v>
      </c>
    </row>
    <row r="482" spans="1:3" x14ac:dyDescent="0.25">
      <c r="A482" s="23">
        <f t="shared" si="5"/>
        <v>43556</v>
      </c>
      <c r="B482" s="5" t="s">
        <v>111</v>
      </c>
      <c r="C482" s="5">
        <v>-5533</v>
      </c>
    </row>
    <row r="483" spans="1:3" x14ac:dyDescent="0.25">
      <c r="A483" s="23">
        <f t="shared" si="5"/>
        <v>43556</v>
      </c>
      <c r="B483" s="5" t="s">
        <v>112</v>
      </c>
      <c r="C483" s="5">
        <v>-6459</v>
      </c>
    </row>
    <row r="484" spans="1:3" x14ac:dyDescent="0.25">
      <c r="A484" s="23">
        <f t="shared" si="5"/>
        <v>43556</v>
      </c>
      <c r="B484" s="5" t="s">
        <v>113</v>
      </c>
      <c r="C484" s="5">
        <v>-7972</v>
      </c>
    </row>
    <row r="485" spans="1:3" x14ac:dyDescent="0.25">
      <c r="A485" s="23">
        <f t="shared" si="5"/>
        <v>43556</v>
      </c>
      <c r="B485" s="5" t="s">
        <v>114</v>
      </c>
      <c r="C485" s="5">
        <v>-5057</v>
      </c>
    </row>
    <row r="486" spans="1:3" x14ac:dyDescent="0.25">
      <c r="A486" s="23">
        <f t="shared" si="5"/>
        <v>43556</v>
      </c>
      <c r="B486" s="5" t="s">
        <v>115</v>
      </c>
      <c r="C486" s="5">
        <v>-4098</v>
      </c>
    </row>
    <row r="487" spans="1:3" x14ac:dyDescent="0.25">
      <c r="A487" s="23">
        <f t="shared" si="5"/>
        <v>43556</v>
      </c>
      <c r="B487" s="5" t="s">
        <v>116</v>
      </c>
      <c r="C487" s="5">
        <v>-1901</v>
      </c>
    </row>
    <row r="488" spans="1:3" x14ac:dyDescent="0.25">
      <c r="A488" s="23">
        <f t="shared" si="5"/>
        <v>43556</v>
      </c>
      <c r="B488" s="5" t="s">
        <v>117</v>
      </c>
      <c r="C488" s="5">
        <v>-6120</v>
      </c>
    </row>
    <row r="489" spans="1:3" x14ac:dyDescent="0.25">
      <c r="A489" s="23">
        <f t="shared" si="5"/>
        <v>43556</v>
      </c>
      <c r="B489" s="5" t="s">
        <v>118</v>
      </c>
      <c r="C489" s="5">
        <v>-2464</v>
      </c>
    </row>
    <row r="490" spans="1:3" x14ac:dyDescent="0.25">
      <c r="A490" s="23">
        <f t="shared" si="5"/>
        <v>43556</v>
      </c>
      <c r="B490" s="5" t="s">
        <v>119</v>
      </c>
      <c r="C490" s="5">
        <v>-7679</v>
      </c>
    </row>
    <row r="491" spans="1:3" x14ac:dyDescent="0.25">
      <c r="A491" s="23">
        <f t="shared" si="5"/>
        <v>43556</v>
      </c>
      <c r="B491" s="5" t="s">
        <v>120</v>
      </c>
      <c r="C491" s="5">
        <v>-2607</v>
      </c>
    </row>
    <row r="492" spans="1:3" x14ac:dyDescent="0.25">
      <c r="A492" s="23">
        <f t="shared" si="5"/>
        <v>43556</v>
      </c>
      <c r="B492" s="5" t="s">
        <v>121</v>
      </c>
      <c r="C492" s="5">
        <v>-5468</v>
      </c>
    </row>
    <row r="493" spans="1:3" x14ac:dyDescent="0.25">
      <c r="A493" s="23">
        <f t="shared" si="5"/>
        <v>43556</v>
      </c>
      <c r="B493" s="5" t="s">
        <v>122</v>
      </c>
      <c r="C493" s="5">
        <v>-4103</v>
      </c>
    </row>
    <row r="494" spans="1:3" x14ac:dyDescent="0.25">
      <c r="A494" s="23">
        <f t="shared" si="5"/>
        <v>43556</v>
      </c>
      <c r="B494" s="5" t="s">
        <v>123</v>
      </c>
      <c r="C494" s="5">
        <v>-8319</v>
      </c>
    </row>
    <row r="495" spans="1:3" x14ac:dyDescent="0.25">
      <c r="A495" s="23">
        <f t="shared" si="5"/>
        <v>43556</v>
      </c>
      <c r="B495" s="5" t="s">
        <v>124</v>
      </c>
      <c r="C495" s="5">
        <v>-7002</v>
      </c>
    </row>
    <row r="496" spans="1:3" x14ac:dyDescent="0.25">
      <c r="A496" s="23">
        <f t="shared" si="5"/>
        <v>43556</v>
      </c>
      <c r="B496" s="5" t="s">
        <v>125</v>
      </c>
      <c r="C496" s="5">
        <v>-2465</v>
      </c>
    </row>
    <row r="497" spans="1:3" x14ac:dyDescent="0.25">
      <c r="A497" s="23">
        <f t="shared" si="5"/>
        <v>43556</v>
      </c>
      <c r="B497" s="5" t="s">
        <v>126</v>
      </c>
      <c r="C497" s="5">
        <v>-1115</v>
      </c>
    </row>
    <row r="498" spans="1:3" x14ac:dyDescent="0.25">
      <c r="A498" s="23">
        <f t="shared" si="5"/>
        <v>43556</v>
      </c>
      <c r="B498" s="5" t="s">
        <v>127</v>
      </c>
      <c r="C498" s="5">
        <v>-7629</v>
      </c>
    </row>
    <row r="499" spans="1:3" x14ac:dyDescent="0.25">
      <c r="A499" s="23">
        <f t="shared" si="5"/>
        <v>43556</v>
      </c>
      <c r="B499" s="5" t="s">
        <v>128</v>
      </c>
      <c r="C499" s="5">
        <v>-7085</v>
      </c>
    </row>
    <row r="500" spans="1:3" x14ac:dyDescent="0.25">
      <c r="A500" s="23">
        <f t="shared" si="5"/>
        <v>43556</v>
      </c>
      <c r="B500" s="5" t="s">
        <v>129</v>
      </c>
      <c r="C500" s="5">
        <v>-5156</v>
      </c>
    </row>
    <row r="501" spans="1:3" x14ac:dyDescent="0.25">
      <c r="A501" s="23">
        <f t="shared" si="5"/>
        <v>43556</v>
      </c>
      <c r="B501" s="5" t="s">
        <v>130</v>
      </c>
      <c r="C501" s="5">
        <v>-5382</v>
      </c>
    </row>
    <row r="502" spans="1:3" x14ac:dyDescent="0.25">
      <c r="A502" s="23">
        <f t="shared" si="5"/>
        <v>43556</v>
      </c>
      <c r="B502" s="5" t="s">
        <v>131</v>
      </c>
      <c r="C502" s="5">
        <v>-7922</v>
      </c>
    </row>
    <row r="503" spans="1:3" x14ac:dyDescent="0.25">
      <c r="A503" s="23">
        <f t="shared" si="5"/>
        <v>43556</v>
      </c>
      <c r="B503" s="5" t="s">
        <v>132</v>
      </c>
      <c r="C503" s="5">
        <v>-6865</v>
      </c>
    </row>
    <row r="504" spans="1:3" x14ac:dyDescent="0.25">
      <c r="A504" s="23">
        <f t="shared" si="5"/>
        <v>43556</v>
      </c>
      <c r="B504" s="5" t="s">
        <v>133</v>
      </c>
      <c r="C504" s="5">
        <v>-1479</v>
      </c>
    </row>
    <row r="505" spans="1:3" x14ac:dyDescent="0.25">
      <c r="A505" s="23">
        <f t="shared" si="5"/>
        <v>43556</v>
      </c>
      <c r="B505" s="5" t="s">
        <v>134</v>
      </c>
      <c r="C505" s="5">
        <v>-3472</v>
      </c>
    </row>
    <row r="506" spans="1:3" x14ac:dyDescent="0.25">
      <c r="A506" s="23">
        <f t="shared" si="5"/>
        <v>43556</v>
      </c>
      <c r="B506" s="5" t="s">
        <v>135</v>
      </c>
      <c r="C506" s="5">
        <v>-5835</v>
      </c>
    </row>
    <row r="507" spans="1:3" x14ac:dyDescent="0.25">
      <c r="A507" s="23">
        <f t="shared" si="5"/>
        <v>43556</v>
      </c>
      <c r="B507" s="5" t="s">
        <v>136</v>
      </c>
      <c r="C507" s="5">
        <v>-5227</v>
      </c>
    </row>
    <row r="508" spans="1:3" x14ac:dyDescent="0.25">
      <c r="A508" s="23">
        <f t="shared" si="5"/>
        <v>43556</v>
      </c>
      <c r="B508" s="5" t="s">
        <v>137</v>
      </c>
      <c r="C508" s="5">
        <v>-7106</v>
      </c>
    </row>
    <row r="509" spans="1:3" x14ac:dyDescent="0.25">
      <c r="A509" s="23">
        <f t="shared" si="5"/>
        <v>43556</v>
      </c>
      <c r="B509" s="5" t="s">
        <v>138</v>
      </c>
      <c r="C509" s="5">
        <v>-5299</v>
      </c>
    </row>
    <row r="510" spans="1:3" x14ac:dyDescent="0.25">
      <c r="A510" s="23">
        <f t="shared" si="5"/>
        <v>43556</v>
      </c>
      <c r="B510" s="5" t="s">
        <v>139</v>
      </c>
      <c r="C510" s="5">
        <v>-9293</v>
      </c>
    </row>
    <row r="511" spans="1:3" x14ac:dyDescent="0.25">
      <c r="A511" s="23">
        <f t="shared" si="5"/>
        <v>43556</v>
      </c>
      <c r="B511" s="5" t="s">
        <v>140</v>
      </c>
      <c r="C511" s="5">
        <v>-294125</v>
      </c>
    </row>
    <row r="512" spans="1:3" x14ac:dyDescent="0.25">
      <c r="A512" s="23">
        <f t="shared" si="5"/>
        <v>43556</v>
      </c>
      <c r="B512" s="5" t="s">
        <v>141</v>
      </c>
      <c r="C512" s="5">
        <v>-270024</v>
      </c>
    </row>
    <row r="513" spans="1:3" x14ac:dyDescent="0.25">
      <c r="A513" s="23">
        <f t="shared" si="5"/>
        <v>43556</v>
      </c>
      <c r="B513" s="5" t="s">
        <v>142</v>
      </c>
      <c r="C513" s="5">
        <v>-232909</v>
      </c>
    </row>
    <row r="514" spans="1:3" x14ac:dyDescent="0.25">
      <c r="A514" s="23">
        <f t="shared" si="5"/>
        <v>43556</v>
      </c>
      <c r="B514" s="5" t="s">
        <v>143</v>
      </c>
      <c r="C514" s="5">
        <v>-274942</v>
      </c>
    </row>
    <row r="515" spans="1:3" x14ac:dyDescent="0.25">
      <c r="A515" s="23">
        <f t="shared" si="5"/>
        <v>43556</v>
      </c>
      <c r="B515" s="5" t="s">
        <v>144</v>
      </c>
      <c r="C515" s="5">
        <v>-273810</v>
      </c>
    </row>
    <row r="516" spans="1:3" x14ac:dyDescent="0.25">
      <c r="A516" s="23">
        <f t="shared" si="5"/>
        <v>43556</v>
      </c>
      <c r="B516" s="5" t="s">
        <v>145</v>
      </c>
      <c r="C516" s="5">
        <v>-298808</v>
      </c>
    </row>
    <row r="517" spans="1:3" x14ac:dyDescent="0.25">
      <c r="A517" s="23">
        <f t="shared" si="5"/>
        <v>43556</v>
      </c>
      <c r="B517" s="5" t="s">
        <v>146</v>
      </c>
      <c r="C517" s="5">
        <v>-92566</v>
      </c>
    </row>
    <row r="518" spans="1:3" x14ac:dyDescent="0.25">
      <c r="A518" s="23">
        <f t="shared" si="5"/>
        <v>43556</v>
      </c>
      <c r="B518" s="5" t="s">
        <v>147</v>
      </c>
      <c r="C518" s="5">
        <v>-227530</v>
      </c>
    </row>
    <row r="519" spans="1:3" x14ac:dyDescent="0.25">
      <c r="A519" s="23">
        <f t="shared" si="5"/>
        <v>43556</v>
      </c>
      <c r="B519" s="5" t="s">
        <v>148</v>
      </c>
      <c r="C519" s="5">
        <v>-289902</v>
      </c>
    </row>
    <row r="520" spans="1:3" x14ac:dyDescent="0.25">
      <c r="A520" s="23">
        <f t="shared" si="5"/>
        <v>43556</v>
      </c>
      <c r="B520" s="5" t="s">
        <v>149</v>
      </c>
      <c r="C520" s="5">
        <v>-82537</v>
      </c>
    </row>
    <row r="521" spans="1:3" x14ac:dyDescent="0.25">
      <c r="A521" s="23">
        <f t="shared" si="5"/>
        <v>43556</v>
      </c>
      <c r="B521" s="5" t="s">
        <v>150</v>
      </c>
      <c r="C521" s="5">
        <v>-126780</v>
      </c>
    </row>
    <row r="522" spans="1:3" x14ac:dyDescent="0.25">
      <c r="A522" s="23">
        <f t="shared" si="5"/>
        <v>43556</v>
      </c>
      <c r="B522" s="5" t="s">
        <v>151</v>
      </c>
      <c r="C522" s="5">
        <v>-124262</v>
      </c>
    </row>
    <row r="523" spans="1:3" x14ac:dyDescent="0.25">
      <c r="A523" s="23">
        <f t="shared" si="5"/>
        <v>43556</v>
      </c>
      <c r="B523" s="5" t="s">
        <v>152</v>
      </c>
      <c r="C523" s="5">
        <v>-266542</v>
      </c>
    </row>
    <row r="524" spans="1:3" x14ac:dyDescent="0.25">
      <c r="A524" s="23">
        <f t="shared" si="5"/>
        <v>43556</v>
      </c>
      <c r="B524" s="5" t="s">
        <v>153</v>
      </c>
      <c r="C524" s="5">
        <v>-185129</v>
      </c>
    </row>
    <row r="525" spans="1:3" x14ac:dyDescent="0.25">
      <c r="A525" s="23">
        <f t="shared" si="5"/>
        <v>43556</v>
      </c>
      <c r="B525" s="5" t="s">
        <v>154</v>
      </c>
      <c r="C525" s="5">
        <v>-153508</v>
      </c>
    </row>
    <row r="526" spans="1:3" x14ac:dyDescent="0.25">
      <c r="A526" s="23">
        <f t="shared" si="5"/>
        <v>43556</v>
      </c>
      <c r="B526" s="5" t="s">
        <v>155</v>
      </c>
      <c r="C526" s="5">
        <v>-129227</v>
      </c>
    </row>
    <row r="527" spans="1:3" x14ac:dyDescent="0.25">
      <c r="A527" s="23">
        <f t="shared" ref="A527:A590" si="6">EDATE(A387,1)</f>
        <v>43556</v>
      </c>
      <c r="B527" s="5" t="s">
        <v>156</v>
      </c>
      <c r="C527" s="5">
        <v>-256246</v>
      </c>
    </row>
    <row r="528" spans="1:3" x14ac:dyDescent="0.25">
      <c r="A528" s="23">
        <f t="shared" si="6"/>
        <v>43556</v>
      </c>
      <c r="B528" s="5" t="s">
        <v>157</v>
      </c>
      <c r="C528" s="5">
        <v>-196724</v>
      </c>
    </row>
    <row r="529" spans="1:3" x14ac:dyDescent="0.25">
      <c r="A529" s="23">
        <f t="shared" si="6"/>
        <v>43556</v>
      </c>
      <c r="B529" s="5" t="s">
        <v>158</v>
      </c>
      <c r="C529" s="5">
        <v>-154067</v>
      </c>
    </row>
    <row r="530" spans="1:3" x14ac:dyDescent="0.25">
      <c r="A530" s="23">
        <f t="shared" si="6"/>
        <v>43556</v>
      </c>
      <c r="B530" s="5" t="s">
        <v>159</v>
      </c>
      <c r="C530" s="5">
        <v>-189046</v>
      </c>
    </row>
    <row r="531" spans="1:3" x14ac:dyDescent="0.25">
      <c r="A531" s="23">
        <f t="shared" si="6"/>
        <v>43556</v>
      </c>
      <c r="B531" s="5" t="s">
        <v>160</v>
      </c>
      <c r="C531" s="5">
        <v>-287755</v>
      </c>
    </row>
    <row r="532" spans="1:3" x14ac:dyDescent="0.25">
      <c r="A532" s="23">
        <f t="shared" si="6"/>
        <v>43556</v>
      </c>
      <c r="B532" s="5" t="s">
        <v>161</v>
      </c>
      <c r="C532" s="5">
        <v>-103843</v>
      </c>
    </row>
    <row r="533" spans="1:3" x14ac:dyDescent="0.25">
      <c r="A533" s="23">
        <f t="shared" si="6"/>
        <v>43556</v>
      </c>
      <c r="B533" s="5" t="s">
        <v>162</v>
      </c>
      <c r="C533" s="5">
        <v>-136074</v>
      </c>
    </row>
    <row r="534" spans="1:3" x14ac:dyDescent="0.25">
      <c r="A534" s="23">
        <f t="shared" si="6"/>
        <v>43556</v>
      </c>
      <c r="B534" s="5" t="s">
        <v>163</v>
      </c>
      <c r="C534" s="5">
        <v>-227677</v>
      </c>
    </row>
    <row r="535" spans="1:3" x14ac:dyDescent="0.25">
      <c r="A535" s="23">
        <f t="shared" si="6"/>
        <v>43556</v>
      </c>
      <c r="B535" s="5" t="s">
        <v>164</v>
      </c>
      <c r="C535" s="5">
        <v>-55822</v>
      </c>
    </row>
    <row r="536" spans="1:3" x14ac:dyDescent="0.25">
      <c r="A536" s="23">
        <f t="shared" si="6"/>
        <v>43556</v>
      </c>
      <c r="B536" s="5" t="s">
        <v>165</v>
      </c>
      <c r="C536" s="5">
        <v>-91747</v>
      </c>
    </row>
    <row r="537" spans="1:3" x14ac:dyDescent="0.25">
      <c r="A537" s="23">
        <f t="shared" si="6"/>
        <v>43556</v>
      </c>
      <c r="B537" s="5" t="s">
        <v>166</v>
      </c>
      <c r="C537" s="5">
        <v>-93287</v>
      </c>
    </row>
    <row r="538" spans="1:3" x14ac:dyDescent="0.25">
      <c r="A538" s="23">
        <f t="shared" si="6"/>
        <v>43556</v>
      </c>
      <c r="B538" s="5" t="s">
        <v>167</v>
      </c>
      <c r="C538" s="5">
        <v>-373534</v>
      </c>
    </row>
    <row r="539" spans="1:3" x14ac:dyDescent="0.25">
      <c r="A539" s="23">
        <f t="shared" si="6"/>
        <v>43556</v>
      </c>
      <c r="B539" s="5" t="s">
        <v>168</v>
      </c>
      <c r="C539" s="5">
        <v>-150583</v>
      </c>
    </row>
    <row r="540" spans="1:3" x14ac:dyDescent="0.25">
      <c r="A540" s="23">
        <f t="shared" si="6"/>
        <v>43556</v>
      </c>
      <c r="B540" s="5" t="s">
        <v>169</v>
      </c>
      <c r="C540" s="5">
        <v>-386469</v>
      </c>
    </row>
    <row r="541" spans="1:3" x14ac:dyDescent="0.25">
      <c r="A541" s="23">
        <f t="shared" si="6"/>
        <v>43556</v>
      </c>
      <c r="B541" s="5" t="s">
        <v>170</v>
      </c>
      <c r="C541" s="5">
        <v>-341876</v>
      </c>
    </row>
    <row r="542" spans="1:3" x14ac:dyDescent="0.25">
      <c r="A542" s="23">
        <f t="shared" si="6"/>
        <v>43556</v>
      </c>
      <c r="B542" s="5" t="s">
        <v>171</v>
      </c>
      <c r="C542" s="5">
        <v>-374501</v>
      </c>
    </row>
    <row r="543" spans="1:3" x14ac:dyDescent="0.25">
      <c r="A543" s="23">
        <f t="shared" si="6"/>
        <v>43556</v>
      </c>
      <c r="B543" s="5" t="s">
        <v>172</v>
      </c>
      <c r="C543" s="5">
        <v>-307717</v>
      </c>
    </row>
    <row r="544" spans="1:3" x14ac:dyDescent="0.25">
      <c r="A544" s="23">
        <f t="shared" si="6"/>
        <v>43556</v>
      </c>
      <c r="B544" s="5" t="s">
        <v>173</v>
      </c>
      <c r="C544" s="5">
        <v>-45837</v>
      </c>
    </row>
    <row r="545" spans="1:3" x14ac:dyDescent="0.25">
      <c r="A545" s="23">
        <f t="shared" si="6"/>
        <v>43556</v>
      </c>
      <c r="B545" s="5" t="s">
        <v>174</v>
      </c>
      <c r="C545" s="5">
        <v>-51845</v>
      </c>
    </row>
    <row r="546" spans="1:3" x14ac:dyDescent="0.25">
      <c r="A546" s="23">
        <f t="shared" si="6"/>
        <v>43556</v>
      </c>
      <c r="B546" s="5" t="s">
        <v>175</v>
      </c>
      <c r="C546" s="5">
        <v>-46519</v>
      </c>
    </row>
    <row r="547" spans="1:3" x14ac:dyDescent="0.25">
      <c r="A547" s="23">
        <f t="shared" si="6"/>
        <v>43556</v>
      </c>
      <c r="B547" s="5" t="s">
        <v>176</v>
      </c>
      <c r="C547" s="5">
        <v>-57701</v>
      </c>
    </row>
    <row r="548" spans="1:3" x14ac:dyDescent="0.25">
      <c r="A548" s="23">
        <f t="shared" si="6"/>
        <v>43556</v>
      </c>
      <c r="B548" s="5" t="s">
        <v>177</v>
      </c>
      <c r="C548" s="5">
        <v>-54383</v>
      </c>
    </row>
    <row r="549" spans="1:3" x14ac:dyDescent="0.25">
      <c r="A549" s="23">
        <f t="shared" si="6"/>
        <v>43556</v>
      </c>
      <c r="B549" s="5" t="s">
        <v>178</v>
      </c>
      <c r="C549" s="5">
        <v>-171666</v>
      </c>
    </row>
    <row r="550" spans="1:3" x14ac:dyDescent="0.25">
      <c r="A550" s="23">
        <f t="shared" si="6"/>
        <v>43556</v>
      </c>
      <c r="B550" s="5" t="s">
        <v>179</v>
      </c>
      <c r="C550" s="5">
        <v>-217829</v>
      </c>
    </row>
    <row r="551" spans="1:3" x14ac:dyDescent="0.25">
      <c r="A551" s="23">
        <f t="shared" si="6"/>
        <v>43556</v>
      </c>
      <c r="B551" s="5" t="s">
        <v>180</v>
      </c>
      <c r="C551" s="5">
        <v>-265483</v>
      </c>
    </row>
    <row r="552" spans="1:3" x14ac:dyDescent="0.25">
      <c r="A552" s="23">
        <f t="shared" si="6"/>
        <v>43556</v>
      </c>
      <c r="B552" s="5" t="s">
        <v>181</v>
      </c>
      <c r="C552" s="5">
        <v>-62832</v>
      </c>
    </row>
    <row r="553" spans="1:3" x14ac:dyDescent="0.25">
      <c r="A553" s="23">
        <f t="shared" si="6"/>
        <v>43556</v>
      </c>
      <c r="B553" s="5" t="s">
        <v>182</v>
      </c>
      <c r="C553" s="5">
        <v>-61689</v>
      </c>
    </row>
    <row r="554" spans="1:3" x14ac:dyDescent="0.25">
      <c r="A554" s="23">
        <f t="shared" si="6"/>
        <v>43556</v>
      </c>
      <c r="B554" s="5" t="s">
        <v>183</v>
      </c>
      <c r="C554" s="5">
        <v>-67176</v>
      </c>
    </row>
    <row r="555" spans="1:3" x14ac:dyDescent="0.25">
      <c r="A555" s="23">
        <f t="shared" si="6"/>
        <v>43556</v>
      </c>
      <c r="B555" s="5" t="s">
        <v>184</v>
      </c>
      <c r="C555" s="5">
        <v>-64893</v>
      </c>
    </row>
    <row r="556" spans="1:3" x14ac:dyDescent="0.25">
      <c r="A556" s="23">
        <f t="shared" si="6"/>
        <v>43556</v>
      </c>
      <c r="B556" s="5" t="s">
        <v>185</v>
      </c>
      <c r="C556" s="5">
        <v>-107845</v>
      </c>
    </row>
    <row r="557" spans="1:3" x14ac:dyDescent="0.25">
      <c r="A557" s="23">
        <f t="shared" si="6"/>
        <v>43556</v>
      </c>
      <c r="B557" s="5" t="s">
        <v>186</v>
      </c>
      <c r="C557" s="5">
        <v>-110325</v>
      </c>
    </row>
    <row r="558" spans="1:3" x14ac:dyDescent="0.25">
      <c r="A558" s="23">
        <f t="shared" si="6"/>
        <v>43556</v>
      </c>
      <c r="B558" s="5" t="s">
        <v>187</v>
      </c>
      <c r="C558" s="5">
        <v>-196973</v>
      </c>
    </row>
    <row r="559" spans="1:3" x14ac:dyDescent="0.25">
      <c r="A559" s="23">
        <f t="shared" si="6"/>
        <v>43556</v>
      </c>
      <c r="B559" s="5" t="s">
        <v>188</v>
      </c>
      <c r="C559" s="5">
        <v>-116802</v>
      </c>
    </row>
    <row r="560" spans="1:3" x14ac:dyDescent="0.25">
      <c r="A560" s="23">
        <f t="shared" si="6"/>
        <v>43556</v>
      </c>
      <c r="B560" s="5" t="s">
        <v>189</v>
      </c>
      <c r="C560" s="5">
        <v>-8913</v>
      </c>
    </row>
    <row r="561" spans="1:3" x14ac:dyDescent="0.25">
      <c r="A561" s="23">
        <f t="shared" si="6"/>
        <v>43556</v>
      </c>
      <c r="B561" s="5" t="s">
        <v>190</v>
      </c>
      <c r="C561" s="5">
        <v>-15702</v>
      </c>
    </row>
    <row r="562" spans="1:3" x14ac:dyDescent="0.25">
      <c r="A562" s="23">
        <f t="shared" si="6"/>
        <v>43586</v>
      </c>
      <c r="B562" s="5" t="s">
        <v>51</v>
      </c>
      <c r="C562" s="5">
        <v>507817</v>
      </c>
    </row>
    <row r="563" spans="1:3" x14ac:dyDescent="0.25">
      <c r="A563" s="23">
        <f t="shared" si="6"/>
        <v>43586</v>
      </c>
      <c r="B563" s="5" t="s">
        <v>52</v>
      </c>
      <c r="C563" s="5">
        <v>285441</v>
      </c>
    </row>
    <row r="564" spans="1:3" x14ac:dyDescent="0.25">
      <c r="A564" s="23">
        <f t="shared" si="6"/>
        <v>43586</v>
      </c>
      <c r="B564" s="5" t="s">
        <v>53</v>
      </c>
      <c r="C564" s="5">
        <v>347470</v>
      </c>
    </row>
    <row r="565" spans="1:3" x14ac:dyDescent="0.25">
      <c r="A565" s="23">
        <f t="shared" si="6"/>
        <v>43586</v>
      </c>
      <c r="B565" s="5" t="s">
        <v>54</v>
      </c>
      <c r="C565" s="5">
        <v>465705</v>
      </c>
    </row>
    <row r="566" spans="1:3" x14ac:dyDescent="0.25">
      <c r="A566" s="23">
        <f t="shared" si="6"/>
        <v>43586</v>
      </c>
      <c r="B566" s="5" t="s">
        <v>55</v>
      </c>
      <c r="C566" s="5">
        <v>696490</v>
      </c>
    </row>
    <row r="567" spans="1:3" x14ac:dyDescent="0.25">
      <c r="A567" s="23">
        <f t="shared" si="6"/>
        <v>43586</v>
      </c>
      <c r="B567" s="5" t="s">
        <v>56</v>
      </c>
      <c r="C567" s="5">
        <v>921980</v>
      </c>
    </row>
    <row r="568" spans="1:3" x14ac:dyDescent="0.25">
      <c r="A568" s="23">
        <f t="shared" si="6"/>
        <v>43586</v>
      </c>
      <c r="B568" s="5" t="s">
        <v>57</v>
      </c>
      <c r="C568" s="5">
        <v>653661</v>
      </c>
    </row>
    <row r="569" spans="1:3" x14ac:dyDescent="0.25">
      <c r="A569" s="23">
        <f t="shared" si="6"/>
        <v>43586</v>
      </c>
      <c r="B569" s="5" t="s">
        <v>58</v>
      </c>
      <c r="C569" s="5">
        <v>667665</v>
      </c>
    </row>
    <row r="570" spans="1:3" x14ac:dyDescent="0.25">
      <c r="A570" s="23">
        <f t="shared" si="6"/>
        <v>43586</v>
      </c>
      <c r="B570" s="5" t="s">
        <v>59</v>
      </c>
      <c r="C570" s="5">
        <v>962290</v>
      </c>
    </row>
    <row r="571" spans="1:3" x14ac:dyDescent="0.25">
      <c r="A571" s="23">
        <f t="shared" si="6"/>
        <v>43586</v>
      </c>
      <c r="B571" s="5" t="s">
        <v>60</v>
      </c>
      <c r="C571" s="5">
        <v>275256</v>
      </c>
    </row>
    <row r="572" spans="1:3" x14ac:dyDescent="0.25">
      <c r="A572" s="23">
        <f t="shared" si="6"/>
        <v>43586</v>
      </c>
      <c r="B572" s="5" t="s">
        <v>61</v>
      </c>
      <c r="C572" s="5">
        <v>823154</v>
      </c>
    </row>
    <row r="573" spans="1:3" x14ac:dyDescent="0.25">
      <c r="A573" s="23">
        <f t="shared" si="6"/>
        <v>43586</v>
      </c>
      <c r="B573" s="5" t="s">
        <v>62</v>
      </c>
      <c r="C573" s="5">
        <v>532717</v>
      </c>
    </row>
    <row r="574" spans="1:3" x14ac:dyDescent="0.25">
      <c r="A574" s="23">
        <f t="shared" si="6"/>
        <v>43586</v>
      </c>
      <c r="B574" s="5" t="s">
        <v>63</v>
      </c>
      <c r="C574" s="5">
        <v>607325</v>
      </c>
    </row>
    <row r="575" spans="1:3" x14ac:dyDescent="0.25">
      <c r="A575" s="23">
        <f t="shared" si="6"/>
        <v>43586</v>
      </c>
      <c r="B575" s="5" t="s">
        <v>64</v>
      </c>
      <c r="C575" s="5">
        <v>592612</v>
      </c>
    </row>
    <row r="576" spans="1:3" x14ac:dyDescent="0.25">
      <c r="A576" s="23">
        <f t="shared" si="6"/>
        <v>43586</v>
      </c>
      <c r="B576" s="5" t="s">
        <v>65</v>
      </c>
      <c r="C576" s="5">
        <v>928410</v>
      </c>
    </row>
    <row r="577" spans="1:3" x14ac:dyDescent="0.25">
      <c r="A577" s="23">
        <f t="shared" si="6"/>
        <v>43586</v>
      </c>
      <c r="B577" s="5" t="s">
        <v>66</v>
      </c>
      <c r="C577" s="5">
        <v>476702</v>
      </c>
    </row>
    <row r="578" spans="1:3" x14ac:dyDescent="0.25">
      <c r="A578" s="23">
        <f t="shared" si="6"/>
        <v>43586</v>
      </c>
      <c r="B578" s="5" t="s">
        <v>67</v>
      </c>
      <c r="C578" s="5">
        <v>354258</v>
      </c>
    </row>
    <row r="579" spans="1:3" x14ac:dyDescent="0.25">
      <c r="A579" s="23">
        <f t="shared" si="6"/>
        <v>43586</v>
      </c>
      <c r="B579" s="5" t="s">
        <v>68</v>
      </c>
      <c r="C579" s="5">
        <v>995518</v>
      </c>
    </row>
    <row r="580" spans="1:3" x14ac:dyDescent="0.25">
      <c r="A580" s="23">
        <f t="shared" si="6"/>
        <v>43586</v>
      </c>
      <c r="B580" s="5" t="s">
        <v>69</v>
      </c>
      <c r="C580" s="5">
        <v>357276</v>
      </c>
    </row>
    <row r="581" spans="1:3" x14ac:dyDescent="0.25">
      <c r="A581" s="23">
        <f t="shared" si="6"/>
        <v>43586</v>
      </c>
      <c r="B581" s="5" t="s">
        <v>70</v>
      </c>
      <c r="C581" s="5">
        <v>213246</v>
      </c>
    </row>
    <row r="582" spans="1:3" x14ac:dyDescent="0.25">
      <c r="A582" s="23">
        <f t="shared" si="6"/>
        <v>43586</v>
      </c>
      <c r="B582" s="5" t="s">
        <v>71</v>
      </c>
      <c r="C582" s="5">
        <v>742091</v>
      </c>
    </row>
    <row r="583" spans="1:3" x14ac:dyDescent="0.25">
      <c r="A583" s="23">
        <f t="shared" si="6"/>
        <v>43586</v>
      </c>
      <c r="B583" s="5" t="s">
        <v>72</v>
      </c>
      <c r="C583" s="5">
        <v>440459</v>
      </c>
    </row>
    <row r="584" spans="1:3" x14ac:dyDescent="0.25">
      <c r="A584" s="23">
        <f t="shared" si="6"/>
        <v>43586</v>
      </c>
      <c r="B584" s="5" t="s">
        <v>73</v>
      </c>
      <c r="C584" s="5">
        <v>294934</v>
      </c>
    </row>
    <row r="585" spans="1:3" x14ac:dyDescent="0.25">
      <c r="A585" s="23">
        <f t="shared" si="6"/>
        <v>43586</v>
      </c>
      <c r="B585" s="5" t="s">
        <v>74</v>
      </c>
      <c r="C585" s="5">
        <v>141888</v>
      </c>
    </row>
    <row r="586" spans="1:3" x14ac:dyDescent="0.25">
      <c r="A586" s="23">
        <f t="shared" si="6"/>
        <v>43586</v>
      </c>
      <c r="B586" s="5" t="s">
        <v>75</v>
      </c>
      <c r="C586" s="5">
        <v>274375</v>
      </c>
    </row>
    <row r="587" spans="1:3" x14ac:dyDescent="0.25">
      <c r="A587" s="23">
        <f t="shared" si="6"/>
        <v>43586</v>
      </c>
      <c r="B587" s="5" t="s">
        <v>76</v>
      </c>
      <c r="C587" s="5">
        <v>178342</v>
      </c>
    </row>
    <row r="588" spans="1:3" x14ac:dyDescent="0.25">
      <c r="A588" s="23">
        <f t="shared" si="6"/>
        <v>43586</v>
      </c>
      <c r="B588" s="5" t="s">
        <v>77</v>
      </c>
      <c r="C588" s="5">
        <v>233873</v>
      </c>
    </row>
    <row r="589" spans="1:3" x14ac:dyDescent="0.25">
      <c r="A589" s="23">
        <f t="shared" si="6"/>
        <v>43586</v>
      </c>
      <c r="B589" s="5" t="s">
        <v>78</v>
      </c>
      <c r="C589" s="5">
        <v>263441</v>
      </c>
    </row>
    <row r="590" spans="1:3" x14ac:dyDescent="0.25">
      <c r="A590" s="23">
        <f t="shared" si="6"/>
        <v>43586</v>
      </c>
      <c r="B590" s="5" t="s">
        <v>79</v>
      </c>
      <c r="C590" s="5">
        <v>178784</v>
      </c>
    </row>
    <row r="591" spans="1:3" x14ac:dyDescent="0.25">
      <c r="A591" s="23">
        <f t="shared" ref="A591:A654" si="7">EDATE(A451,1)</f>
        <v>43586</v>
      </c>
      <c r="B591" s="5" t="s">
        <v>80</v>
      </c>
      <c r="C591" s="5">
        <v>262367</v>
      </c>
    </row>
    <row r="592" spans="1:3" x14ac:dyDescent="0.25">
      <c r="A592" s="23">
        <f t="shared" si="7"/>
        <v>43586</v>
      </c>
      <c r="B592" s="5" t="s">
        <v>81</v>
      </c>
      <c r="C592" s="5">
        <v>124844</v>
      </c>
    </row>
    <row r="593" spans="1:3" x14ac:dyDescent="0.25">
      <c r="A593" s="23">
        <f t="shared" si="7"/>
        <v>43586</v>
      </c>
      <c r="B593" s="5" t="s">
        <v>82</v>
      </c>
      <c r="C593" s="5">
        <v>191305</v>
      </c>
    </row>
    <row r="594" spans="1:3" x14ac:dyDescent="0.25">
      <c r="A594" s="23">
        <f t="shared" si="7"/>
        <v>43586</v>
      </c>
      <c r="B594" s="5" t="s">
        <v>83</v>
      </c>
      <c r="C594" s="5">
        <v>213506</v>
      </c>
    </row>
    <row r="595" spans="1:3" x14ac:dyDescent="0.25">
      <c r="A595" s="23">
        <f t="shared" si="7"/>
        <v>43586</v>
      </c>
      <c r="B595" s="5" t="s">
        <v>84</v>
      </c>
      <c r="C595" s="5">
        <v>99063</v>
      </c>
    </row>
    <row r="596" spans="1:3" x14ac:dyDescent="0.25">
      <c r="A596" s="23">
        <f t="shared" si="7"/>
        <v>43586</v>
      </c>
      <c r="B596" s="5" t="s">
        <v>85</v>
      </c>
      <c r="C596" s="5">
        <v>89638</v>
      </c>
    </row>
    <row r="597" spans="1:3" x14ac:dyDescent="0.25">
      <c r="A597" s="23">
        <f t="shared" si="7"/>
        <v>43586</v>
      </c>
      <c r="B597" s="5" t="s">
        <v>86</v>
      </c>
      <c r="C597" s="5">
        <v>248437</v>
      </c>
    </row>
    <row r="598" spans="1:3" x14ac:dyDescent="0.25">
      <c r="A598" s="23">
        <f t="shared" si="7"/>
        <v>43586</v>
      </c>
      <c r="B598" s="5" t="s">
        <v>87</v>
      </c>
      <c r="C598" s="5">
        <v>190877</v>
      </c>
    </row>
    <row r="599" spans="1:3" x14ac:dyDescent="0.25">
      <c r="A599" s="23">
        <f t="shared" si="7"/>
        <v>43586</v>
      </c>
      <c r="B599" s="5" t="s">
        <v>88</v>
      </c>
      <c r="C599" s="5">
        <v>213637</v>
      </c>
    </row>
    <row r="600" spans="1:3" x14ac:dyDescent="0.25">
      <c r="A600" s="23">
        <f t="shared" si="7"/>
        <v>43586</v>
      </c>
      <c r="B600" s="5" t="s">
        <v>89</v>
      </c>
      <c r="C600" s="5">
        <v>138595</v>
      </c>
    </row>
    <row r="601" spans="1:3" x14ac:dyDescent="0.25">
      <c r="A601" s="23">
        <f t="shared" si="7"/>
        <v>43586</v>
      </c>
      <c r="B601" s="5" t="s">
        <v>90</v>
      </c>
      <c r="C601" s="5">
        <v>87312</v>
      </c>
    </row>
    <row r="602" spans="1:3" x14ac:dyDescent="0.25">
      <c r="A602" s="23">
        <f t="shared" si="7"/>
        <v>43586</v>
      </c>
      <c r="B602" s="5" t="s">
        <v>91</v>
      </c>
      <c r="C602" s="5">
        <v>122580</v>
      </c>
    </row>
    <row r="603" spans="1:3" x14ac:dyDescent="0.25">
      <c r="A603" s="23">
        <f t="shared" si="7"/>
        <v>43586</v>
      </c>
      <c r="B603" s="5" t="s">
        <v>92</v>
      </c>
      <c r="C603" s="5">
        <v>124196</v>
      </c>
    </row>
    <row r="604" spans="1:3" x14ac:dyDescent="0.25">
      <c r="A604" s="23">
        <f t="shared" si="7"/>
        <v>43586</v>
      </c>
      <c r="B604" s="5" t="s">
        <v>93</v>
      </c>
      <c r="C604" s="5">
        <v>147615</v>
      </c>
    </row>
    <row r="605" spans="1:3" x14ac:dyDescent="0.25">
      <c r="A605" s="23">
        <f t="shared" si="7"/>
        <v>43586</v>
      </c>
      <c r="B605" s="5" t="s">
        <v>94</v>
      </c>
      <c r="C605" s="5">
        <v>125121</v>
      </c>
    </row>
    <row r="606" spans="1:3" x14ac:dyDescent="0.25">
      <c r="A606" s="23">
        <f t="shared" si="7"/>
        <v>43586</v>
      </c>
      <c r="B606" s="5" t="s">
        <v>95</v>
      </c>
      <c r="C606" s="5">
        <v>96109</v>
      </c>
    </row>
    <row r="607" spans="1:3" x14ac:dyDescent="0.25">
      <c r="A607" s="23">
        <f t="shared" si="7"/>
        <v>43586</v>
      </c>
      <c r="B607" s="5" t="s">
        <v>96</v>
      </c>
      <c r="C607" s="5">
        <v>76192</v>
      </c>
    </row>
    <row r="608" spans="1:3" x14ac:dyDescent="0.25">
      <c r="A608" s="23">
        <f t="shared" si="7"/>
        <v>43586</v>
      </c>
      <c r="B608" s="5" t="s">
        <v>97</v>
      </c>
      <c r="C608" s="5">
        <v>258945</v>
      </c>
    </row>
    <row r="609" spans="1:3" x14ac:dyDescent="0.25">
      <c r="A609" s="23">
        <f t="shared" si="7"/>
        <v>43586</v>
      </c>
      <c r="B609" s="5" t="s">
        <v>98</v>
      </c>
      <c r="C609" s="5">
        <v>282545</v>
      </c>
    </row>
    <row r="610" spans="1:3" x14ac:dyDescent="0.25">
      <c r="A610" s="23">
        <f t="shared" si="7"/>
        <v>43586</v>
      </c>
      <c r="B610" s="5" t="s">
        <v>99</v>
      </c>
      <c r="C610" s="5">
        <v>75722</v>
      </c>
    </row>
    <row r="611" spans="1:3" x14ac:dyDescent="0.25">
      <c r="A611" s="23">
        <f t="shared" si="7"/>
        <v>43586</v>
      </c>
      <c r="B611" s="5" t="s">
        <v>100</v>
      </c>
      <c r="C611" s="5">
        <v>150398</v>
      </c>
    </row>
    <row r="612" spans="1:3" x14ac:dyDescent="0.25">
      <c r="A612" s="23">
        <f t="shared" si="7"/>
        <v>43586</v>
      </c>
      <c r="B612" s="5" t="s">
        <v>101</v>
      </c>
      <c r="C612" s="5">
        <v>262186</v>
      </c>
    </row>
    <row r="613" spans="1:3" x14ac:dyDescent="0.25">
      <c r="A613" s="23">
        <f t="shared" si="7"/>
        <v>43586</v>
      </c>
      <c r="B613" s="5" t="s">
        <v>102</v>
      </c>
      <c r="C613" s="5">
        <v>68763</v>
      </c>
    </row>
    <row r="614" spans="1:3" x14ac:dyDescent="0.25">
      <c r="A614" s="23">
        <f t="shared" si="7"/>
        <v>43586</v>
      </c>
      <c r="B614" s="5" t="s">
        <v>103</v>
      </c>
      <c r="C614" s="5">
        <v>130359</v>
      </c>
    </row>
    <row r="615" spans="1:3" x14ac:dyDescent="0.25">
      <c r="A615" s="23">
        <f t="shared" si="7"/>
        <v>43586</v>
      </c>
      <c r="B615" s="5" t="s">
        <v>104</v>
      </c>
      <c r="C615" s="5">
        <v>202205</v>
      </c>
    </row>
    <row r="616" spans="1:3" x14ac:dyDescent="0.25">
      <c r="A616" s="23">
        <f t="shared" si="7"/>
        <v>43586</v>
      </c>
      <c r="B616" s="5" t="s">
        <v>105</v>
      </c>
      <c r="C616" s="5">
        <v>119394</v>
      </c>
    </row>
    <row r="617" spans="1:3" x14ac:dyDescent="0.25">
      <c r="A617" s="23">
        <f t="shared" si="7"/>
        <v>43586</v>
      </c>
      <c r="B617" s="5" t="s">
        <v>106</v>
      </c>
      <c r="C617" s="5">
        <v>176201</v>
      </c>
    </row>
    <row r="618" spans="1:3" x14ac:dyDescent="0.25">
      <c r="A618" s="23">
        <f t="shared" si="7"/>
        <v>43586</v>
      </c>
      <c r="B618" s="5" t="s">
        <v>107</v>
      </c>
      <c r="C618" s="5">
        <v>141645</v>
      </c>
    </row>
    <row r="619" spans="1:3" x14ac:dyDescent="0.25">
      <c r="A619" s="23">
        <f t="shared" si="7"/>
        <v>43586</v>
      </c>
      <c r="B619" s="5" t="s">
        <v>108</v>
      </c>
      <c r="C619" s="5">
        <v>71026</v>
      </c>
    </row>
    <row r="620" spans="1:3" x14ac:dyDescent="0.25">
      <c r="A620" s="23">
        <f t="shared" si="7"/>
        <v>43586</v>
      </c>
      <c r="B620" s="5" t="s">
        <v>109</v>
      </c>
      <c r="C620" s="5">
        <v>240575</v>
      </c>
    </row>
    <row r="621" spans="1:3" x14ac:dyDescent="0.25">
      <c r="A621" s="23">
        <f t="shared" si="7"/>
        <v>43586</v>
      </c>
      <c r="B621" s="5" t="s">
        <v>110</v>
      </c>
      <c r="C621" s="5">
        <v>-7298</v>
      </c>
    </row>
    <row r="622" spans="1:3" x14ac:dyDescent="0.25">
      <c r="A622" s="23">
        <f t="shared" si="7"/>
        <v>43586</v>
      </c>
      <c r="B622" s="5" t="s">
        <v>111</v>
      </c>
      <c r="C622" s="5">
        <v>-9460</v>
      </c>
    </row>
    <row r="623" spans="1:3" x14ac:dyDescent="0.25">
      <c r="A623" s="23">
        <f t="shared" si="7"/>
        <v>43586</v>
      </c>
      <c r="B623" s="5" t="s">
        <v>112</v>
      </c>
      <c r="C623" s="5">
        <v>-3682</v>
      </c>
    </row>
    <row r="624" spans="1:3" x14ac:dyDescent="0.25">
      <c r="A624" s="23">
        <f t="shared" si="7"/>
        <v>43586</v>
      </c>
      <c r="B624" s="5" t="s">
        <v>113</v>
      </c>
      <c r="C624" s="5">
        <v>-7376</v>
      </c>
    </row>
    <row r="625" spans="1:3" x14ac:dyDescent="0.25">
      <c r="A625" s="23">
        <f t="shared" si="7"/>
        <v>43586</v>
      </c>
      <c r="B625" s="5" t="s">
        <v>114</v>
      </c>
      <c r="C625" s="5">
        <v>-7664</v>
      </c>
    </row>
    <row r="626" spans="1:3" x14ac:dyDescent="0.25">
      <c r="A626" s="23">
        <f t="shared" si="7"/>
        <v>43586</v>
      </c>
      <c r="B626" s="5" t="s">
        <v>115</v>
      </c>
      <c r="C626" s="5">
        <v>-1071</v>
      </c>
    </row>
    <row r="627" spans="1:3" x14ac:dyDescent="0.25">
      <c r="A627" s="23">
        <f t="shared" si="7"/>
        <v>43586</v>
      </c>
      <c r="B627" s="5" t="s">
        <v>116</v>
      </c>
      <c r="C627" s="5">
        <v>-9473</v>
      </c>
    </row>
    <row r="628" spans="1:3" x14ac:dyDescent="0.25">
      <c r="A628" s="23">
        <f t="shared" si="7"/>
        <v>43586</v>
      </c>
      <c r="B628" s="5" t="s">
        <v>117</v>
      </c>
      <c r="C628" s="5">
        <v>-9153</v>
      </c>
    </row>
    <row r="629" spans="1:3" x14ac:dyDescent="0.25">
      <c r="A629" s="23">
        <f t="shared" si="7"/>
        <v>43586</v>
      </c>
      <c r="B629" s="5" t="s">
        <v>118</v>
      </c>
      <c r="C629" s="5">
        <v>-8824</v>
      </c>
    </row>
    <row r="630" spans="1:3" x14ac:dyDescent="0.25">
      <c r="A630" s="23">
        <f t="shared" si="7"/>
        <v>43586</v>
      </c>
      <c r="B630" s="5" t="s">
        <v>119</v>
      </c>
      <c r="C630" s="5">
        <v>-7180</v>
      </c>
    </row>
    <row r="631" spans="1:3" x14ac:dyDescent="0.25">
      <c r="A631" s="23">
        <f t="shared" si="7"/>
        <v>43586</v>
      </c>
      <c r="B631" s="5" t="s">
        <v>120</v>
      </c>
      <c r="C631" s="5">
        <v>-9433</v>
      </c>
    </row>
    <row r="632" spans="1:3" x14ac:dyDescent="0.25">
      <c r="A632" s="23">
        <f t="shared" si="7"/>
        <v>43586</v>
      </c>
      <c r="B632" s="5" t="s">
        <v>121</v>
      </c>
      <c r="C632" s="5">
        <v>-1979</v>
      </c>
    </row>
    <row r="633" spans="1:3" x14ac:dyDescent="0.25">
      <c r="A633" s="23">
        <f t="shared" si="7"/>
        <v>43586</v>
      </c>
      <c r="B633" s="5" t="s">
        <v>122</v>
      </c>
      <c r="C633" s="5">
        <v>-8489</v>
      </c>
    </row>
    <row r="634" spans="1:3" x14ac:dyDescent="0.25">
      <c r="A634" s="23">
        <f t="shared" si="7"/>
        <v>43586</v>
      </c>
      <c r="B634" s="5" t="s">
        <v>123</v>
      </c>
      <c r="C634" s="5">
        <v>-3952</v>
      </c>
    </row>
    <row r="635" spans="1:3" x14ac:dyDescent="0.25">
      <c r="A635" s="23">
        <f t="shared" si="7"/>
        <v>43586</v>
      </c>
      <c r="B635" s="5" t="s">
        <v>124</v>
      </c>
      <c r="C635" s="5">
        <v>-8877</v>
      </c>
    </row>
    <row r="636" spans="1:3" x14ac:dyDescent="0.25">
      <c r="A636" s="23">
        <f t="shared" si="7"/>
        <v>43586</v>
      </c>
      <c r="B636" s="5" t="s">
        <v>125</v>
      </c>
      <c r="C636" s="5">
        <v>-6780</v>
      </c>
    </row>
    <row r="637" spans="1:3" x14ac:dyDescent="0.25">
      <c r="A637" s="23">
        <f t="shared" si="7"/>
        <v>43586</v>
      </c>
      <c r="B637" s="5" t="s">
        <v>126</v>
      </c>
      <c r="C637" s="5">
        <v>-6359</v>
      </c>
    </row>
    <row r="638" spans="1:3" x14ac:dyDescent="0.25">
      <c r="A638" s="23">
        <f t="shared" si="7"/>
        <v>43586</v>
      </c>
      <c r="B638" s="5" t="s">
        <v>127</v>
      </c>
      <c r="C638" s="5">
        <v>-4283</v>
      </c>
    </row>
    <row r="639" spans="1:3" x14ac:dyDescent="0.25">
      <c r="A639" s="23">
        <f t="shared" si="7"/>
        <v>43586</v>
      </c>
      <c r="B639" s="5" t="s">
        <v>128</v>
      </c>
      <c r="C639" s="5">
        <v>-5354</v>
      </c>
    </row>
    <row r="640" spans="1:3" x14ac:dyDescent="0.25">
      <c r="A640" s="23">
        <f t="shared" si="7"/>
        <v>43586</v>
      </c>
      <c r="B640" s="5" t="s">
        <v>129</v>
      </c>
      <c r="C640" s="5">
        <v>-2558</v>
      </c>
    </row>
    <row r="641" spans="1:3" x14ac:dyDescent="0.25">
      <c r="A641" s="23">
        <f t="shared" si="7"/>
        <v>43586</v>
      </c>
      <c r="B641" s="5" t="s">
        <v>130</v>
      </c>
      <c r="C641" s="5">
        <v>-3878</v>
      </c>
    </row>
    <row r="642" spans="1:3" x14ac:dyDescent="0.25">
      <c r="A642" s="23">
        <f t="shared" si="7"/>
        <v>43586</v>
      </c>
      <c r="B642" s="5" t="s">
        <v>131</v>
      </c>
      <c r="C642" s="5">
        <v>-6483</v>
      </c>
    </row>
    <row r="643" spans="1:3" x14ac:dyDescent="0.25">
      <c r="A643" s="23">
        <f t="shared" si="7"/>
        <v>43586</v>
      </c>
      <c r="B643" s="5" t="s">
        <v>132</v>
      </c>
      <c r="C643" s="5">
        <v>-9516</v>
      </c>
    </row>
    <row r="644" spans="1:3" x14ac:dyDescent="0.25">
      <c r="A644" s="23">
        <f t="shared" si="7"/>
        <v>43586</v>
      </c>
      <c r="B644" s="5" t="s">
        <v>133</v>
      </c>
      <c r="C644" s="5">
        <v>-1298</v>
      </c>
    </row>
    <row r="645" spans="1:3" x14ac:dyDescent="0.25">
      <c r="A645" s="23">
        <f t="shared" si="7"/>
        <v>43586</v>
      </c>
      <c r="B645" s="5" t="s">
        <v>134</v>
      </c>
      <c r="C645" s="5">
        <v>-2870</v>
      </c>
    </row>
    <row r="646" spans="1:3" x14ac:dyDescent="0.25">
      <c r="A646" s="23">
        <f t="shared" si="7"/>
        <v>43586</v>
      </c>
      <c r="B646" s="5" t="s">
        <v>135</v>
      </c>
      <c r="C646" s="5">
        <v>-3630</v>
      </c>
    </row>
    <row r="647" spans="1:3" x14ac:dyDescent="0.25">
      <c r="A647" s="23">
        <f t="shared" si="7"/>
        <v>43586</v>
      </c>
      <c r="B647" s="5" t="s">
        <v>136</v>
      </c>
      <c r="C647" s="5">
        <v>-6695</v>
      </c>
    </row>
    <row r="648" spans="1:3" x14ac:dyDescent="0.25">
      <c r="A648" s="23">
        <f t="shared" si="7"/>
        <v>43586</v>
      </c>
      <c r="B648" s="5" t="s">
        <v>137</v>
      </c>
      <c r="C648" s="5">
        <v>-5443</v>
      </c>
    </row>
    <row r="649" spans="1:3" x14ac:dyDescent="0.25">
      <c r="A649" s="23">
        <f t="shared" si="7"/>
        <v>43586</v>
      </c>
      <c r="B649" s="5" t="s">
        <v>138</v>
      </c>
      <c r="C649" s="5">
        <v>-8077</v>
      </c>
    </row>
    <row r="650" spans="1:3" x14ac:dyDescent="0.25">
      <c r="A650" s="23">
        <f t="shared" si="7"/>
        <v>43586</v>
      </c>
      <c r="B650" s="5" t="s">
        <v>139</v>
      </c>
      <c r="C650" s="5">
        <v>-9997</v>
      </c>
    </row>
    <row r="651" spans="1:3" x14ac:dyDescent="0.25">
      <c r="A651" s="23">
        <f t="shared" si="7"/>
        <v>43586</v>
      </c>
      <c r="B651" s="5" t="s">
        <v>140</v>
      </c>
      <c r="C651" s="5">
        <v>-299512</v>
      </c>
    </row>
    <row r="652" spans="1:3" x14ac:dyDescent="0.25">
      <c r="A652" s="23">
        <f t="shared" si="7"/>
        <v>43586</v>
      </c>
      <c r="B652" s="5" t="s">
        <v>141</v>
      </c>
      <c r="C652" s="5">
        <v>-194536</v>
      </c>
    </row>
    <row r="653" spans="1:3" x14ac:dyDescent="0.25">
      <c r="A653" s="23">
        <f t="shared" si="7"/>
        <v>43586</v>
      </c>
      <c r="B653" s="5" t="s">
        <v>142</v>
      </c>
      <c r="C653" s="5">
        <v>-129690</v>
      </c>
    </row>
    <row r="654" spans="1:3" x14ac:dyDescent="0.25">
      <c r="A654" s="23">
        <f t="shared" si="7"/>
        <v>43586</v>
      </c>
      <c r="B654" s="5" t="s">
        <v>143</v>
      </c>
      <c r="C654" s="5">
        <v>-143165</v>
      </c>
    </row>
    <row r="655" spans="1:3" x14ac:dyDescent="0.25">
      <c r="A655" s="23">
        <f t="shared" ref="A655:A718" si="8">EDATE(A515,1)</f>
        <v>43586</v>
      </c>
      <c r="B655" s="5" t="s">
        <v>144</v>
      </c>
      <c r="C655" s="5">
        <v>-85784</v>
      </c>
    </row>
    <row r="656" spans="1:3" x14ac:dyDescent="0.25">
      <c r="A656" s="23">
        <f t="shared" si="8"/>
        <v>43586</v>
      </c>
      <c r="B656" s="5" t="s">
        <v>145</v>
      </c>
      <c r="C656" s="5">
        <v>-248211</v>
      </c>
    </row>
    <row r="657" spans="1:3" x14ac:dyDescent="0.25">
      <c r="A657" s="23">
        <f t="shared" si="8"/>
        <v>43586</v>
      </c>
      <c r="B657" s="5" t="s">
        <v>146</v>
      </c>
      <c r="C657" s="5">
        <v>-120005</v>
      </c>
    </row>
    <row r="658" spans="1:3" x14ac:dyDescent="0.25">
      <c r="A658" s="23">
        <f t="shared" si="8"/>
        <v>43586</v>
      </c>
      <c r="B658" s="5" t="s">
        <v>147</v>
      </c>
      <c r="C658" s="5">
        <v>-219868</v>
      </c>
    </row>
    <row r="659" spans="1:3" x14ac:dyDescent="0.25">
      <c r="A659" s="23">
        <f t="shared" si="8"/>
        <v>43586</v>
      </c>
      <c r="B659" s="5" t="s">
        <v>148</v>
      </c>
      <c r="C659" s="5">
        <v>-81222</v>
      </c>
    </row>
    <row r="660" spans="1:3" x14ac:dyDescent="0.25">
      <c r="A660" s="23">
        <f t="shared" si="8"/>
        <v>43586</v>
      </c>
      <c r="B660" s="5" t="s">
        <v>149</v>
      </c>
      <c r="C660" s="5">
        <v>-100882</v>
      </c>
    </row>
    <row r="661" spans="1:3" x14ac:dyDescent="0.25">
      <c r="A661" s="23">
        <f t="shared" si="8"/>
        <v>43586</v>
      </c>
      <c r="B661" s="5" t="s">
        <v>150</v>
      </c>
      <c r="C661" s="5">
        <v>-78047</v>
      </c>
    </row>
    <row r="662" spans="1:3" x14ac:dyDescent="0.25">
      <c r="A662" s="23">
        <f t="shared" si="8"/>
        <v>43586</v>
      </c>
      <c r="B662" s="5" t="s">
        <v>151</v>
      </c>
      <c r="C662" s="5">
        <v>-145073</v>
      </c>
    </row>
    <row r="663" spans="1:3" x14ac:dyDescent="0.25">
      <c r="A663" s="23">
        <f t="shared" si="8"/>
        <v>43586</v>
      </c>
      <c r="B663" s="5" t="s">
        <v>152</v>
      </c>
      <c r="C663" s="5">
        <v>-152374</v>
      </c>
    </row>
    <row r="664" spans="1:3" x14ac:dyDescent="0.25">
      <c r="A664" s="23">
        <f t="shared" si="8"/>
        <v>43586</v>
      </c>
      <c r="B664" s="5" t="s">
        <v>153</v>
      </c>
      <c r="C664" s="5">
        <v>-156151</v>
      </c>
    </row>
    <row r="665" spans="1:3" x14ac:dyDescent="0.25">
      <c r="A665" s="23">
        <f t="shared" si="8"/>
        <v>43586</v>
      </c>
      <c r="B665" s="5" t="s">
        <v>154</v>
      </c>
      <c r="C665" s="5">
        <v>-99411</v>
      </c>
    </row>
    <row r="666" spans="1:3" x14ac:dyDescent="0.25">
      <c r="A666" s="23">
        <f t="shared" si="8"/>
        <v>43586</v>
      </c>
      <c r="B666" s="5" t="s">
        <v>155</v>
      </c>
      <c r="C666" s="5">
        <v>-254062</v>
      </c>
    </row>
    <row r="667" spans="1:3" x14ac:dyDescent="0.25">
      <c r="A667" s="23">
        <f t="shared" si="8"/>
        <v>43586</v>
      </c>
      <c r="B667" s="5" t="s">
        <v>156</v>
      </c>
      <c r="C667" s="5">
        <v>-226683</v>
      </c>
    </row>
    <row r="668" spans="1:3" x14ac:dyDescent="0.25">
      <c r="A668" s="23">
        <f t="shared" si="8"/>
        <v>43586</v>
      </c>
      <c r="B668" s="5" t="s">
        <v>157</v>
      </c>
      <c r="C668" s="5">
        <v>-132695</v>
      </c>
    </row>
    <row r="669" spans="1:3" x14ac:dyDescent="0.25">
      <c r="A669" s="23">
        <f t="shared" si="8"/>
        <v>43586</v>
      </c>
      <c r="B669" s="5" t="s">
        <v>158</v>
      </c>
      <c r="C669" s="5">
        <v>-157684</v>
      </c>
    </row>
    <row r="670" spans="1:3" x14ac:dyDescent="0.25">
      <c r="A670" s="23">
        <f t="shared" si="8"/>
        <v>43586</v>
      </c>
      <c r="B670" s="5" t="s">
        <v>159</v>
      </c>
      <c r="C670" s="5">
        <v>-273517</v>
      </c>
    </row>
    <row r="671" spans="1:3" x14ac:dyDescent="0.25">
      <c r="A671" s="23">
        <f t="shared" si="8"/>
        <v>43586</v>
      </c>
      <c r="B671" s="5" t="s">
        <v>160</v>
      </c>
      <c r="C671" s="5">
        <v>-285806</v>
      </c>
    </row>
    <row r="672" spans="1:3" x14ac:dyDescent="0.25">
      <c r="A672" s="23">
        <f t="shared" si="8"/>
        <v>43586</v>
      </c>
      <c r="B672" s="5" t="s">
        <v>161</v>
      </c>
      <c r="C672" s="5">
        <v>-221793</v>
      </c>
    </row>
    <row r="673" spans="1:3" x14ac:dyDescent="0.25">
      <c r="A673" s="23">
        <f t="shared" si="8"/>
        <v>43586</v>
      </c>
      <c r="B673" s="5" t="s">
        <v>162</v>
      </c>
      <c r="C673" s="5">
        <v>-238603</v>
      </c>
    </row>
    <row r="674" spans="1:3" x14ac:dyDescent="0.25">
      <c r="A674" s="23">
        <f t="shared" si="8"/>
        <v>43586</v>
      </c>
      <c r="B674" s="5" t="s">
        <v>163</v>
      </c>
      <c r="C674" s="5">
        <v>-88756</v>
      </c>
    </row>
    <row r="675" spans="1:3" x14ac:dyDescent="0.25">
      <c r="A675" s="23">
        <f t="shared" si="8"/>
        <v>43586</v>
      </c>
      <c r="B675" s="5" t="s">
        <v>164</v>
      </c>
      <c r="C675" s="5">
        <v>-62483</v>
      </c>
    </row>
    <row r="676" spans="1:3" x14ac:dyDescent="0.25">
      <c r="A676" s="23">
        <f t="shared" si="8"/>
        <v>43586</v>
      </c>
      <c r="B676" s="5" t="s">
        <v>165</v>
      </c>
      <c r="C676" s="5">
        <v>-98538</v>
      </c>
    </row>
    <row r="677" spans="1:3" x14ac:dyDescent="0.25">
      <c r="A677" s="23">
        <f t="shared" si="8"/>
        <v>43586</v>
      </c>
      <c r="B677" s="5" t="s">
        <v>166</v>
      </c>
      <c r="C677" s="5">
        <v>-75478</v>
      </c>
    </row>
    <row r="678" spans="1:3" x14ac:dyDescent="0.25">
      <c r="A678" s="23">
        <f t="shared" si="8"/>
        <v>43586</v>
      </c>
      <c r="B678" s="5" t="s">
        <v>167</v>
      </c>
      <c r="C678" s="5">
        <v>-342240</v>
      </c>
    </row>
    <row r="679" spans="1:3" x14ac:dyDescent="0.25">
      <c r="A679" s="23">
        <f t="shared" si="8"/>
        <v>43586</v>
      </c>
      <c r="B679" s="5" t="s">
        <v>168</v>
      </c>
      <c r="C679" s="5">
        <v>-286071</v>
      </c>
    </row>
    <row r="680" spans="1:3" x14ac:dyDescent="0.25">
      <c r="A680" s="23">
        <f t="shared" si="8"/>
        <v>43586</v>
      </c>
      <c r="B680" s="5" t="s">
        <v>169</v>
      </c>
      <c r="C680" s="5">
        <v>-203483</v>
      </c>
    </row>
    <row r="681" spans="1:3" x14ac:dyDescent="0.25">
      <c r="A681" s="23">
        <f t="shared" si="8"/>
        <v>43586</v>
      </c>
      <c r="B681" s="5" t="s">
        <v>170</v>
      </c>
      <c r="C681" s="5">
        <v>-344086</v>
      </c>
    </row>
    <row r="682" spans="1:3" x14ac:dyDescent="0.25">
      <c r="A682" s="23">
        <f t="shared" si="8"/>
        <v>43586</v>
      </c>
      <c r="B682" s="5" t="s">
        <v>171</v>
      </c>
      <c r="C682" s="5">
        <v>-343601</v>
      </c>
    </row>
    <row r="683" spans="1:3" x14ac:dyDescent="0.25">
      <c r="A683" s="23">
        <f t="shared" si="8"/>
        <v>43586</v>
      </c>
      <c r="B683" s="5" t="s">
        <v>172</v>
      </c>
      <c r="C683" s="5">
        <v>-162102</v>
      </c>
    </row>
    <row r="684" spans="1:3" x14ac:dyDescent="0.25">
      <c r="A684" s="23">
        <f t="shared" si="8"/>
        <v>43586</v>
      </c>
      <c r="B684" s="5" t="s">
        <v>173</v>
      </c>
      <c r="C684" s="5">
        <v>-49852</v>
      </c>
    </row>
    <row r="685" spans="1:3" x14ac:dyDescent="0.25">
      <c r="A685" s="23">
        <f t="shared" si="8"/>
        <v>43586</v>
      </c>
      <c r="B685" s="5" t="s">
        <v>174</v>
      </c>
      <c r="C685" s="5">
        <v>-47066</v>
      </c>
    </row>
    <row r="686" spans="1:3" x14ac:dyDescent="0.25">
      <c r="A686" s="23">
        <f t="shared" si="8"/>
        <v>43586</v>
      </c>
      <c r="B686" s="5" t="s">
        <v>175</v>
      </c>
      <c r="C686" s="5">
        <v>-55727</v>
      </c>
    </row>
    <row r="687" spans="1:3" x14ac:dyDescent="0.25">
      <c r="A687" s="23">
        <f t="shared" si="8"/>
        <v>43586</v>
      </c>
      <c r="B687" s="5" t="s">
        <v>176</v>
      </c>
      <c r="C687" s="5">
        <v>-50530</v>
      </c>
    </row>
    <row r="688" spans="1:3" x14ac:dyDescent="0.25">
      <c r="A688" s="23">
        <f t="shared" si="8"/>
        <v>43586</v>
      </c>
      <c r="B688" s="5" t="s">
        <v>177</v>
      </c>
      <c r="C688" s="5">
        <v>-46959</v>
      </c>
    </row>
    <row r="689" spans="1:3" x14ac:dyDescent="0.25">
      <c r="A689" s="23">
        <f t="shared" si="8"/>
        <v>43586</v>
      </c>
      <c r="B689" s="5" t="s">
        <v>178</v>
      </c>
      <c r="C689" s="5">
        <v>-185417</v>
      </c>
    </row>
    <row r="690" spans="1:3" x14ac:dyDescent="0.25">
      <c r="A690" s="23">
        <f t="shared" si="8"/>
        <v>43586</v>
      </c>
      <c r="B690" s="5" t="s">
        <v>179</v>
      </c>
      <c r="C690" s="5">
        <v>-228035</v>
      </c>
    </row>
    <row r="691" spans="1:3" x14ac:dyDescent="0.25">
      <c r="A691" s="23">
        <f t="shared" si="8"/>
        <v>43586</v>
      </c>
      <c r="B691" s="5" t="s">
        <v>180</v>
      </c>
      <c r="C691" s="5">
        <v>-204594</v>
      </c>
    </row>
    <row r="692" spans="1:3" x14ac:dyDescent="0.25">
      <c r="A692" s="23">
        <f t="shared" si="8"/>
        <v>43586</v>
      </c>
      <c r="B692" s="5" t="s">
        <v>181</v>
      </c>
      <c r="C692" s="5">
        <v>-51211</v>
      </c>
    </row>
    <row r="693" spans="1:3" x14ac:dyDescent="0.25">
      <c r="A693" s="23">
        <f t="shared" si="8"/>
        <v>43586</v>
      </c>
      <c r="B693" s="5" t="s">
        <v>182</v>
      </c>
      <c r="C693" s="5">
        <v>-78398</v>
      </c>
    </row>
    <row r="694" spans="1:3" x14ac:dyDescent="0.25">
      <c r="A694" s="23">
        <f t="shared" si="8"/>
        <v>43586</v>
      </c>
      <c r="B694" s="5" t="s">
        <v>183</v>
      </c>
      <c r="C694" s="5">
        <v>-79917</v>
      </c>
    </row>
    <row r="695" spans="1:3" x14ac:dyDescent="0.25">
      <c r="A695" s="23">
        <f t="shared" si="8"/>
        <v>43586</v>
      </c>
      <c r="B695" s="5" t="s">
        <v>184</v>
      </c>
      <c r="C695" s="5">
        <v>-57436</v>
      </c>
    </row>
    <row r="696" spans="1:3" x14ac:dyDescent="0.25">
      <c r="A696" s="23">
        <f t="shared" si="8"/>
        <v>43586</v>
      </c>
      <c r="B696" s="5" t="s">
        <v>185</v>
      </c>
      <c r="C696" s="5">
        <v>-81935</v>
      </c>
    </row>
    <row r="697" spans="1:3" x14ac:dyDescent="0.25">
      <c r="A697" s="23">
        <f t="shared" si="8"/>
        <v>43586</v>
      </c>
      <c r="B697" s="5" t="s">
        <v>186</v>
      </c>
      <c r="C697" s="5">
        <v>-108407</v>
      </c>
    </row>
    <row r="698" spans="1:3" x14ac:dyDescent="0.25">
      <c r="A698" s="23">
        <f t="shared" si="8"/>
        <v>43586</v>
      </c>
      <c r="B698" s="5" t="s">
        <v>187</v>
      </c>
      <c r="C698" s="5">
        <v>-158742</v>
      </c>
    </row>
    <row r="699" spans="1:3" x14ac:dyDescent="0.25">
      <c r="A699" s="23">
        <f t="shared" si="8"/>
        <v>43586</v>
      </c>
      <c r="B699" s="5" t="s">
        <v>188</v>
      </c>
      <c r="C699" s="5">
        <v>-146005</v>
      </c>
    </row>
    <row r="700" spans="1:3" x14ac:dyDescent="0.25">
      <c r="A700" s="23">
        <f t="shared" si="8"/>
        <v>43586</v>
      </c>
      <c r="B700" s="5" t="s">
        <v>189</v>
      </c>
      <c r="C700" s="5">
        <v>-11651</v>
      </c>
    </row>
    <row r="701" spans="1:3" x14ac:dyDescent="0.25">
      <c r="A701" s="23">
        <f t="shared" si="8"/>
        <v>43586</v>
      </c>
      <c r="B701" s="5" t="s">
        <v>190</v>
      </c>
      <c r="C701" s="5">
        <v>-23568</v>
      </c>
    </row>
    <row r="702" spans="1:3" x14ac:dyDescent="0.25">
      <c r="A702" s="23">
        <f t="shared" si="8"/>
        <v>43617</v>
      </c>
      <c r="B702" s="5" t="s">
        <v>51</v>
      </c>
      <c r="C702" s="5">
        <v>568387</v>
      </c>
    </row>
    <row r="703" spans="1:3" x14ac:dyDescent="0.25">
      <c r="A703" s="23">
        <f t="shared" si="8"/>
        <v>43617</v>
      </c>
      <c r="B703" s="5" t="s">
        <v>52</v>
      </c>
      <c r="C703" s="5">
        <v>510564</v>
      </c>
    </row>
    <row r="704" spans="1:3" x14ac:dyDescent="0.25">
      <c r="A704" s="23">
        <f t="shared" si="8"/>
        <v>43617</v>
      </c>
      <c r="B704" s="5" t="s">
        <v>53</v>
      </c>
      <c r="C704" s="5">
        <v>654883</v>
      </c>
    </row>
    <row r="705" spans="1:3" x14ac:dyDescent="0.25">
      <c r="A705" s="23">
        <f t="shared" si="8"/>
        <v>43617</v>
      </c>
      <c r="B705" s="5" t="s">
        <v>54</v>
      </c>
      <c r="C705" s="5">
        <v>516059</v>
      </c>
    </row>
    <row r="706" spans="1:3" x14ac:dyDescent="0.25">
      <c r="A706" s="23">
        <f t="shared" si="8"/>
        <v>43617</v>
      </c>
      <c r="B706" s="5" t="s">
        <v>55</v>
      </c>
      <c r="C706" s="5">
        <v>886307</v>
      </c>
    </row>
    <row r="707" spans="1:3" x14ac:dyDescent="0.25">
      <c r="A707" s="23">
        <f t="shared" si="8"/>
        <v>43617</v>
      </c>
      <c r="B707" s="5" t="s">
        <v>56</v>
      </c>
      <c r="C707" s="5">
        <v>772357</v>
      </c>
    </row>
    <row r="708" spans="1:3" x14ac:dyDescent="0.25">
      <c r="A708" s="23">
        <f t="shared" si="8"/>
        <v>43617</v>
      </c>
      <c r="B708" s="5" t="s">
        <v>57</v>
      </c>
      <c r="C708" s="5">
        <v>362234</v>
      </c>
    </row>
    <row r="709" spans="1:3" x14ac:dyDescent="0.25">
      <c r="A709" s="23">
        <f t="shared" si="8"/>
        <v>43617</v>
      </c>
      <c r="B709" s="5" t="s">
        <v>58</v>
      </c>
      <c r="C709" s="5">
        <v>991162</v>
      </c>
    </row>
    <row r="710" spans="1:3" x14ac:dyDescent="0.25">
      <c r="A710" s="23">
        <f t="shared" si="8"/>
        <v>43617</v>
      </c>
      <c r="B710" s="5" t="s">
        <v>59</v>
      </c>
      <c r="C710" s="5">
        <v>698004</v>
      </c>
    </row>
    <row r="711" spans="1:3" x14ac:dyDescent="0.25">
      <c r="A711" s="23">
        <f t="shared" si="8"/>
        <v>43617</v>
      </c>
      <c r="B711" s="5" t="s">
        <v>60</v>
      </c>
      <c r="C711" s="5">
        <v>665032</v>
      </c>
    </row>
    <row r="712" spans="1:3" x14ac:dyDescent="0.25">
      <c r="A712" s="23">
        <f t="shared" si="8"/>
        <v>43617</v>
      </c>
      <c r="B712" s="5" t="s">
        <v>61</v>
      </c>
      <c r="C712" s="5">
        <v>843750</v>
      </c>
    </row>
    <row r="713" spans="1:3" x14ac:dyDescent="0.25">
      <c r="A713" s="23">
        <f t="shared" si="8"/>
        <v>43617</v>
      </c>
      <c r="B713" s="5" t="s">
        <v>62</v>
      </c>
      <c r="C713" s="5">
        <v>747998</v>
      </c>
    </row>
    <row r="714" spans="1:3" x14ac:dyDescent="0.25">
      <c r="A714" s="23">
        <f t="shared" si="8"/>
        <v>43617</v>
      </c>
      <c r="B714" s="5" t="s">
        <v>63</v>
      </c>
      <c r="C714" s="5">
        <v>764893</v>
      </c>
    </row>
    <row r="715" spans="1:3" x14ac:dyDescent="0.25">
      <c r="A715" s="23">
        <f t="shared" si="8"/>
        <v>43617</v>
      </c>
      <c r="B715" s="5" t="s">
        <v>64</v>
      </c>
      <c r="C715" s="5">
        <v>861899</v>
      </c>
    </row>
    <row r="716" spans="1:3" x14ac:dyDescent="0.25">
      <c r="A716" s="23">
        <f t="shared" si="8"/>
        <v>43617</v>
      </c>
      <c r="B716" s="5" t="s">
        <v>65</v>
      </c>
      <c r="C716" s="5">
        <v>353032</v>
      </c>
    </row>
    <row r="717" spans="1:3" x14ac:dyDescent="0.25">
      <c r="A717" s="23">
        <f t="shared" si="8"/>
        <v>43617</v>
      </c>
      <c r="B717" s="5" t="s">
        <v>66</v>
      </c>
      <c r="C717" s="5">
        <v>579727</v>
      </c>
    </row>
    <row r="718" spans="1:3" x14ac:dyDescent="0.25">
      <c r="A718" s="23">
        <f t="shared" si="8"/>
        <v>43617</v>
      </c>
      <c r="B718" s="5" t="s">
        <v>67</v>
      </c>
      <c r="C718" s="5">
        <v>429722</v>
      </c>
    </row>
    <row r="719" spans="1:3" x14ac:dyDescent="0.25">
      <c r="A719" s="23">
        <f t="shared" ref="A719:A782" si="9">EDATE(A579,1)</f>
        <v>43617</v>
      </c>
      <c r="B719" s="5" t="s">
        <v>68</v>
      </c>
      <c r="C719" s="5">
        <v>474589</v>
      </c>
    </row>
    <row r="720" spans="1:3" x14ac:dyDescent="0.25">
      <c r="A720" s="23">
        <f t="shared" si="9"/>
        <v>43617</v>
      </c>
      <c r="B720" s="5" t="s">
        <v>69</v>
      </c>
      <c r="C720" s="5">
        <v>395063</v>
      </c>
    </row>
    <row r="721" spans="1:3" x14ac:dyDescent="0.25">
      <c r="A721" s="23">
        <f t="shared" si="9"/>
        <v>43617</v>
      </c>
      <c r="B721" s="5" t="s">
        <v>70</v>
      </c>
      <c r="C721" s="5">
        <v>791551</v>
      </c>
    </row>
    <row r="722" spans="1:3" x14ac:dyDescent="0.25">
      <c r="A722" s="23">
        <f t="shared" si="9"/>
        <v>43617</v>
      </c>
      <c r="B722" s="5" t="s">
        <v>71</v>
      </c>
      <c r="C722" s="5">
        <v>987857</v>
      </c>
    </row>
    <row r="723" spans="1:3" x14ac:dyDescent="0.25">
      <c r="A723" s="23">
        <f t="shared" si="9"/>
        <v>43617</v>
      </c>
      <c r="B723" s="5" t="s">
        <v>72</v>
      </c>
      <c r="C723" s="5">
        <v>896477</v>
      </c>
    </row>
    <row r="724" spans="1:3" x14ac:dyDescent="0.25">
      <c r="A724" s="23">
        <f t="shared" si="9"/>
        <v>43617</v>
      </c>
      <c r="B724" s="5" t="s">
        <v>73</v>
      </c>
      <c r="C724" s="5">
        <v>144315</v>
      </c>
    </row>
    <row r="725" spans="1:3" x14ac:dyDescent="0.25">
      <c r="A725" s="23">
        <f t="shared" si="9"/>
        <v>43617</v>
      </c>
      <c r="B725" s="5" t="s">
        <v>74</v>
      </c>
      <c r="C725" s="5">
        <v>117889</v>
      </c>
    </row>
    <row r="726" spans="1:3" x14ac:dyDescent="0.25">
      <c r="A726" s="23">
        <f t="shared" si="9"/>
        <v>43617</v>
      </c>
      <c r="B726" s="5" t="s">
        <v>75</v>
      </c>
      <c r="C726" s="5">
        <v>286653</v>
      </c>
    </row>
    <row r="727" spans="1:3" x14ac:dyDescent="0.25">
      <c r="A727" s="23">
        <f t="shared" si="9"/>
        <v>43617</v>
      </c>
      <c r="B727" s="5" t="s">
        <v>76</v>
      </c>
      <c r="C727" s="5">
        <v>182988</v>
      </c>
    </row>
    <row r="728" spans="1:3" x14ac:dyDescent="0.25">
      <c r="A728" s="23">
        <f t="shared" si="9"/>
        <v>43617</v>
      </c>
      <c r="B728" s="5" t="s">
        <v>77</v>
      </c>
      <c r="C728" s="5">
        <v>80948</v>
      </c>
    </row>
    <row r="729" spans="1:3" x14ac:dyDescent="0.25">
      <c r="A729" s="23">
        <f t="shared" si="9"/>
        <v>43617</v>
      </c>
      <c r="B729" s="5" t="s">
        <v>78</v>
      </c>
      <c r="C729" s="5">
        <v>87775</v>
      </c>
    </row>
    <row r="730" spans="1:3" x14ac:dyDescent="0.25">
      <c r="A730" s="23">
        <f t="shared" si="9"/>
        <v>43617</v>
      </c>
      <c r="B730" s="5" t="s">
        <v>79</v>
      </c>
      <c r="C730" s="5">
        <v>190807</v>
      </c>
    </row>
    <row r="731" spans="1:3" x14ac:dyDescent="0.25">
      <c r="A731" s="23">
        <f t="shared" si="9"/>
        <v>43617</v>
      </c>
      <c r="B731" s="5" t="s">
        <v>80</v>
      </c>
      <c r="C731" s="5">
        <v>270528</v>
      </c>
    </row>
    <row r="732" spans="1:3" x14ac:dyDescent="0.25">
      <c r="A732" s="23">
        <f t="shared" si="9"/>
        <v>43617</v>
      </c>
      <c r="B732" s="5" t="s">
        <v>81</v>
      </c>
      <c r="C732" s="5">
        <v>73396</v>
      </c>
    </row>
    <row r="733" spans="1:3" x14ac:dyDescent="0.25">
      <c r="A733" s="23">
        <f t="shared" si="9"/>
        <v>43617</v>
      </c>
      <c r="B733" s="5" t="s">
        <v>82</v>
      </c>
      <c r="C733" s="5">
        <v>81987</v>
      </c>
    </row>
    <row r="734" spans="1:3" x14ac:dyDescent="0.25">
      <c r="A734" s="23">
        <f t="shared" si="9"/>
        <v>43617</v>
      </c>
      <c r="B734" s="5" t="s">
        <v>83</v>
      </c>
      <c r="C734" s="5">
        <v>88358</v>
      </c>
    </row>
    <row r="735" spans="1:3" x14ac:dyDescent="0.25">
      <c r="A735" s="23">
        <f t="shared" si="9"/>
        <v>43617</v>
      </c>
      <c r="B735" s="5" t="s">
        <v>84</v>
      </c>
      <c r="C735" s="5">
        <v>230234</v>
      </c>
    </row>
    <row r="736" spans="1:3" x14ac:dyDescent="0.25">
      <c r="A736" s="23">
        <f t="shared" si="9"/>
        <v>43617</v>
      </c>
      <c r="B736" s="5" t="s">
        <v>85</v>
      </c>
      <c r="C736" s="5">
        <v>184625</v>
      </c>
    </row>
    <row r="737" spans="1:3" x14ac:dyDescent="0.25">
      <c r="A737" s="23">
        <f t="shared" si="9"/>
        <v>43617</v>
      </c>
      <c r="B737" s="5" t="s">
        <v>86</v>
      </c>
      <c r="C737" s="5">
        <v>235928</v>
      </c>
    </row>
    <row r="738" spans="1:3" x14ac:dyDescent="0.25">
      <c r="A738" s="23">
        <f t="shared" si="9"/>
        <v>43617</v>
      </c>
      <c r="B738" s="5" t="s">
        <v>87</v>
      </c>
      <c r="C738" s="5">
        <v>133452</v>
      </c>
    </row>
    <row r="739" spans="1:3" x14ac:dyDescent="0.25">
      <c r="A739" s="23">
        <f t="shared" si="9"/>
        <v>43617</v>
      </c>
      <c r="B739" s="5" t="s">
        <v>88</v>
      </c>
      <c r="C739" s="5">
        <v>145487</v>
      </c>
    </row>
    <row r="740" spans="1:3" x14ac:dyDescent="0.25">
      <c r="A740" s="23">
        <f t="shared" si="9"/>
        <v>43617</v>
      </c>
      <c r="B740" s="5" t="s">
        <v>89</v>
      </c>
      <c r="C740" s="5">
        <v>297214</v>
      </c>
    </row>
    <row r="741" spans="1:3" x14ac:dyDescent="0.25">
      <c r="A741" s="23">
        <f t="shared" si="9"/>
        <v>43617</v>
      </c>
      <c r="B741" s="5" t="s">
        <v>90</v>
      </c>
      <c r="C741" s="5">
        <v>92371</v>
      </c>
    </row>
    <row r="742" spans="1:3" x14ac:dyDescent="0.25">
      <c r="A742" s="23">
        <f t="shared" si="9"/>
        <v>43617</v>
      </c>
      <c r="B742" s="5" t="s">
        <v>91</v>
      </c>
      <c r="C742" s="5">
        <v>264451</v>
      </c>
    </row>
    <row r="743" spans="1:3" x14ac:dyDescent="0.25">
      <c r="A743" s="23">
        <f t="shared" si="9"/>
        <v>43617</v>
      </c>
      <c r="B743" s="5" t="s">
        <v>92</v>
      </c>
      <c r="C743" s="5">
        <v>268125</v>
      </c>
    </row>
    <row r="744" spans="1:3" x14ac:dyDescent="0.25">
      <c r="A744" s="23">
        <f t="shared" si="9"/>
        <v>43617</v>
      </c>
      <c r="B744" s="5" t="s">
        <v>93</v>
      </c>
      <c r="C744" s="5">
        <v>157935</v>
      </c>
    </row>
    <row r="745" spans="1:3" x14ac:dyDescent="0.25">
      <c r="A745" s="23">
        <f t="shared" si="9"/>
        <v>43617</v>
      </c>
      <c r="B745" s="5" t="s">
        <v>94</v>
      </c>
      <c r="C745" s="5">
        <v>248705</v>
      </c>
    </row>
    <row r="746" spans="1:3" x14ac:dyDescent="0.25">
      <c r="A746" s="23">
        <f t="shared" si="9"/>
        <v>43617</v>
      </c>
      <c r="B746" s="5" t="s">
        <v>95</v>
      </c>
      <c r="C746" s="5">
        <v>151869</v>
      </c>
    </row>
    <row r="747" spans="1:3" x14ac:dyDescent="0.25">
      <c r="A747" s="23">
        <f t="shared" si="9"/>
        <v>43617</v>
      </c>
      <c r="B747" s="5" t="s">
        <v>96</v>
      </c>
      <c r="C747" s="5">
        <v>151056</v>
      </c>
    </row>
    <row r="748" spans="1:3" x14ac:dyDescent="0.25">
      <c r="A748" s="23">
        <f t="shared" si="9"/>
        <v>43617</v>
      </c>
      <c r="B748" s="5" t="s">
        <v>97</v>
      </c>
      <c r="C748" s="5">
        <v>125541</v>
      </c>
    </row>
    <row r="749" spans="1:3" x14ac:dyDescent="0.25">
      <c r="A749" s="23">
        <f t="shared" si="9"/>
        <v>43617</v>
      </c>
      <c r="B749" s="5" t="s">
        <v>98</v>
      </c>
      <c r="C749" s="5">
        <v>194846</v>
      </c>
    </row>
    <row r="750" spans="1:3" x14ac:dyDescent="0.25">
      <c r="A750" s="23">
        <f t="shared" si="9"/>
        <v>43617</v>
      </c>
      <c r="B750" s="5" t="s">
        <v>99</v>
      </c>
      <c r="C750" s="5">
        <v>229461</v>
      </c>
    </row>
    <row r="751" spans="1:3" x14ac:dyDescent="0.25">
      <c r="A751" s="23">
        <f t="shared" si="9"/>
        <v>43617</v>
      </c>
      <c r="B751" s="5" t="s">
        <v>100</v>
      </c>
      <c r="C751" s="5">
        <v>72838</v>
      </c>
    </row>
    <row r="752" spans="1:3" x14ac:dyDescent="0.25">
      <c r="A752" s="23">
        <f t="shared" si="9"/>
        <v>43617</v>
      </c>
      <c r="B752" s="5" t="s">
        <v>101</v>
      </c>
      <c r="C752" s="5">
        <v>73096</v>
      </c>
    </row>
    <row r="753" spans="1:3" x14ac:dyDescent="0.25">
      <c r="A753" s="23">
        <f t="shared" si="9"/>
        <v>43617</v>
      </c>
      <c r="B753" s="5" t="s">
        <v>102</v>
      </c>
      <c r="C753" s="5">
        <v>228648</v>
      </c>
    </row>
    <row r="754" spans="1:3" x14ac:dyDescent="0.25">
      <c r="A754" s="23">
        <f t="shared" si="9"/>
        <v>43617</v>
      </c>
      <c r="B754" s="5" t="s">
        <v>103</v>
      </c>
      <c r="C754" s="5">
        <v>96582</v>
      </c>
    </row>
    <row r="755" spans="1:3" x14ac:dyDescent="0.25">
      <c r="A755" s="23">
        <f t="shared" si="9"/>
        <v>43617</v>
      </c>
      <c r="B755" s="5" t="s">
        <v>104</v>
      </c>
      <c r="C755" s="5">
        <v>109931</v>
      </c>
    </row>
    <row r="756" spans="1:3" x14ac:dyDescent="0.25">
      <c r="A756" s="23">
        <f t="shared" si="9"/>
        <v>43617</v>
      </c>
      <c r="B756" s="5" t="s">
        <v>105</v>
      </c>
      <c r="C756" s="5">
        <v>184032</v>
      </c>
    </row>
    <row r="757" spans="1:3" x14ac:dyDescent="0.25">
      <c r="A757" s="23">
        <f t="shared" si="9"/>
        <v>43617</v>
      </c>
      <c r="B757" s="5" t="s">
        <v>106</v>
      </c>
      <c r="C757" s="5">
        <v>155739</v>
      </c>
    </row>
    <row r="758" spans="1:3" x14ac:dyDescent="0.25">
      <c r="A758" s="23">
        <f t="shared" si="9"/>
        <v>43617</v>
      </c>
      <c r="B758" s="5" t="s">
        <v>107</v>
      </c>
      <c r="C758" s="5">
        <v>263853</v>
      </c>
    </row>
    <row r="759" spans="1:3" x14ac:dyDescent="0.25">
      <c r="A759" s="23">
        <f t="shared" si="9"/>
        <v>43617</v>
      </c>
      <c r="B759" s="5" t="s">
        <v>108</v>
      </c>
      <c r="C759" s="5">
        <v>203627</v>
      </c>
    </row>
    <row r="760" spans="1:3" x14ac:dyDescent="0.25">
      <c r="A760" s="23">
        <f t="shared" si="9"/>
        <v>43617</v>
      </c>
      <c r="B760" s="5" t="s">
        <v>109</v>
      </c>
      <c r="C760" s="5">
        <v>106546</v>
      </c>
    </row>
    <row r="761" spans="1:3" x14ac:dyDescent="0.25">
      <c r="A761" s="23">
        <f t="shared" si="9"/>
        <v>43617</v>
      </c>
      <c r="B761" s="5" t="s">
        <v>110</v>
      </c>
      <c r="C761" s="5">
        <v>-5021</v>
      </c>
    </row>
    <row r="762" spans="1:3" x14ac:dyDescent="0.25">
      <c r="A762" s="23">
        <f t="shared" si="9"/>
        <v>43617</v>
      </c>
      <c r="B762" s="5" t="s">
        <v>111</v>
      </c>
      <c r="C762" s="5">
        <v>-1017</v>
      </c>
    </row>
    <row r="763" spans="1:3" x14ac:dyDescent="0.25">
      <c r="A763" s="23">
        <f t="shared" si="9"/>
        <v>43617</v>
      </c>
      <c r="B763" s="5" t="s">
        <v>112</v>
      </c>
      <c r="C763" s="5">
        <v>-3158</v>
      </c>
    </row>
    <row r="764" spans="1:3" x14ac:dyDescent="0.25">
      <c r="A764" s="23">
        <f t="shared" si="9"/>
        <v>43617</v>
      </c>
      <c r="B764" s="5" t="s">
        <v>113</v>
      </c>
      <c r="C764" s="5">
        <v>-9937</v>
      </c>
    </row>
    <row r="765" spans="1:3" x14ac:dyDescent="0.25">
      <c r="A765" s="23">
        <f t="shared" si="9"/>
        <v>43617</v>
      </c>
      <c r="B765" s="5" t="s">
        <v>114</v>
      </c>
      <c r="C765" s="5">
        <v>-8665</v>
      </c>
    </row>
    <row r="766" spans="1:3" x14ac:dyDescent="0.25">
      <c r="A766" s="23">
        <f t="shared" si="9"/>
        <v>43617</v>
      </c>
      <c r="B766" s="5" t="s">
        <v>115</v>
      </c>
      <c r="C766" s="5">
        <v>-5723</v>
      </c>
    </row>
    <row r="767" spans="1:3" x14ac:dyDescent="0.25">
      <c r="A767" s="23">
        <f t="shared" si="9"/>
        <v>43617</v>
      </c>
      <c r="B767" s="5" t="s">
        <v>116</v>
      </c>
      <c r="C767" s="5">
        <v>-4261</v>
      </c>
    </row>
    <row r="768" spans="1:3" x14ac:dyDescent="0.25">
      <c r="A768" s="23">
        <f t="shared" si="9"/>
        <v>43617</v>
      </c>
      <c r="B768" s="5" t="s">
        <v>117</v>
      </c>
      <c r="C768" s="5">
        <v>-8202</v>
      </c>
    </row>
    <row r="769" spans="1:3" x14ac:dyDescent="0.25">
      <c r="A769" s="23">
        <f t="shared" si="9"/>
        <v>43617</v>
      </c>
      <c r="B769" s="5" t="s">
        <v>118</v>
      </c>
      <c r="C769" s="5">
        <v>-5845</v>
      </c>
    </row>
    <row r="770" spans="1:3" x14ac:dyDescent="0.25">
      <c r="A770" s="23">
        <f t="shared" si="9"/>
        <v>43617</v>
      </c>
      <c r="B770" s="5" t="s">
        <v>119</v>
      </c>
      <c r="C770" s="5">
        <v>-2593</v>
      </c>
    </row>
    <row r="771" spans="1:3" x14ac:dyDescent="0.25">
      <c r="A771" s="23">
        <f t="shared" si="9"/>
        <v>43617</v>
      </c>
      <c r="B771" s="5" t="s">
        <v>120</v>
      </c>
      <c r="C771" s="5">
        <v>-8300</v>
      </c>
    </row>
    <row r="772" spans="1:3" x14ac:dyDescent="0.25">
      <c r="A772" s="23">
        <f t="shared" si="9"/>
        <v>43617</v>
      </c>
      <c r="B772" s="5" t="s">
        <v>121</v>
      </c>
      <c r="C772" s="5">
        <v>-1686</v>
      </c>
    </row>
    <row r="773" spans="1:3" x14ac:dyDescent="0.25">
      <c r="A773" s="23">
        <f t="shared" si="9"/>
        <v>43617</v>
      </c>
      <c r="B773" s="5" t="s">
        <v>122</v>
      </c>
      <c r="C773" s="5">
        <v>-9840</v>
      </c>
    </row>
    <row r="774" spans="1:3" x14ac:dyDescent="0.25">
      <c r="A774" s="23">
        <f t="shared" si="9"/>
        <v>43617</v>
      </c>
      <c r="B774" s="5" t="s">
        <v>123</v>
      </c>
      <c r="C774" s="5">
        <v>-8510</v>
      </c>
    </row>
    <row r="775" spans="1:3" x14ac:dyDescent="0.25">
      <c r="A775" s="23">
        <f t="shared" si="9"/>
        <v>43617</v>
      </c>
      <c r="B775" s="5" t="s">
        <v>124</v>
      </c>
      <c r="C775" s="5">
        <v>-7205</v>
      </c>
    </row>
    <row r="776" spans="1:3" x14ac:dyDescent="0.25">
      <c r="A776" s="23">
        <f t="shared" si="9"/>
        <v>43617</v>
      </c>
      <c r="B776" s="5" t="s">
        <v>125</v>
      </c>
      <c r="C776" s="5">
        <v>-1447</v>
      </c>
    </row>
    <row r="777" spans="1:3" x14ac:dyDescent="0.25">
      <c r="A777" s="23">
        <f t="shared" si="9"/>
        <v>43617</v>
      </c>
      <c r="B777" s="5" t="s">
        <v>126</v>
      </c>
      <c r="C777" s="5">
        <v>-8651</v>
      </c>
    </row>
    <row r="778" spans="1:3" x14ac:dyDescent="0.25">
      <c r="A778" s="23">
        <f t="shared" si="9"/>
        <v>43617</v>
      </c>
      <c r="B778" s="5" t="s">
        <v>127</v>
      </c>
      <c r="C778" s="5">
        <v>-7305</v>
      </c>
    </row>
    <row r="779" spans="1:3" x14ac:dyDescent="0.25">
      <c r="A779" s="23">
        <f t="shared" si="9"/>
        <v>43617</v>
      </c>
      <c r="B779" s="5" t="s">
        <v>128</v>
      </c>
      <c r="C779" s="5">
        <v>-8883</v>
      </c>
    </row>
    <row r="780" spans="1:3" x14ac:dyDescent="0.25">
      <c r="A780" s="23">
        <f t="shared" si="9"/>
        <v>43617</v>
      </c>
      <c r="B780" s="5" t="s">
        <v>129</v>
      </c>
      <c r="C780" s="5">
        <v>-5846</v>
      </c>
    </row>
    <row r="781" spans="1:3" x14ac:dyDescent="0.25">
      <c r="A781" s="23">
        <f t="shared" si="9"/>
        <v>43617</v>
      </c>
      <c r="B781" s="5" t="s">
        <v>130</v>
      </c>
      <c r="C781" s="5">
        <v>-8778</v>
      </c>
    </row>
    <row r="782" spans="1:3" x14ac:dyDescent="0.25">
      <c r="A782" s="23">
        <f t="shared" si="9"/>
        <v>43617</v>
      </c>
      <c r="B782" s="5" t="s">
        <v>131</v>
      </c>
      <c r="C782" s="5">
        <v>-7805</v>
      </c>
    </row>
    <row r="783" spans="1:3" x14ac:dyDescent="0.25">
      <c r="A783" s="23">
        <f t="shared" ref="A783:A846" si="10">EDATE(A643,1)</f>
        <v>43617</v>
      </c>
      <c r="B783" s="5" t="s">
        <v>132</v>
      </c>
      <c r="C783" s="5">
        <v>-2122</v>
      </c>
    </row>
    <row r="784" spans="1:3" x14ac:dyDescent="0.25">
      <c r="A784" s="23">
        <f t="shared" si="10"/>
        <v>43617</v>
      </c>
      <c r="B784" s="5" t="s">
        <v>133</v>
      </c>
      <c r="C784" s="5">
        <v>-5194</v>
      </c>
    </row>
    <row r="785" spans="1:3" x14ac:dyDescent="0.25">
      <c r="A785" s="23">
        <f t="shared" si="10"/>
        <v>43617</v>
      </c>
      <c r="B785" s="5" t="s">
        <v>134</v>
      </c>
      <c r="C785" s="5">
        <v>-2155</v>
      </c>
    </row>
    <row r="786" spans="1:3" x14ac:dyDescent="0.25">
      <c r="A786" s="23">
        <f t="shared" si="10"/>
        <v>43617</v>
      </c>
      <c r="B786" s="5" t="s">
        <v>135</v>
      </c>
      <c r="C786" s="5">
        <v>-3848</v>
      </c>
    </row>
    <row r="787" spans="1:3" x14ac:dyDescent="0.25">
      <c r="A787" s="23">
        <f t="shared" si="10"/>
        <v>43617</v>
      </c>
      <c r="B787" s="5" t="s">
        <v>136</v>
      </c>
      <c r="C787" s="5">
        <v>-7379</v>
      </c>
    </row>
    <row r="788" spans="1:3" x14ac:dyDescent="0.25">
      <c r="A788" s="23">
        <f t="shared" si="10"/>
        <v>43617</v>
      </c>
      <c r="B788" s="5" t="s">
        <v>137</v>
      </c>
      <c r="C788" s="5">
        <v>-5727</v>
      </c>
    </row>
    <row r="789" spans="1:3" x14ac:dyDescent="0.25">
      <c r="A789" s="23">
        <f t="shared" si="10"/>
        <v>43617</v>
      </c>
      <c r="B789" s="5" t="s">
        <v>138</v>
      </c>
      <c r="C789" s="5">
        <v>-5461</v>
      </c>
    </row>
    <row r="790" spans="1:3" x14ac:dyDescent="0.25">
      <c r="A790" s="23">
        <f t="shared" si="10"/>
        <v>43617</v>
      </c>
      <c r="B790" s="5" t="s">
        <v>139</v>
      </c>
      <c r="C790" s="5">
        <v>-7725</v>
      </c>
    </row>
    <row r="791" spans="1:3" x14ac:dyDescent="0.25">
      <c r="A791" s="23">
        <f t="shared" si="10"/>
        <v>43617</v>
      </c>
      <c r="B791" s="5" t="s">
        <v>140</v>
      </c>
      <c r="C791" s="5">
        <v>-197339</v>
      </c>
    </row>
    <row r="792" spans="1:3" x14ac:dyDescent="0.25">
      <c r="A792" s="23">
        <f t="shared" si="10"/>
        <v>43617</v>
      </c>
      <c r="B792" s="5" t="s">
        <v>141</v>
      </c>
      <c r="C792" s="5">
        <v>-276445</v>
      </c>
    </row>
    <row r="793" spans="1:3" x14ac:dyDescent="0.25">
      <c r="A793" s="23">
        <f t="shared" si="10"/>
        <v>43617</v>
      </c>
      <c r="B793" s="5" t="s">
        <v>142</v>
      </c>
      <c r="C793" s="5">
        <v>-296228</v>
      </c>
    </row>
    <row r="794" spans="1:3" x14ac:dyDescent="0.25">
      <c r="A794" s="23">
        <f t="shared" si="10"/>
        <v>43617</v>
      </c>
      <c r="B794" s="5" t="s">
        <v>143</v>
      </c>
      <c r="C794" s="5">
        <v>-293629</v>
      </c>
    </row>
    <row r="795" spans="1:3" x14ac:dyDescent="0.25">
      <c r="A795" s="23">
        <f t="shared" si="10"/>
        <v>43617</v>
      </c>
      <c r="B795" s="5" t="s">
        <v>144</v>
      </c>
      <c r="C795" s="5">
        <v>-256240</v>
      </c>
    </row>
    <row r="796" spans="1:3" x14ac:dyDescent="0.25">
      <c r="A796" s="23">
        <f t="shared" si="10"/>
        <v>43617</v>
      </c>
      <c r="B796" s="5" t="s">
        <v>145</v>
      </c>
      <c r="C796" s="5">
        <v>-201841</v>
      </c>
    </row>
    <row r="797" spans="1:3" x14ac:dyDescent="0.25">
      <c r="A797" s="23">
        <f t="shared" si="10"/>
        <v>43617</v>
      </c>
      <c r="B797" s="5" t="s">
        <v>146</v>
      </c>
      <c r="C797" s="5">
        <v>-224869</v>
      </c>
    </row>
    <row r="798" spans="1:3" x14ac:dyDescent="0.25">
      <c r="A798" s="23">
        <f t="shared" si="10"/>
        <v>43617</v>
      </c>
      <c r="B798" s="5" t="s">
        <v>147</v>
      </c>
      <c r="C798" s="5">
        <v>-209973</v>
      </c>
    </row>
    <row r="799" spans="1:3" x14ac:dyDescent="0.25">
      <c r="A799" s="23">
        <f t="shared" si="10"/>
        <v>43617</v>
      </c>
      <c r="B799" s="5" t="s">
        <v>148</v>
      </c>
      <c r="C799" s="5">
        <v>-142606</v>
      </c>
    </row>
    <row r="800" spans="1:3" x14ac:dyDescent="0.25">
      <c r="A800" s="23">
        <f t="shared" si="10"/>
        <v>43617</v>
      </c>
      <c r="B800" s="5" t="s">
        <v>149</v>
      </c>
      <c r="C800" s="5">
        <v>-275994</v>
      </c>
    </row>
    <row r="801" spans="1:3" x14ac:dyDescent="0.25">
      <c r="A801" s="23">
        <f t="shared" si="10"/>
        <v>43617</v>
      </c>
      <c r="B801" s="5" t="s">
        <v>150</v>
      </c>
      <c r="C801" s="5">
        <v>-260737</v>
      </c>
    </row>
    <row r="802" spans="1:3" x14ac:dyDescent="0.25">
      <c r="A802" s="23">
        <f t="shared" si="10"/>
        <v>43617</v>
      </c>
      <c r="B802" s="5" t="s">
        <v>151</v>
      </c>
      <c r="C802" s="5">
        <v>-101105</v>
      </c>
    </row>
    <row r="803" spans="1:3" x14ac:dyDescent="0.25">
      <c r="A803" s="23">
        <f t="shared" si="10"/>
        <v>43617</v>
      </c>
      <c r="B803" s="5" t="s">
        <v>152</v>
      </c>
      <c r="C803" s="5">
        <v>-77182</v>
      </c>
    </row>
    <row r="804" spans="1:3" x14ac:dyDescent="0.25">
      <c r="A804" s="23">
        <f t="shared" si="10"/>
        <v>43617</v>
      </c>
      <c r="B804" s="5" t="s">
        <v>153</v>
      </c>
      <c r="C804" s="5">
        <v>-287715</v>
      </c>
    </row>
    <row r="805" spans="1:3" x14ac:dyDescent="0.25">
      <c r="A805" s="23">
        <f t="shared" si="10"/>
        <v>43617</v>
      </c>
      <c r="B805" s="5" t="s">
        <v>154</v>
      </c>
      <c r="C805" s="5">
        <v>-124102</v>
      </c>
    </row>
    <row r="806" spans="1:3" x14ac:dyDescent="0.25">
      <c r="A806" s="23">
        <f t="shared" si="10"/>
        <v>43617</v>
      </c>
      <c r="B806" s="5" t="s">
        <v>155</v>
      </c>
      <c r="C806" s="5">
        <v>-297679</v>
      </c>
    </row>
    <row r="807" spans="1:3" x14ac:dyDescent="0.25">
      <c r="A807" s="23">
        <f t="shared" si="10"/>
        <v>43617</v>
      </c>
      <c r="B807" s="5" t="s">
        <v>156</v>
      </c>
      <c r="C807" s="5">
        <v>-228177</v>
      </c>
    </row>
    <row r="808" spans="1:3" x14ac:dyDescent="0.25">
      <c r="A808" s="23">
        <f t="shared" si="10"/>
        <v>43617</v>
      </c>
      <c r="B808" s="5" t="s">
        <v>157</v>
      </c>
      <c r="C808" s="5">
        <v>-268110</v>
      </c>
    </row>
    <row r="809" spans="1:3" x14ac:dyDescent="0.25">
      <c r="A809" s="23">
        <f t="shared" si="10"/>
        <v>43617</v>
      </c>
      <c r="B809" s="5" t="s">
        <v>158</v>
      </c>
      <c r="C809" s="5">
        <v>-193523</v>
      </c>
    </row>
    <row r="810" spans="1:3" x14ac:dyDescent="0.25">
      <c r="A810" s="23">
        <f t="shared" si="10"/>
        <v>43617</v>
      </c>
      <c r="B810" s="5" t="s">
        <v>159</v>
      </c>
      <c r="C810" s="5">
        <v>-118166</v>
      </c>
    </row>
    <row r="811" spans="1:3" x14ac:dyDescent="0.25">
      <c r="A811" s="23">
        <f t="shared" si="10"/>
        <v>43617</v>
      </c>
      <c r="B811" s="5" t="s">
        <v>160</v>
      </c>
      <c r="C811" s="5">
        <v>-159970</v>
      </c>
    </row>
    <row r="812" spans="1:3" x14ac:dyDescent="0.25">
      <c r="A812" s="23">
        <f t="shared" si="10"/>
        <v>43617</v>
      </c>
      <c r="B812" s="5" t="s">
        <v>161</v>
      </c>
      <c r="C812" s="5">
        <v>-262719</v>
      </c>
    </row>
    <row r="813" spans="1:3" x14ac:dyDescent="0.25">
      <c r="A813" s="23">
        <f t="shared" si="10"/>
        <v>43617</v>
      </c>
      <c r="B813" s="5" t="s">
        <v>162</v>
      </c>
      <c r="C813" s="5">
        <v>-227548</v>
      </c>
    </row>
    <row r="814" spans="1:3" x14ac:dyDescent="0.25">
      <c r="A814" s="23">
        <f t="shared" si="10"/>
        <v>43617</v>
      </c>
      <c r="B814" s="5" t="s">
        <v>163</v>
      </c>
      <c r="C814" s="5">
        <v>-194789</v>
      </c>
    </row>
    <row r="815" spans="1:3" x14ac:dyDescent="0.25">
      <c r="A815" s="23">
        <f t="shared" si="10"/>
        <v>43617</v>
      </c>
      <c r="B815" s="5" t="s">
        <v>164</v>
      </c>
      <c r="C815" s="5">
        <v>-91839</v>
      </c>
    </row>
    <row r="816" spans="1:3" x14ac:dyDescent="0.25">
      <c r="A816" s="23">
        <f t="shared" si="10"/>
        <v>43617</v>
      </c>
      <c r="B816" s="5" t="s">
        <v>165</v>
      </c>
      <c r="C816" s="5">
        <v>-74602</v>
      </c>
    </row>
    <row r="817" spans="1:3" x14ac:dyDescent="0.25">
      <c r="A817" s="23">
        <f t="shared" si="10"/>
        <v>43617</v>
      </c>
      <c r="B817" s="5" t="s">
        <v>166</v>
      </c>
      <c r="C817" s="5">
        <v>-91497</v>
      </c>
    </row>
    <row r="818" spans="1:3" x14ac:dyDescent="0.25">
      <c r="A818" s="23">
        <f t="shared" si="10"/>
        <v>43617</v>
      </c>
      <c r="B818" s="5" t="s">
        <v>167</v>
      </c>
      <c r="C818" s="5">
        <v>-377625</v>
      </c>
    </row>
    <row r="819" spans="1:3" x14ac:dyDescent="0.25">
      <c r="A819" s="23">
        <f t="shared" si="10"/>
        <v>43617</v>
      </c>
      <c r="B819" s="5" t="s">
        <v>168</v>
      </c>
      <c r="C819" s="5">
        <v>-293671</v>
      </c>
    </row>
    <row r="820" spans="1:3" x14ac:dyDescent="0.25">
      <c r="A820" s="23">
        <f t="shared" si="10"/>
        <v>43617</v>
      </c>
      <c r="B820" s="5" t="s">
        <v>169</v>
      </c>
      <c r="C820" s="5">
        <v>-273620</v>
      </c>
    </row>
    <row r="821" spans="1:3" x14ac:dyDescent="0.25">
      <c r="A821" s="23">
        <f t="shared" si="10"/>
        <v>43617</v>
      </c>
      <c r="B821" s="5" t="s">
        <v>170</v>
      </c>
      <c r="C821" s="5">
        <v>-134012</v>
      </c>
    </row>
    <row r="822" spans="1:3" x14ac:dyDescent="0.25">
      <c r="A822" s="23">
        <f t="shared" si="10"/>
        <v>43617</v>
      </c>
      <c r="B822" s="5" t="s">
        <v>171</v>
      </c>
      <c r="C822" s="5">
        <v>-183994</v>
      </c>
    </row>
    <row r="823" spans="1:3" x14ac:dyDescent="0.25">
      <c r="A823" s="23">
        <f t="shared" si="10"/>
        <v>43617</v>
      </c>
      <c r="B823" s="5" t="s">
        <v>172</v>
      </c>
      <c r="C823" s="5">
        <v>-349441</v>
      </c>
    </row>
    <row r="824" spans="1:3" x14ac:dyDescent="0.25">
      <c r="A824" s="23">
        <f t="shared" si="10"/>
        <v>43617</v>
      </c>
      <c r="B824" s="5" t="s">
        <v>173</v>
      </c>
      <c r="C824" s="5">
        <v>-53648</v>
      </c>
    </row>
    <row r="825" spans="1:3" x14ac:dyDescent="0.25">
      <c r="A825" s="23">
        <f t="shared" si="10"/>
        <v>43617</v>
      </c>
      <c r="B825" s="5" t="s">
        <v>174</v>
      </c>
      <c r="C825" s="5">
        <v>-40293</v>
      </c>
    </row>
    <row r="826" spans="1:3" x14ac:dyDescent="0.25">
      <c r="A826" s="23">
        <f t="shared" si="10"/>
        <v>43617</v>
      </c>
      <c r="B826" s="5" t="s">
        <v>175</v>
      </c>
      <c r="C826" s="5">
        <v>-51838</v>
      </c>
    </row>
    <row r="827" spans="1:3" x14ac:dyDescent="0.25">
      <c r="A827" s="23">
        <f t="shared" si="10"/>
        <v>43617</v>
      </c>
      <c r="B827" s="5" t="s">
        <v>176</v>
      </c>
      <c r="C827" s="5">
        <v>-52267</v>
      </c>
    </row>
    <row r="828" spans="1:3" x14ac:dyDescent="0.25">
      <c r="A828" s="23">
        <f t="shared" si="10"/>
        <v>43617</v>
      </c>
      <c r="B828" s="5" t="s">
        <v>177</v>
      </c>
      <c r="C828" s="5">
        <v>-56609</v>
      </c>
    </row>
    <row r="829" spans="1:3" x14ac:dyDescent="0.25">
      <c r="A829" s="23">
        <f t="shared" si="10"/>
        <v>43617</v>
      </c>
      <c r="B829" s="5" t="s">
        <v>178</v>
      </c>
      <c r="C829" s="5">
        <v>-268436</v>
      </c>
    </row>
    <row r="830" spans="1:3" x14ac:dyDescent="0.25">
      <c r="A830" s="23">
        <f t="shared" si="10"/>
        <v>43617</v>
      </c>
      <c r="B830" s="5" t="s">
        <v>179</v>
      </c>
      <c r="C830" s="5">
        <v>-271722</v>
      </c>
    </row>
    <row r="831" spans="1:3" x14ac:dyDescent="0.25">
      <c r="A831" s="23">
        <f t="shared" si="10"/>
        <v>43617</v>
      </c>
      <c r="B831" s="5" t="s">
        <v>180</v>
      </c>
      <c r="C831" s="5">
        <v>-128335</v>
      </c>
    </row>
    <row r="832" spans="1:3" x14ac:dyDescent="0.25">
      <c r="A832" s="23">
        <f t="shared" si="10"/>
        <v>43617</v>
      </c>
      <c r="B832" s="5" t="s">
        <v>181</v>
      </c>
      <c r="C832" s="5">
        <v>-78536</v>
      </c>
    </row>
    <row r="833" spans="1:3" x14ac:dyDescent="0.25">
      <c r="A833" s="23">
        <f t="shared" si="10"/>
        <v>43617</v>
      </c>
      <c r="B833" s="5" t="s">
        <v>182</v>
      </c>
      <c r="C833" s="5">
        <v>-54130</v>
      </c>
    </row>
    <row r="834" spans="1:3" x14ac:dyDescent="0.25">
      <c r="A834" s="23">
        <f t="shared" si="10"/>
        <v>43617</v>
      </c>
      <c r="B834" s="5" t="s">
        <v>183</v>
      </c>
      <c r="C834" s="5">
        <v>-72680</v>
      </c>
    </row>
    <row r="835" spans="1:3" x14ac:dyDescent="0.25">
      <c r="A835" s="23">
        <f t="shared" si="10"/>
        <v>43617</v>
      </c>
      <c r="B835" s="5" t="s">
        <v>184</v>
      </c>
      <c r="C835" s="5">
        <v>-80663</v>
      </c>
    </row>
    <row r="836" spans="1:3" x14ac:dyDescent="0.25">
      <c r="A836" s="23">
        <f t="shared" si="10"/>
        <v>43617</v>
      </c>
      <c r="B836" s="5" t="s">
        <v>185</v>
      </c>
      <c r="C836" s="5">
        <v>-109437</v>
      </c>
    </row>
    <row r="837" spans="1:3" x14ac:dyDescent="0.25">
      <c r="A837" s="23">
        <f t="shared" si="10"/>
        <v>43617</v>
      </c>
      <c r="B837" s="5" t="s">
        <v>186</v>
      </c>
      <c r="C837" s="5">
        <v>-119396</v>
      </c>
    </row>
    <row r="838" spans="1:3" x14ac:dyDescent="0.25">
      <c r="A838" s="23">
        <f t="shared" si="10"/>
        <v>43617</v>
      </c>
      <c r="B838" s="5" t="s">
        <v>187</v>
      </c>
      <c r="C838" s="5">
        <v>-150736</v>
      </c>
    </row>
    <row r="839" spans="1:3" x14ac:dyDescent="0.25">
      <c r="A839" s="23">
        <f t="shared" si="10"/>
        <v>43617</v>
      </c>
      <c r="B839" s="5" t="s">
        <v>188</v>
      </c>
      <c r="C839" s="5">
        <v>-189926</v>
      </c>
    </row>
    <row r="840" spans="1:3" x14ac:dyDescent="0.25">
      <c r="A840" s="23">
        <f t="shared" si="10"/>
        <v>43617</v>
      </c>
      <c r="B840" s="5" t="s">
        <v>189</v>
      </c>
      <c r="C840" s="5">
        <v>-9836</v>
      </c>
    </row>
    <row r="841" spans="1:3" x14ac:dyDescent="0.25">
      <c r="A841" s="23">
        <f t="shared" si="10"/>
        <v>43617</v>
      </c>
      <c r="B841" s="5" t="s">
        <v>190</v>
      </c>
      <c r="C841" s="5">
        <v>-26875</v>
      </c>
    </row>
    <row r="842" spans="1:3" x14ac:dyDescent="0.25">
      <c r="A842" s="23">
        <f t="shared" si="10"/>
        <v>43647</v>
      </c>
      <c r="B842" s="5" t="s">
        <v>51</v>
      </c>
      <c r="C842" s="5">
        <v>883097</v>
      </c>
    </row>
    <row r="843" spans="1:3" x14ac:dyDescent="0.25">
      <c r="A843" s="23">
        <f t="shared" si="10"/>
        <v>43647</v>
      </c>
      <c r="B843" s="5" t="s">
        <v>52</v>
      </c>
      <c r="C843" s="5">
        <v>338294</v>
      </c>
    </row>
    <row r="844" spans="1:3" x14ac:dyDescent="0.25">
      <c r="A844" s="23">
        <f t="shared" si="10"/>
        <v>43647</v>
      </c>
      <c r="B844" s="5" t="s">
        <v>53</v>
      </c>
      <c r="C844" s="5">
        <v>673635</v>
      </c>
    </row>
    <row r="845" spans="1:3" x14ac:dyDescent="0.25">
      <c r="A845" s="23">
        <f t="shared" si="10"/>
        <v>43647</v>
      </c>
      <c r="B845" s="5" t="s">
        <v>54</v>
      </c>
      <c r="C845" s="5">
        <v>700521</v>
      </c>
    </row>
    <row r="846" spans="1:3" x14ac:dyDescent="0.25">
      <c r="A846" s="23">
        <f t="shared" si="10"/>
        <v>43647</v>
      </c>
      <c r="B846" s="5" t="s">
        <v>55</v>
      </c>
      <c r="C846" s="5">
        <v>860537</v>
      </c>
    </row>
    <row r="847" spans="1:3" x14ac:dyDescent="0.25">
      <c r="A847" s="23">
        <f t="shared" ref="A847:A910" si="11">EDATE(A707,1)</f>
        <v>43647</v>
      </c>
      <c r="B847" s="5" t="s">
        <v>56</v>
      </c>
      <c r="C847" s="5">
        <v>595415</v>
      </c>
    </row>
    <row r="848" spans="1:3" x14ac:dyDescent="0.25">
      <c r="A848" s="23">
        <f t="shared" si="11"/>
        <v>43647</v>
      </c>
      <c r="B848" s="5" t="s">
        <v>57</v>
      </c>
      <c r="C848" s="5">
        <v>243162</v>
      </c>
    </row>
    <row r="849" spans="1:3" x14ac:dyDescent="0.25">
      <c r="A849" s="23">
        <f t="shared" si="11"/>
        <v>43647</v>
      </c>
      <c r="B849" s="5" t="s">
        <v>58</v>
      </c>
      <c r="C849" s="5">
        <v>297855</v>
      </c>
    </row>
    <row r="850" spans="1:3" x14ac:dyDescent="0.25">
      <c r="A850" s="23">
        <f t="shared" si="11"/>
        <v>43647</v>
      </c>
      <c r="B850" s="5" t="s">
        <v>59</v>
      </c>
      <c r="C850" s="5">
        <v>545108</v>
      </c>
    </row>
    <row r="851" spans="1:3" x14ac:dyDescent="0.25">
      <c r="A851" s="23">
        <f t="shared" si="11"/>
        <v>43647</v>
      </c>
      <c r="B851" s="5" t="s">
        <v>60</v>
      </c>
      <c r="C851" s="5">
        <v>396116</v>
      </c>
    </row>
    <row r="852" spans="1:3" x14ac:dyDescent="0.25">
      <c r="A852" s="23">
        <f t="shared" si="11"/>
        <v>43647</v>
      </c>
      <c r="B852" s="5" t="s">
        <v>61</v>
      </c>
      <c r="C852" s="5">
        <v>501568</v>
      </c>
    </row>
    <row r="853" spans="1:3" x14ac:dyDescent="0.25">
      <c r="A853" s="23">
        <f t="shared" si="11"/>
        <v>43647</v>
      </c>
      <c r="B853" s="5" t="s">
        <v>62</v>
      </c>
      <c r="C853" s="5">
        <v>885967</v>
      </c>
    </row>
    <row r="854" spans="1:3" x14ac:dyDescent="0.25">
      <c r="A854" s="23">
        <f t="shared" si="11"/>
        <v>43647</v>
      </c>
      <c r="B854" s="5" t="s">
        <v>63</v>
      </c>
      <c r="C854" s="5">
        <v>444768</v>
      </c>
    </row>
    <row r="855" spans="1:3" x14ac:dyDescent="0.25">
      <c r="A855" s="23">
        <f t="shared" si="11"/>
        <v>43647</v>
      </c>
      <c r="B855" s="5" t="s">
        <v>64</v>
      </c>
      <c r="C855" s="5">
        <v>353070</v>
      </c>
    </row>
    <row r="856" spans="1:3" x14ac:dyDescent="0.25">
      <c r="A856" s="23">
        <f t="shared" si="11"/>
        <v>43647</v>
      </c>
      <c r="B856" s="5" t="s">
        <v>65</v>
      </c>
      <c r="C856" s="5">
        <v>552561</v>
      </c>
    </row>
    <row r="857" spans="1:3" x14ac:dyDescent="0.25">
      <c r="A857" s="23">
        <f t="shared" si="11"/>
        <v>43647</v>
      </c>
      <c r="B857" s="5" t="s">
        <v>66</v>
      </c>
      <c r="C857" s="5">
        <v>894558</v>
      </c>
    </row>
    <row r="858" spans="1:3" x14ac:dyDescent="0.25">
      <c r="A858" s="23">
        <f t="shared" si="11"/>
        <v>43647</v>
      </c>
      <c r="B858" s="5" t="s">
        <v>67</v>
      </c>
      <c r="C858" s="5">
        <v>722184</v>
      </c>
    </row>
    <row r="859" spans="1:3" x14ac:dyDescent="0.25">
      <c r="A859" s="23">
        <f t="shared" si="11"/>
        <v>43647</v>
      </c>
      <c r="B859" s="5" t="s">
        <v>68</v>
      </c>
      <c r="C859" s="5">
        <v>997369</v>
      </c>
    </row>
    <row r="860" spans="1:3" x14ac:dyDescent="0.25">
      <c r="A860" s="23">
        <f t="shared" si="11"/>
        <v>43647</v>
      </c>
      <c r="B860" s="5" t="s">
        <v>69</v>
      </c>
      <c r="C860" s="5">
        <v>206172</v>
      </c>
    </row>
    <row r="861" spans="1:3" x14ac:dyDescent="0.25">
      <c r="A861" s="23">
        <f t="shared" si="11"/>
        <v>43647</v>
      </c>
      <c r="B861" s="5" t="s">
        <v>70</v>
      </c>
      <c r="C861" s="5">
        <v>743880</v>
      </c>
    </row>
    <row r="862" spans="1:3" x14ac:dyDescent="0.25">
      <c r="A862" s="23">
        <f t="shared" si="11"/>
        <v>43647</v>
      </c>
      <c r="B862" s="5" t="s">
        <v>71</v>
      </c>
      <c r="C862" s="5">
        <v>770986</v>
      </c>
    </row>
    <row r="863" spans="1:3" x14ac:dyDescent="0.25">
      <c r="A863" s="23">
        <f t="shared" si="11"/>
        <v>43647</v>
      </c>
      <c r="B863" s="5" t="s">
        <v>72</v>
      </c>
      <c r="C863" s="5">
        <v>969111</v>
      </c>
    </row>
    <row r="864" spans="1:3" x14ac:dyDescent="0.25">
      <c r="A864" s="23">
        <f t="shared" si="11"/>
        <v>43647</v>
      </c>
      <c r="B864" s="5" t="s">
        <v>73</v>
      </c>
      <c r="C864" s="5">
        <v>240333</v>
      </c>
    </row>
    <row r="865" spans="1:3" x14ac:dyDescent="0.25">
      <c r="A865" s="23">
        <f t="shared" si="11"/>
        <v>43647</v>
      </c>
      <c r="B865" s="5" t="s">
        <v>74</v>
      </c>
      <c r="C865" s="5">
        <v>288610</v>
      </c>
    </row>
    <row r="866" spans="1:3" x14ac:dyDescent="0.25">
      <c r="A866" s="23">
        <f t="shared" si="11"/>
        <v>43647</v>
      </c>
      <c r="B866" s="5" t="s">
        <v>75</v>
      </c>
      <c r="C866" s="5">
        <v>255164</v>
      </c>
    </row>
    <row r="867" spans="1:3" x14ac:dyDescent="0.25">
      <c r="A867" s="23">
        <f t="shared" si="11"/>
        <v>43647</v>
      </c>
      <c r="B867" s="5" t="s">
        <v>76</v>
      </c>
      <c r="C867" s="5">
        <v>136865</v>
      </c>
    </row>
    <row r="868" spans="1:3" x14ac:dyDescent="0.25">
      <c r="A868" s="23">
        <f t="shared" si="11"/>
        <v>43647</v>
      </c>
      <c r="B868" s="5" t="s">
        <v>77</v>
      </c>
      <c r="C868" s="5">
        <v>145660</v>
      </c>
    </row>
    <row r="869" spans="1:3" x14ac:dyDescent="0.25">
      <c r="A869" s="23">
        <f t="shared" si="11"/>
        <v>43647</v>
      </c>
      <c r="B869" s="5" t="s">
        <v>78</v>
      </c>
      <c r="C869" s="5">
        <v>93697</v>
      </c>
    </row>
    <row r="870" spans="1:3" x14ac:dyDescent="0.25">
      <c r="A870" s="23">
        <f t="shared" si="11"/>
        <v>43647</v>
      </c>
      <c r="B870" s="5" t="s">
        <v>79</v>
      </c>
      <c r="C870" s="5">
        <v>296802</v>
      </c>
    </row>
    <row r="871" spans="1:3" x14ac:dyDescent="0.25">
      <c r="A871" s="23">
        <f t="shared" si="11"/>
        <v>43647</v>
      </c>
      <c r="B871" s="5" t="s">
        <v>80</v>
      </c>
      <c r="C871" s="5">
        <v>60167</v>
      </c>
    </row>
    <row r="872" spans="1:3" x14ac:dyDescent="0.25">
      <c r="A872" s="23">
        <f t="shared" si="11"/>
        <v>43647</v>
      </c>
      <c r="B872" s="5" t="s">
        <v>81</v>
      </c>
      <c r="C872" s="5">
        <v>252584</v>
      </c>
    </row>
    <row r="873" spans="1:3" x14ac:dyDescent="0.25">
      <c r="A873" s="23">
        <f t="shared" si="11"/>
        <v>43647</v>
      </c>
      <c r="B873" s="5" t="s">
        <v>82</v>
      </c>
      <c r="C873" s="5">
        <v>233185</v>
      </c>
    </row>
    <row r="874" spans="1:3" x14ac:dyDescent="0.25">
      <c r="A874" s="23">
        <f t="shared" si="11"/>
        <v>43647</v>
      </c>
      <c r="B874" s="5" t="s">
        <v>83</v>
      </c>
      <c r="C874" s="5">
        <v>62136</v>
      </c>
    </row>
    <row r="875" spans="1:3" x14ac:dyDescent="0.25">
      <c r="A875" s="23">
        <f t="shared" si="11"/>
        <v>43647</v>
      </c>
      <c r="B875" s="5" t="s">
        <v>84</v>
      </c>
      <c r="C875" s="5">
        <v>275230</v>
      </c>
    </row>
    <row r="876" spans="1:3" x14ac:dyDescent="0.25">
      <c r="A876" s="23">
        <f t="shared" si="11"/>
        <v>43647</v>
      </c>
      <c r="B876" s="5" t="s">
        <v>85</v>
      </c>
      <c r="C876" s="5">
        <v>227475</v>
      </c>
    </row>
    <row r="877" spans="1:3" x14ac:dyDescent="0.25">
      <c r="A877" s="23">
        <f t="shared" si="11"/>
        <v>43647</v>
      </c>
      <c r="B877" s="5" t="s">
        <v>86</v>
      </c>
      <c r="C877" s="5">
        <v>293328</v>
      </c>
    </row>
    <row r="878" spans="1:3" x14ac:dyDescent="0.25">
      <c r="A878" s="23">
        <f t="shared" si="11"/>
        <v>43647</v>
      </c>
      <c r="B878" s="5" t="s">
        <v>87</v>
      </c>
      <c r="C878" s="5">
        <v>112721</v>
      </c>
    </row>
    <row r="879" spans="1:3" x14ac:dyDescent="0.25">
      <c r="A879" s="23">
        <f t="shared" si="11"/>
        <v>43647</v>
      </c>
      <c r="B879" s="5" t="s">
        <v>88</v>
      </c>
      <c r="C879" s="5">
        <v>223933</v>
      </c>
    </row>
    <row r="880" spans="1:3" x14ac:dyDescent="0.25">
      <c r="A880" s="23">
        <f t="shared" si="11"/>
        <v>43647</v>
      </c>
      <c r="B880" s="5" t="s">
        <v>89</v>
      </c>
      <c r="C880" s="5">
        <v>201160</v>
      </c>
    </row>
    <row r="881" spans="1:3" x14ac:dyDescent="0.25">
      <c r="A881" s="23">
        <f t="shared" si="11"/>
        <v>43647</v>
      </c>
      <c r="B881" s="5" t="s">
        <v>90</v>
      </c>
      <c r="C881" s="5">
        <v>145300</v>
      </c>
    </row>
    <row r="882" spans="1:3" x14ac:dyDescent="0.25">
      <c r="A882" s="23">
        <f t="shared" si="11"/>
        <v>43647</v>
      </c>
      <c r="B882" s="5" t="s">
        <v>91</v>
      </c>
      <c r="C882" s="5">
        <v>71106</v>
      </c>
    </row>
    <row r="883" spans="1:3" x14ac:dyDescent="0.25">
      <c r="A883" s="23">
        <f t="shared" si="11"/>
        <v>43647</v>
      </c>
      <c r="B883" s="5" t="s">
        <v>92</v>
      </c>
      <c r="C883" s="5">
        <v>76596</v>
      </c>
    </row>
    <row r="884" spans="1:3" x14ac:dyDescent="0.25">
      <c r="A884" s="23">
        <f t="shared" si="11"/>
        <v>43647</v>
      </c>
      <c r="B884" s="5" t="s">
        <v>93</v>
      </c>
      <c r="C884" s="5">
        <v>195492</v>
      </c>
    </row>
    <row r="885" spans="1:3" x14ac:dyDescent="0.25">
      <c r="A885" s="23">
        <f t="shared" si="11"/>
        <v>43647</v>
      </c>
      <c r="B885" s="5" t="s">
        <v>94</v>
      </c>
      <c r="C885" s="5">
        <v>226855</v>
      </c>
    </row>
    <row r="886" spans="1:3" x14ac:dyDescent="0.25">
      <c r="A886" s="23">
        <f t="shared" si="11"/>
        <v>43647</v>
      </c>
      <c r="B886" s="5" t="s">
        <v>95</v>
      </c>
      <c r="C886" s="5">
        <v>183827</v>
      </c>
    </row>
    <row r="887" spans="1:3" x14ac:dyDescent="0.25">
      <c r="A887" s="23">
        <f t="shared" si="11"/>
        <v>43647</v>
      </c>
      <c r="B887" s="5" t="s">
        <v>96</v>
      </c>
      <c r="C887" s="5">
        <v>110670</v>
      </c>
    </row>
    <row r="888" spans="1:3" x14ac:dyDescent="0.25">
      <c r="A888" s="23">
        <f t="shared" si="11"/>
        <v>43647</v>
      </c>
      <c r="B888" s="5" t="s">
        <v>97</v>
      </c>
      <c r="C888" s="5">
        <v>251680</v>
      </c>
    </row>
    <row r="889" spans="1:3" x14ac:dyDescent="0.25">
      <c r="A889" s="23">
        <f t="shared" si="11"/>
        <v>43647</v>
      </c>
      <c r="B889" s="5" t="s">
        <v>98</v>
      </c>
      <c r="C889" s="5">
        <v>274900</v>
      </c>
    </row>
    <row r="890" spans="1:3" x14ac:dyDescent="0.25">
      <c r="A890" s="23">
        <f t="shared" si="11"/>
        <v>43647</v>
      </c>
      <c r="B890" s="5" t="s">
        <v>99</v>
      </c>
      <c r="C890" s="5">
        <v>163160</v>
      </c>
    </row>
    <row r="891" spans="1:3" x14ac:dyDescent="0.25">
      <c r="A891" s="23">
        <f t="shared" si="11"/>
        <v>43647</v>
      </c>
      <c r="B891" s="5" t="s">
        <v>100</v>
      </c>
      <c r="C891" s="5">
        <v>156039</v>
      </c>
    </row>
    <row r="892" spans="1:3" x14ac:dyDescent="0.25">
      <c r="A892" s="23">
        <f t="shared" si="11"/>
        <v>43647</v>
      </c>
      <c r="B892" s="5" t="s">
        <v>101</v>
      </c>
      <c r="C892" s="5">
        <v>289018</v>
      </c>
    </row>
    <row r="893" spans="1:3" x14ac:dyDescent="0.25">
      <c r="A893" s="23">
        <f t="shared" si="11"/>
        <v>43647</v>
      </c>
      <c r="B893" s="5" t="s">
        <v>102</v>
      </c>
      <c r="C893" s="5">
        <v>222665</v>
      </c>
    </row>
    <row r="894" spans="1:3" x14ac:dyDescent="0.25">
      <c r="A894" s="23">
        <f t="shared" si="11"/>
        <v>43647</v>
      </c>
      <c r="B894" s="5" t="s">
        <v>103</v>
      </c>
      <c r="C894" s="5">
        <v>191894</v>
      </c>
    </row>
    <row r="895" spans="1:3" x14ac:dyDescent="0.25">
      <c r="A895" s="23">
        <f t="shared" si="11"/>
        <v>43647</v>
      </c>
      <c r="B895" s="5" t="s">
        <v>104</v>
      </c>
      <c r="C895" s="5">
        <v>205693</v>
      </c>
    </row>
    <row r="896" spans="1:3" x14ac:dyDescent="0.25">
      <c r="A896" s="23">
        <f t="shared" si="11"/>
        <v>43647</v>
      </c>
      <c r="B896" s="5" t="s">
        <v>105</v>
      </c>
      <c r="C896" s="5">
        <v>69983</v>
      </c>
    </row>
    <row r="897" spans="1:3" x14ac:dyDescent="0.25">
      <c r="A897" s="23">
        <f t="shared" si="11"/>
        <v>43647</v>
      </c>
      <c r="B897" s="5" t="s">
        <v>106</v>
      </c>
      <c r="C897" s="5">
        <v>258200</v>
      </c>
    </row>
    <row r="898" spans="1:3" x14ac:dyDescent="0.25">
      <c r="A898" s="23">
        <f t="shared" si="11"/>
        <v>43647</v>
      </c>
      <c r="B898" s="5" t="s">
        <v>107</v>
      </c>
      <c r="C898" s="5">
        <v>169814</v>
      </c>
    </row>
    <row r="899" spans="1:3" x14ac:dyDescent="0.25">
      <c r="A899" s="23">
        <f t="shared" si="11"/>
        <v>43647</v>
      </c>
      <c r="B899" s="5" t="s">
        <v>108</v>
      </c>
      <c r="C899" s="5">
        <v>148385</v>
      </c>
    </row>
    <row r="900" spans="1:3" x14ac:dyDescent="0.25">
      <c r="A900" s="23">
        <f t="shared" si="11"/>
        <v>43647</v>
      </c>
      <c r="B900" s="5" t="s">
        <v>109</v>
      </c>
      <c r="C900" s="5">
        <v>161595</v>
      </c>
    </row>
    <row r="901" spans="1:3" x14ac:dyDescent="0.25">
      <c r="A901" s="23">
        <f t="shared" si="11"/>
        <v>43647</v>
      </c>
      <c r="B901" s="5" t="s">
        <v>110</v>
      </c>
      <c r="C901" s="5">
        <v>-8032</v>
      </c>
    </row>
    <row r="902" spans="1:3" x14ac:dyDescent="0.25">
      <c r="A902" s="23">
        <f t="shared" si="11"/>
        <v>43647</v>
      </c>
      <c r="B902" s="5" t="s">
        <v>111</v>
      </c>
      <c r="C902" s="5">
        <v>-7480</v>
      </c>
    </row>
    <row r="903" spans="1:3" x14ac:dyDescent="0.25">
      <c r="A903" s="23">
        <f t="shared" si="11"/>
        <v>43647</v>
      </c>
      <c r="B903" s="5" t="s">
        <v>112</v>
      </c>
      <c r="C903" s="5">
        <v>-9724</v>
      </c>
    </row>
    <row r="904" spans="1:3" x14ac:dyDescent="0.25">
      <c r="A904" s="23">
        <f t="shared" si="11"/>
        <v>43647</v>
      </c>
      <c r="B904" s="5" t="s">
        <v>113</v>
      </c>
      <c r="C904" s="5">
        <v>-7701</v>
      </c>
    </row>
    <row r="905" spans="1:3" x14ac:dyDescent="0.25">
      <c r="A905" s="23">
        <f t="shared" si="11"/>
        <v>43647</v>
      </c>
      <c r="B905" s="5" t="s">
        <v>114</v>
      </c>
      <c r="C905" s="5">
        <v>-8617</v>
      </c>
    </row>
    <row r="906" spans="1:3" x14ac:dyDescent="0.25">
      <c r="A906" s="23">
        <f t="shared" si="11"/>
        <v>43647</v>
      </c>
      <c r="B906" s="5" t="s">
        <v>115</v>
      </c>
      <c r="C906" s="5">
        <v>-3473</v>
      </c>
    </row>
    <row r="907" spans="1:3" x14ac:dyDescent="0.25">
      <c r="A907" s="23">
        <f t="shared" si="11"/>
        <v>43647</v>
      </c>
      <c r="B907" s="5" t="s">
        <v>116</v>
      </c>
      <c r="C907" s="5">
        <v>-8960</v>
      </c>
    </row>
    <row r="908" spans="1:3" x14ac:dyDescent="0.25">
      <c r="A908" s="23">
        <f t="shared" si="11"/>
        <v>43647</v>
      </c>
      <c r="B908" s="5" t="s">
        <v>117</v>
      </c>
      <c r="C908" s="5">
        <v>-2056</v>
      </c>
    </row>
    <row r="909" spans="1:3" x14ac:dyDescent="0.25">
      <c r="A909" s="23">
        <f t="shared" si="11"/>
        <v>43647</v>
      </c>
      <c r="B909" s="5" t="s">
        <v>118</v>
      </c>
      <c r="C909" s="5">
        <v>-8512</v>
      </c>
    </row>
    <row r="910" spans="1:3" x14ac:dyDescent="0.25">
      <c r="A910" s="23">
        <f t="shared" si="11"/>
        <v>43647</v>
      </c>
      <c r="B910" s="5" t="s">
        <v>119</v>
      </c>
      <c r="C910" s="5">
        <v>-6990</v>
      </c>
    </row>
    <row r="911" spans="1:3" x14ac:dyDescent="0.25">
      <c r="A911" s="23">
        <f t="shared" ref="A911:A974" si="12">EDATE(A771,1)</f>
        <v>43647</v>
      </c>
      <c r="B911" s="5" t="s">
        <v>120</v>
      </c>
      <c r="C911" s="5">
        <v>-9293</v>
      </c>
    </row>
    <row r="912" spans="1:3" x14ac:dyDescent="0.25">
      <c r="A912" s="23">
        <f t="shared" si="12"/>
        <v>43647</v>
      </c>
      <c r="B912" s="5" t="s">
        <v>121</v>
      </c>
      <c r="C912" s="5">
        <v>-7342</v>
      </c>
    </row>
    <row r="913" spans="1:3" x14ac:dyDescent="0.25">
      <c r="A913" s="23">
        <f t="shared" si="12"/>
        <v>43647</v>
      </c>
      <c r="B913" s="5" t="s">
        <v>122</v>
      </c>
      <c r="C913" s="5">
        <v>-3847</v>
      </c>
    </row>
    <row r="914" spans="1:3" x14ac:dyDescent="0.25">
      <c r="A914" s="23">
        <f t="shared" si="12"/>
        <v>43647</v>
      </c>
      <c r="B914" s="5" t="s">
        <v>123</v>
      </c>
      <c r="C914" s="5">
        <v>-3731</v>
      </c>
    </row>
    <row r="915" spans="1:3" x14ac:dyDescent="0.25">
      <c r="A915" s="23">
        <f t="shared" si="12"/>
        <v>43647</v>
      </c>
      <c r="B915" s="5" t="s">
        <v>124</v>
      </c>
      <c r="C915" s="5">
        <v>-2118</v>
      </c>
    </row>
    <row r="916" spans="1:3" x14ac:dyDescent="0.25">
      <c r="A916" s="23">
        <f t="shared" si="12"/>
        <v>43647</v>
      </c>
      <c r="B916" s="5" t="s">
        <v>125</v>
      </c>
      <c r="C916" s="5">
        <v>-6215</v>
      </c>
    </row>
    <row r="917" spans="1:3" x14ac:dyDescent="0.25">
      <c r="A917" s="23">
        <f t="shared" si="12"/>
        <v>43647</v>
      </c>
      <c r="B917" s="5" t="s">
        <v>126</v>
      </c>
      <c r="C917" s="5">
        <v>-4390</v>
      </c>
    </row>
    <row r="918" spans="1:3" x14ac:dyDescent="0.25">
      <c r="A918" s="23">
        <f t="shared" si="12"/>
        <v>43647</v>
      </c>
      <c r="B918" s="5" t="s">
        <v>127</v>
      </c>
      <c r="C918" s="5">
        <v>-3125</v>
      </c>
    </row>
    <row r="919" spans="1:3" x14ac:dyDescent="0.25">
      <c r="A919" s="23">
        <f t="shared" si="12"/>
        <v>43647</v>
      </c>
      <c r="B919" s="5" t="s">
        <v>128</v>
      </c>
      <c r="C919" s="5">
        <v>-3043</v>
      </c>
    </row>
    <row r="920" spans="1:3" x14ac:dyDescent="0.25">
      <c r="A920" s="23">
        <f t="shared" si="12"/>
        <v>43647</v>
      </c>
      <c r="B920" s="5" t="s">
        <v>129</v>
      </c>
      <c r="C920" s="5">
        <v>-7153</v>
      </c>
    </row>
    <row r="921" spans="1:3" x14ac:dyDescent="0.25">
      <c r="A921" s="23">
        <f t="shared" si="12"/>
        <v>43647</v>
      </c>
      <c r="B921" s="5" t="s">
        <v>130</v>
      </c>
      <c r="C921" s="5">
        <v>-7895</v>
      </c>
    </row>
    <row r="922" spans="1:3" x14ac:dyDescent="0.25">
      <c r="A922" s="23">
        <f t="shared" si="12"/>
        <v>43647</v>
      </c>
      <c r="B922" s="5" t="s">
        <v>131</v>
      </c>
      <c r="C922" s="5">
        <v>-6442</v>
      </c>
    </row>
    <row r="923" spans="1:3" x14ac:dyDescent="0.25">
      <c r="A923" s="23">
        <f t="shared" si="12"/>
        <v>43647</v>
      </c>
      <c r="B923" s="5" t="s">
        <v>132</v>
      </c>
      <c r="C923" s="5">
        <v>-6696</v>
      </c>
    </row>
    <row r="924" spans="1:3" x14ac:dyDescent="0.25">
      <c r="A924" s="23">
        <f t="shared" si="12"/>
        <v>43647</v>
      </c>
      <c r="B924" s="5" t="s">
        <v>133</v>
      </c>
      <c r="C924" s="5">
        <v>-5882</v>
      </c>
    </row>
    <row r="925" spans="1:3" x14ac:dyDescent="0.25">
      <c r="A925" s="23">
        <f t="shared" si="12"/>
        <v>43647</v>
      </c>
      <c r="B925" s="5" t="s">
        <v>134</v>
      </c>
      <c r="C925" s="5">
        <v>-9269</v>
      </c>
    </row>
    <row r="926" spans="1:3" x14ac:dyDescent="0.25">
      <c r="A926" s="23">
        <f t="shared" si="12"/>
        <v>43647</v>
      </c>
      <c r="B926" s="5" t="s">
        <v>135</v>
      </c>
      <c r="C926" s="5">
        <v>-6372</v>
      </c>
    </row>
    <row r="927" spans="1:3" x14ac:dyDescent="0.25">
      <c r="A927" s="23">
        <f t="shared" si="12"/>
        <v>43647</v>
      </c>
      <c r="B927" s="5" t="s">
        <v>136</v>
      </c>
      <c r="C927" s="5">
        <v>-5222</v>
      </c>
    </row>
    <row r="928" spans="1:3" x14ac:dyDescent="0.25">
      <c r="A928" s="23">
        <f t="shared" si="12"/>
        <v>43647</v>
      </c>
      <c r="B928" s="5" t="s">
        <v>137</v>
      </c>
      <c r="C928" s="5">
        <v>-8406</v>
      </c>
    </row>
    <row r="929" spans="1:3" x14ac:dyDescent="0.25">
      <c r="A929" s="23">
        <f t="shared" si="12"/>
        <v>43647</v>
      </c>
      <c r="B929" s="5" t="s">
        <v>138</v>
      </c>
      <c r="C929" s="5">
        <v>-7444</v>
      </c>
    </row>
    <row r="930" spans="1:3" x14ac:dyDescent="0.25">
      <c r="A930" s="23">
        <f t="shared" si="12"/>
        <v>43647</v>
      </c>
      <c r="B930" s="5" t="s">
        <v>139</v>
      </c>
      <c r="C930" s="5">
        <v>-8327</v>
      </c>
    </row>
    <row r="931" spans="1:3" x14ac:dyDescent="0.25">
      <c r="A931" s="23">
        <f t="shared" si="12"/>
        <v>43647</v>
      </c>
      <c r="B931" s="5" t="s">
        <v>140</v>
      </c>
      <c r="C931" s="5">
        <v>-273116</v>
      </c>
    </row>
    <row r="932" spans="1:3" x14ac:dyDescent="0.25">
      <c r="A932" s="23">
        <f t="shared" si="12"/>
        <v>43647</v>
      </c>
      <c r="B932" s="5" t="s">
        <v>141</v>
      </c>
      <c r="C932" s="5">
        <v>-128198</v>
      </c>
    </row>
    <row r="933" spans="1:3" x14ac:dyDescent="0.25">
      <c r="A933" s="23">
        <f t="shared" si="12"/>
        <v>43647</v>
      </c>
      <c r="B933" s="5" t="s">
        <v>142</v>
      </c>
      <c r="C933" s="5">
        <v>-203771</v>
      </c>
    </row>
    <row r="934" spans="1:3" x14ac:dyDescent="0.25">
      <c r="A934" s="23">
        <f t="shared" si="12"/>
        <v>43647</v>
      </c>
      <c r="B934" s="5" t="s">
        <v>143</v>
      </c>
      <c r="C934" s="5">
        <v>-210570</v>
      </c>
    </row>
    <row r="935" spans="1:3" x14ac:dyDescent="0.25">
      <c r="A935" s="23">
        <f t="shared" si="12"/>
        <v>43647</v>
      </c>
      <c r="B935" s="5" t="s">
        <v>144</v>
      </c>
      <c r="C935" s="5">
        <v>-114358</v>
      </c>
    </row>
    <row r="936" spans="1:3" x14ac:dyDescent="0.25">
      <c r="A936" s="23">
        <f t="shared" si="12"/>
        <v>43647</v>
      </c>
      <c r="B936" s="5" t="s">
        <v>145</v>
      </c>
      <c r="C936" s="5">
        <v>-177768</v>
      </c>
    </row>
    <row r="937" spans="1:3" x14ac:dyDescent="0.25">
      <c r="A937" s="23">
        <f t="shared" si="12"/>
        <v>43647</v>
      </c>
      <c r="B937" s="5" t="s">
        <v>146</v>
      </c>
      <c r="C937" s="5">
        <v>-180314</v>
      </c>
    </row>
    <row r="938" spans="1:3" x14ac:dyDescent="0.25">
      <c r="A938" s="23">
        <f t="shared" si="12"/>
        <v>43647</v>
      </c>
      <c r="B938" s="5" t="s">
        <v>147</v>
      </c>
      <c r="C938" s="5">
        <v>-297935</v>
      </c>
    </row>
    <row r="939" spans="1:3" x14ac:dyDescent="0.25">
      <c r="A939" s="23">
        <f t="shared" si="12"/>
        <v>43647</v>
      </c>
      <c r="B939" s="5" t="s">
        <v>148</v>
      </c>
      <c r="C939" s="5">
        <v>-161656</v>
      </c>
    </row>
    <row r="940" spans="1:3" x14ac:dyDescent="0.25">
      <c r="A940" s="23">
        <f t="shared" si="12"/>
        <v>43647</v>
      </c>
      <c r="B940" s="5" t="s">
        <v>149</v>
      </c>
      <c r="C940" s="5">
        <v>-76583</v>
      </c>
    </row>
    <row r="941" spans="1:3" x14ac:dyDescent="0.25">
      <c r="A941" s="23">
        <f t="shared" si="12"/>
        <v>43647</v>
      </c>
      <c r="B941" s="5" t="s">
        <v>150</v>
      </c>
      <c r="C941" s="5">
        <v>-233713</v>
      </c>
    </row>
    <row r="942" spans="1:3" x14ac:dyDescent="0.25">
      <c r="A942" s="23">
        <f t="shared" si="12"/>
        <v>43647</v>
      </c>
      <c r="B942" s="5" t="s">
        <v>151</v>
      </c>
      <c r="C942" s="5">
        <v>-264159</v>
      </c>
    </row>
    <row r="943" spans="1:3" x14ac:dyDescent="0.25">
      <c r="A943" s="23">
        <f t="shared" si="12"/>
        <v>43647</v>
      </c>
      <c r="B943" s="5" t="s">
        <v>152</v>
      </c>
      <c r="C943" s="5">
        <v>-169044</v>
      </c>
    </row>
    <row r="944" spans="1:3" x14ac:dyDescent="0.25">
      <c r="A944" s="23">
        <f t="shared" si="12"/>
        <v>43647</v>
      </c>
      <c r="B944" s="5" t="s">
        <v>153</v>
      </c>
      <c r="C944" s="5">
        <v>-135347</v>
      </c>
    </row>
    <row r="945" spans="1:3" x14ac:dyDescent="0.25">
      <c r="A945" s="23">
        <f t="shared" si="12"/>
        <v>43647</v>
      </c>
      <c r="B945" s="5" t="s">
        <v>154</v>
      </c>
      <c r="C945" s="5">
        <v>-120295</v>
      </c>
    </row>
    <row r="946" spans="1:3" x14ac:dyDescent="0.25">
      <c r="A946" s="23">
        <f t="shared" si="12"/>
        <v>43647</v>
      </c>
      <c r="B946" s="5" t="s">
        <v>155</v>
      </c>
      <c r="C946" s="5">
        <v>-98765</v>
      </c>
    </row>
    <row r="947" spans="1:3" x14ac:dyDescent="0.25">
      <c r="A947" s="23">
        <f t="shared" si="12"/>
        <v>43647</v>
      </c>
      <c r="B947" s="5" t="s">
        <v>156</v>
      </c>
      <c r="C947" s="5">
        <v>-177526</v>
      </c>
    </row>
    <row r="948" spans="1:3" x14ac:dyDescent="0.25">
      <c r="A948" s="23">
        <f t="shared" si="12"/>
        <v>43647</v>
      </c>
      <c r="B948" s="5" t="s">
        <v>157</v>
      </c>
      <c r="C948" s="5">
        <v>-147627</v>
      </c>
    </row>
    <row r="949" spans="1:3" x14ac:dyDescent="0.25">
      <c r="A949" s="23">
        <f t="shared" si="12"/>
        <v>43647</v>
      </c>
      <c r="B949" s="5" t="s">
        <v>158</v>
      </c>
      <c r="C949" s="5">
        <v>-286470</v>
      </c>
    </row>
    <row r="950" spans="1:3" x14ac:dyDescent="0.25">
      <c r="A950" s="23">
        <f t="shared" si="12"/>
        <v>43647</v>
      </c>
      <c r="B950" s="5" t="s">
        <v>159</v>
      </c>
      <c r="C950" s="5">
        <v>-276291</v>
      </c>
    </row>
    <row r="951" spans="1:3" x14ac:dyDescent="0.25">
      <c r="A951" s="23">
        <f t="shared" si="12"/>
        <v>43647</v>
      </c>
      <c r="B951" s="5" t="s">
        <v>160</v>
      </c>
      <c r="C951" s="5">
        <v>-154389</v>
      </c>
    </row>
    <row r="952" spans="1:3" x14ac:dyDescent="0.25">
      <c r="A952" s="23">
        <f t="shared" si="12"/>
        <v>43647</v>
      </c>
      <c r="B952" s="5" t="s">
        <v>161</v>
      </c>
      <c r="C952" s="5">
        <v>-171248</v>
      </c>
    </row>
    <row r="953" spans="1:3" x14ac:dyDescent="0.25">
      <c r="A953" s="23">
        <f t="shared" si="12"/>
        <v>43647</v>
      </c>
      <c r="B953" s="5" t="s">
        <v>162</v>
      </c>
      <c r="C953" s="5">
        <v>-104845</v>
      </c>
    </row>
    <row r="954" spans="1:3" x14ac:dyDescent="0.25">
      <c r="A954" s="23">
        <f t="shared" si="12"/>
        <v>43647</v>
      </c>
      <c r="B954" s="5" t="s">
        <v>163</v>
      </c>
      <c r="C954" s="5">
        <v>-179858</v>
      </c>
    </row>
    <row r="955" spans="1:3" x14ac:dyDescent="0.25">
      <c r="A955" s="23">
        <f t="shared" si="12"/>
        <v>43647</v>
      </c>
      <c r="B955" s="5" t="s">
        <v>164</v>
      </c>
      <c r="C955" s="5">
        <v>-69722</v>
      </c>
    </row>
    <row r="956" spans="1:3" x14ac:dyDescent="0.25">
      <c r="A956" s="23">
        <f t="shared" si="12"/>
        <v>43647</v>
      </c>
      <c r="B956" s="5" t="s">
        <v>165</v>
      </c>
      <c r="C956" s="5">
        <v>-66834</v>
      </c>
    </row>
    <row r="957" spans="1:3" x14ac:dyDescent="0.25">
      <c r="A957" s="23">
        <f t="shared" si="12"/>
        <v>43647</v>
      </c>
      <c r="B957" s="5" t="s">
        <v>166</v>
      </c>
      <c r="C957" s="5">
        <v>-97219</v>
      </c>
    </row>
    <row r="958" spans="1:3" x14ac:dyDescent="0.25">
      <c r="A958" s="23">
        <f t="shared" si="12"/>
        <v>43647</v>
      </c>
      <c r="B958" s="5" t="s">
        <v>167</v>
      </c>
      <c r="C958" s="5">
        <v>-175225</v>
      </c>
    </row>
    <row r="959" spans="1:3" x14ac:dyDescent="0.25">
      <c r="A959" s="23">
        <f t="shared" si="12"/>
        <v>43647</v>
      </c>
      <c r="B959" s="5" t="s">
        <v>168</v>
      </c>
      <c r="C959" s="5">
        <v>-390992</v>
      </c>
    </row>
    <row r="960" spans="1:3" x14ac:dyDescent="0.25">
      <c r="A960" s="23">
        <f t="shared" si="12"/>
        <v>43647</v>
      </c>
      <c r="B960" s="5" t="s">
        <v>169</v>
      </c>
      <c r="C960" s="5">
        <v>-262242</v>
      </c>
    </row>
    <row r="961" spans="1:3" x14ac:dyDescent="0.25">
      <c r="A961" s="23">
        <f t="shared" si="12"/>
        <v>43647</v>
      </c>
      <c r="B961" s="5" t="s">
        <v>170</v>
      </c>
      <c r="C961" s="5">
        <v>-281157</v>
      </c>
    </row>
    <row r="962" spans="1:3" x14ac:dyDescent="0.25">
      <c r="A962" s="23">
        <f t="shared" si="12"/>
        <v>43647</v>
      </c>
      <c r="B962" s="5" t="s">
        <v>171</v>
      </c>
      <c r="C962" s="5">
        <v>-158861</v>
      </c>
    </row>
    <row r="963" spans="1:3" x14ac:dyDescent="0.25">
      <c r="A963" s="23">
        <f t="shared" si="12"/>
        <v>43647</v>
      </c>
      <c r="B963" s="5" t="s">
        <v>172</v>
      </c>
      <c r="C963" s="5">
        <v>-270570</v>
      </c>
    </row>
    <row r="964" spans="1:3" x14ac:dyDescent="0.25">
      <c r="A964" s="23">
        <f t="shared" si="12"/>
        <v>43647</v>
      </c>
      <c r="B964" s="5" t="s">
        <v>173</v>
      </c>
      <c r="C964" s="5">
        <v>-42654</v>
      </c>
    </row>
    <row r="965" spans="1:3" x14ac:dyDescent="0.25">
      <c r="A965" s="23">
        <f t="shared" si="12"/>
        <v>43647</v>
      </c>
      <c r="B965" s="5" t="s">
        <v>174</v>
      </c>
      <c r="C965" s="5">
        <v>-53664</v>
      </c>
    </row>
    <row r="966" spans="1:3" x14ac:dyDescent="0.25">
      <c r="A966" s="23">
        <f t="shared" si="12"/>
        <v>43647</v>
      </c>
      <c r="B966" s="5" t="s">
        <v>175</v>
      </c>
      <c r="C966" s="5">
        <v>-53654</v>
      </c>
    </row>
    <row r="967" spans="1:3" x14ac:dyDescent="0.25">
      <c r="A967" s="23">
        <f t="shared" si="12"/>
        <v>43647</v>
      </c>
      <c r="B967" s="5" t="s">
        <v>176</v>
      </c>
      <c r="C967" s="5">
        <v>-51467</v>
      </c>
    </row>
    <row r="968" spans="1:3" x14ac:dyDescent="0.25">
      <c r="A968" s="23">
        <f t="shared" si="12"/>
        <v>43647</v>
      </c>
      <c r="B968" s="5" t="s">
        <v>177</v>
      </c>
      <c r="C968" s="5">
        <v>-42572</v>
      </c>
    </row>
    <row r="969" spans="1:3" x14ac:dyDescent="0.25">
      <c r="A969" s="23">
        <f t="shared" si="12"/>
        <v>43647</v>
      </c>
      <c r="B969" s="5" t="s">
        <v>178</v>
      </c>
      <c r="C969" s="5">
        <v>-111734</v>
      </c>
    </row>
    <row r="970" spans="1:3" x14ac:dyDescent="0.25">
      <c r="A970" s="23">
        <f t="shared" si="12"/>
        <v>43647</v>
      </c>
      <c r="B970" s="5" t="s">
        <v>179</v>
      </c>
      <c r="C970" s="5">
        <v>-249762</v>
      </c>
    </row>
    <row r="971" spans="1:3" x14ac:dyDescent="0.25">
      <c r="A971" s="23">
        <f t="shared" si="12"/>
        <v>43647</v>
      </c>
      <c r="B971" s="5" t="s">
        <v>180</v>
      </c>
      <c r="C971" s="5">
        <v>-266591</v>
      </c>
    </row>
    <row r="972" spans="1:3" x14ac:dyDescent="0.25">
      <c r="A972" s="23">
        <f t="shared" si="12"/>
        <v>43647</v>
      </c>
      <c r="B972" s="5" t="s">
        <v>181</v>
      </c>
      <c r="C972" s="5">
        <v>-62459</v>
      </c>
    </row>
    <row r="973" spans="1:3" x14ac:dyDescent="0.25">
      <c r="A973" s="23">
        <f t="shared" si="12"/>
        <v>43647</v>
      </c>
      <c r="B973" s="5" t="s">
        <v>182</v>
      </c>
      <c r="C973" s="5">
        <v>-55087</v>
      </c>
    </row>
    <row r="974" spans="1:3" x14ac:dyDescent="0.25">
      <c r="A974" s="23">
        <f t="shared" si="12"/>
        <v>43647</v>
      </c>
      <c r="B974" s="5" t="s">
        <v>183</v>
      </c>
      <c r="C974" s="5">
        <v>-73513</v>
      </c>
    </row>
    <row r="975" spans="1:3" x14ac:dyDescent="0.25">
      <c r="A975" s="23">
        <f t="shared" ref="A975:A1038" si="13">EDATE(A835,1)</f>
        <v>43647</v>
      </c>
      <c r="B975" s="5" t="s">
        <v>184</v>
      </c>
      <c r="C975" s="5">
        <v>-81554</v>
      </c>
    </row>
    <row r="976" spans="1:3" x14ac:dyDescent="0.25">
      <c r="A976" s="23">
        <f t="shared" si="13"/>
        <v>43647</v>
      </c>
      <c r="B976" s="5" t="s">
        <v>185</v>
      </c>
      <c r="C976" s="5">
        <v>-101660</v>
      </c>
    </row>
    <row r="977" spans="1:3" x14ac:dyDescent="0.25">
      <c r="A977" s="23">
        <f t="shared" si="13"/>
        <v>43647</v>
      </c>
      <c r="B977" s="5" t="s">
        <v>186</v>
      </c>
      <c r="C977" s="5">
        <v>-100834</v>
      </c>
    </row>
    <row r="978" spans="1:3" x14ac:dyDescent="0.25">
      <c r="A978" s="23">
        <f t="shared" si="13"/>
        <v>43647</v>
      </c>
      <c r="B978" s="5" t="s">
        <v>187</v>
      </c>
      <c r="C978" s="5">
        <v>-196642</v>
      </c>
    </row>
    <row r="979" spans="1:3" x14ac:dyDescent="0.25">
      <c r="A979" s="23">
        <f t="shared" si="13"/>
        <v>43647</v>
      </c>
      <c r="B979" s="5" t="s">
        <v>188</v>
      </c>
      <c r="C979" s="5">
        <v>-159772</v>
      </c>
    </row>
    <row r="980" spans="1:3" x14ac:dyDescent="0.25">
      <c r="A980" s="23">
        <f t="shared" si="13"/>
        <v>43647</v>
      </c>
      <c r="B980" s="5" t="s">
        <v>189</v>
      </c>
      <c r="C980" s="5">
        <v>-10246</v>
      </c>
    </row>
    <row r="981" spans="1:3" x14ac:dyDescent="0.25">
      <c r="A981" s="23">
        <f t="shared" si="13"/>
        <v>43647</v>
      </c>
      <c r="B981" s="5" t="s">
        <v>190</v>
      </c>
      <c r="C981" s="5">
        <v>-17820</v>
      </c>
    </row>
    <row r="982" spans="1:3" x14ac:dyDescent="0.25">
      <c r="A982" s="23">
        <f t="shared" si="13"/>
        <v>43678</v>
      </c>
      <c r="B982" s="5" t="s">
        <v>51</v>
      </c>
      <c r="C982" s="5">
        <v>799104</v>
      </c>
    </row>
    <row r="983" spans="1:3" x14ac:dyDescent="0.25">
      <c r="A983" s="23">
        <f t="shared" si="13"/>
        <v>43678</v>
      </c>
      <c r="B983" s="5" t="s">
        <v>52</v>
      </c>
      <c r="C983" s="5">
        <v>202612</v>
      </c>
    </row>
    <row r="984" spans="1:3" x14ac:dyDescent="0.25">
      <c r="A984" s="23">
        <f t="shared" si="13"/>
        <v>43678</v>
      </c>
      <c r="B984" s="5" t="s">
        <v>53</v>
      </c>
      <c r="C984" s="5">
        <v>860875</v>
      </c>
    </row>
    <row r="985" spans="1:3" x14ac:dyDescent="0.25">
      <c r="A985" s="23">
        <f t="shared" si="13"/>
        <v>43678</v>
      </c>
      <c r="B985" s="5" t="s">
        <v>54</v>
      </c>
      <c r="C985" s="5">
        <v>868651</v>
      </c>
    </row>
    <row r="986" spans="1:3" x14ac:dyDescent="0.25">
      <c r="A986" s="23">
        <f t="shared" si="13"/>
        <v>43678</v>
      </c>
      <c r="B986" s="5" t="s">
        <v>55</v>
      </c>
      <c r="C986" s="5">
        <v>446950</v>
      </c>
    </row>
    <row r="987" spans="1:3" x14ac:dyDescent="0.25">
      <c r="A987" s="23">
        <f t="shared" si="13"/>
        <v>43678</v>
      </c>
      <c r="B987" s="5" t="s">
        <v>56</v>
      </c>
      <c r="C987" s="5">
        <v>842219</v>
      </c>
    </row>
    <row r="988" spans="1:3" x14ac:dyDescent="0.25">
      <c r="A988" s="23">
        <f t="shared" si="13"/>
        <v>43678</v>
      </c>
      <c r="B988" s="5" t="s">
        <v>57</v>
      </c>
      <c r="C988" s="5">
        <v>373301</v>
      </c>
    </row>
    <row r="989" spans="1:3" x14ac:dyDescent="0.25">
      <c r="A989" s="23">
        <f t="shared" si="13"/>
        <v>43678</v>
      </c>
      <c r="B989" s="5" t="s">
        <v>58</v>
      </c>
      <c r="C989" s="5">
        <v>376249</v>
      </c>
    </row>
    <row r="990" spans="1:3" x14ac:dyDescent="0.25">
      <c r="A990" s="23">
        <f t="shared" si="13"/>
        <v>43678</v>
      </c>
      <c r="B990" s="5" t="s">
        <v>59</v>
      </c>
      <c r="C990" s="5">
        <v>667827</v>
      </c>
    </row>
    <row r="991" spans="1:3" x14ac:dyDescent="0.25">
      <c r="A991" s="23">
        <f t="shared" si="13"/>
        <v>43678</v>
      </c>
      <c r="B991" s="5" t="s">
        <v>60</v>
      </c>
      <c r="C991" s="5">
        <v>649063</v>
      </c>
    </row>
    <row r="992" spans="1:3" x14ac:dyDescent="0.25">
      <c r="A992" s="23">
        <f t="shared" si="13"/>
        <v>43678</v>
      </c>
      <c r="B992" s="5" t="s">
        <v>61</v>
      </c>
      <c r="C992" s="5">
        <v>722283</v>
      </c>
    </row>
    <row r="993" spans="1:3" x14ac:dyDescent="0.25">
      <c r="A993" s="23">
        <f t="shared" si="13"/>
        <v>43678</v>
      </c>
      <c r="B993" s="5" t="s">
        <v>62</v>
      </c>
      <c r="C993" s="5">
        <v>564568</v>
      </c>
    </row>
    <row r="994" spans="1:3" x14ac:dyDescent="0.25">
      <c r="A994" s="23">
        <f t="shared" si="13"/>
        <v>43678</v>
      </c>
      <c r="B994" s="5" t="s">
        <v>63</v>
      </c>
      <c r="C994" s="5">
        <v>796380</v>
      </c>
    </row>
    <row r="995" spans="1:3" x14ac:dyDescent="0.25">
      <c r="A995" s="23">
        <f t="shared" si="13"/>
        <v>43678</v>
      </c>
      <c r="B995" s="5" t="s">
        <v>64</v>
      </c>
      <c r="C995" s="5">
        <v>892957</v>
      </c>
    </row>
    <row r="996" spans="1:3" x14ac:dyDescent="0.25">
      <c r="A996" s="23">
        <f t="shared" si="13"/>
        <v>43678</v>
      </c>
      <c r="B996" s="5" t="s">
        <v>65</v>
      </c>
      <c r="C996" s="5">
        <v>356121</v>
      </c>
    </row>
    <row r="997" spans="1:3" x14ac:dyDescent="0.25">
      <c r="A997" s="23">
        <f t="shared" si="13"/>
        <v>43678</v>
      </c>
      <c r="B997" s="5" t="s">
        <v>66</v>
      </c>
      <c r="C997" s="5">
        <v>626456</v>
      </c>
    </row>
    <row r="998" spans="1:3" x14ac:dyDescent="0.25">
      <c r="A998" s="23">
        <f t="shared" si="13"/>
        <v>43678</v>
      </c>
      <c r="B998" s="5" t="s">
        <v>67</v>
      </c>
      <c r="C998" s="5">
        <v>874423</v>
      </c>
    </row>
    <row r="999" spans="1:3" x14ac:dyDescent="0.25">
      <c r="A999" s="23">
        <f t="shared" si="13"/>
        <v>43678</v>
      </c>
      <c r="B999" s="5" t="s">
        <v>68</v>
      </c>
      <c r="C999" s="5">
        <v>563494</v>
      </c>
    </row>
    <row r="1000" spans="1:3" x14ac:dyDescent="0.25">
      <c r="A1000" s="23">
        <f t="shared" si="13"/>
        <v>43678</v>
      </c>
      <c r="B1000" s="5" t="s">
        <v>69</v>
      </c>
      <c r="C1000" s="5">
        <v>920507</v>
      </c>
    </row>
    <row r="1001" spans="1:3" x14ac:dyDescent="0.25">
      <c r="A1001" s="23">
        <f t="shared" si="13"/>
        <v>43678</v>
      </c>
      <c r="B1001" s="5" t="s">
        <v>70</v>
      </c>
      <c r="C1001" s="5">
        <v>765032</v>
      </c>
    </row>
    <row r="1002" spans="1:3" x14ac:dyDescent="0.25">
      <c r="A1002" s="23">
        <f t="shared" si="13"/>
        <v>43678</v>
      </c>
      <c r="B1002" s="5" t="s">
        <v>71</v>
      </c>
      <c r="C1002" s="5">
        <v>865932</v>
      </c>
    </row>
    <row r="1003" spans="1:3" x14ac:dyDescent="0.25">
      <c r="A1003" s="23">
        <f t="shared" si="13"/>
        <v>43678</v>
      </c>
      <c r="B1003" s="5" t="s">
        <v>72</v>
      </c>
      <c r="C1003" s="5">
        <v>582713</v>
      </c>
    </row>
    <row r="1004" spans="1:3" x14ac:dyDescent="0.25">
      <c r="A1004" s="23">
        <f t="shared" si="13"/>
        <v>43678</v>
      </c>
      <c r="B1004" s="5" t="s">
        <v>73</v>
      </c>
      <c r="C1004" s="5">
        <v>156532</v>
      </c>
    </row>
    <row r="1005" spans="1:3" x14ac:dyDescent="0.25">
      <c r="A1005" s="23">
        <f t="shared" si="13"/>
        <v>43678</v>
      </c>
      <c r="B1005" s="5" t="s">
        <v>74</v>
      </c>
      <c r="C1005" s="5">
        <v>154111</v>
      </c>
    </row>
    <row r="1006" spans="1:3" x14ac:dyDescent="0.25">
      <c r="A1006" s="23">
        <f t="shared" si="13"/>
        <v>43678</v>
      </c>
      <c r="B1006" s="5" t="s">
        <v>75</v>
      </c>
      <c r="C1006" s="5">
        <v>209336</v>
      </c>
    </row>
    <row r="1007" spans="1:3" x14ac:dyDescent="0.25">
      <c r="A1007" s="23">
        <f t="shared" si="13"/>
        <v>43678</v>
      </c>
      <c r="B1007" s="5" t="s">
        <v>76</v>
      </c>
      <c r="C1007" s="5">
        <v>59160</v>
      </c>
    </row>
    <row r="1008" spans="1:3" x14ac:dyDescent="0.25">
      <c r="A1008" s="23">
        <f t="shared" si="13"/>
        <v>43678</v>
      </c>
      <c r="B1008" s="5" t="s">
        <v>77</v>
      </c>
      <c r="C1008" s="5">
        <v>175778</v>
      </c>
    </row>
    <row r="1009" spans="1:3" x14ac:dyDescent="0.25">
      <c r="A1009" s="23">
        <f t="shared" si="13"/>
        <v>43678</v>
      </c>
      <c r="B1009" s="5" t="s">
        <v>78</v>
      </c>
      <c r="C1009" s="5">
        <v>137966</v>
      </c>
    </row>
    <row r="1010" spans="1:3" x14ac:dyDescent="0.25">
      <c r="A1010" s="23">
        <f t="shared" si="13"/>
        <v>43678</v>
      </c>
      <c r="B1010" s="5" t="s">
        <v>79</v>
      </c>
      <c r="C1010" s="5">
        <v>96332</v>
      </c>
    </row>
    <row r="1011" spans="1:3" x14ac:dyDescent="0.25">
      <c r="A1011" s="23">
        <f t="shared" si="13"/>
        <v>43678</v>
      </c>
      <c r="B1011" s="5" t="s">
        <v>80</v>
      </c>
      <c r="C1011" s="5">
        <v>284849</v>
      </c>
    </row>
    <row r="1012" spans="1:3" x14ac:dyDescent="0.25">
      <c r="A1012" s="23">
        <f t="shared" si="13"/>
        <v>43678</v>
      </c>
      <c r="B1012" s="5" t="s">
        <v>81</v>
      </c>
      <c r="C1012" s="5">
        <v>118191</v>
      </c>
    </row>
    <row r="1013" spans="1:3" x14ac:dyDescent="0.25">
      <c r="A1013" s="23">
        <f t="shared" si="13"/>
        <v>43678</v>
      </c>
      <c r="B1013" s="5" t="s">
        <v>82</v>
      </c>
      <c r="C1013" s="5">
        <v>87038</v>
      </c>
    </row>
    <row r="1014" spans="1:3" x14ac:dyDescent="0.25">
      <c r="A1014" s="23">
        <f t="shared" si="13"/>
        <v>43678</v>
      </c>
      <c r="B1014" s="5" t="s">
        <v>83</v>
      </c>
      <c r="C1014" s="5">
        <v>141521</v>
      </c>
    </row>
    <row r="1015" spans="1:3" x14ac:dyDescent="0.25">
      <c r="A1015" s="23">
        <f t="shared" si="13"/>
        <v>43678</v>
      </c>
      <c r="B1015" s="5" t="s">
        <v>84</v>
      </c>
      <c r="C1015" s="5">
        <v>283045</v>
      </c>
    </row>
    <row r="1016" spans="1:3" x14ac:dyDescent="0.25">
      <c r="A1016" s="23">
        <f t="shared" si="13"/>
        <v>43678</v>
      </c>
      <c r="B1016" s="5" t="s">
        <v>85</v>
      </c>
      <c r="C1016" s="5">
        <v>192214</v>
      </c>
    </row>
    <row r="1017" spans="1:3" x14ac:dyDescent="0.25">
      <c r="A1017" s="23">
        <f t="shared" si="13"/>
        <v>43678</v>
      </c>
      <c r="B1017" s="5" t="s">
        <v>86</v>
      </c>
      <c r="C1017" s="5">
        <v>240028</v>
      </c>
    </row>
    <row r="1018" spans="1:3" x14ac:dyDescent="0.25">
      <c r="A1018" s="23">
        <f t="shared" si="13"/>
        <v>43678</v>
      </c>
      <c r="B1018" s="5" t="s">
        <v>87</v>
      </c>
      <c r="C1018" s="5">
        <v>121583</v>
      </c>
    </row>
    <row r="1019" spans="1:3" x14ac:dyDescent="0.25">
      <c r="A1019" s="23">
        <f t="shared" si="13"/>
        <v>43678</v>
      </c>
      <c r="B1019" s="5" t="s">
        <v>88</v>
      </c>
      <c r="C1019" s="5">
        <v>246999</v>
      </c>
    </row>
    <row r="1020" spans="1:3" x14ac:dyDescent="0.25">
      <c r="A1020" s="23">
        <f t="shared" si="13"/>
        <v>43678</v>
      </c>
      <c r="B1020" s="5" t="s">
        <v>89</v>
      </c>
      <c r="C1020" s="5">
        <v>87614</v>
      </c>
    </row>
    <row r="1021" spans="1:3" x14ac:dyDescent="0.25">
      <c r="A1021" s="23">
        <f t="shared" si="13"/>
        <v>43678</v>
      </c>
      <c r="B1021" s="5" t="s">
        <v>90</v>
      </c>
      <c r="C1021" s="5">
        <v>84657</v>
      </c>
    </row>
    <row r="1022" spans="1:3" x14ac:dyDescent="0.25">
      <c r="A1022" s="23">
        <f t="shared" si="13"/>
        <v>43678</v>
      </c>
      <c r="B1022" s="5" t="s">
        <v>91</v>
      </c>
      <c r="C1022" s="5">
        <v>182670</v>
      </c>
    </row>
    <row r="1023" spans="1:3" x14ac:dyDescent="0.25">
      <c r="A1023" s="23">
        <f t="shared" si="13"/>
        <v>43678</v>
      </c>
      <c r="B1023" s="5" t="s">
        <v>92</v>
      </c>
      <c r="C1023" s="5">
        <v>285261</v>
      </c>
    </row>
    <row r="1024" spans="1:3" x14ac:dyDescent="0.25">
      <c r="A1024" s="23">
        <f t="shared" si="13"/>
        <v>43678</v>
      </c>
      <c r="B1024" s="5" t="s">
        <v>93</v>
      </c>
      <c r="C1024" s="5">
        <v>209297</v>
      </c>
    </row>
    <row r="1025" spans="1:3" x14ac:dyDescent="0.25">
      <c r="A1025" s="23">
        <f t="shared" si="13"/>
        <v>43678</v>
      </c>
      <c r="B1025" s="5" t="s">
        <v>94</v>
      </c>
      <c r="C1025" s="5">
        <v>127802</v>
      </c>
    </row>
    <row r="1026" spans="1:3" x14ac:dyDescent="0.25">
      <c r="A1026" s="23">
        <f t="shared" si="13"/>
        <v>43678</v>
      </c>
      <c r="B1026" s="5" t="s">
        <v>95</v>
      </c>
      <c r="C1026" s="5">
        <v>165227</v>
      </c>
    </row>
    <row r="1027" spans="1:3" x14ac:dyDescent="0.25">
      <c r="A1027" s="23">
        <f t="shared" si="13"/>
        <v>43678</v>
      </c>
      <c r="B1027" s="5" t="s">
        <v>96</v>
      </c>
      <c r="C1027" s="5">
        <v>102215</v>
      </c>
    </row>
    <row r="1028" spans="1:3" x14ac:dyDescent="0.25">
      <c r="A1028" s="23">
        <f t="shared" si="13"/>
        <v>43678</v>
      </c>
      <c r="B1028" s="5" t="s">
        <v>97</v>
      </c>
      <c r="C1028" s="5">
        <v>124933</v>
      </c>
    </row>
    <row r="1029" spans="1:3" x14ac:dyDescent="0.25">
      <c r="A1029" s="23">
        <f t="shared" si="13"/>
        <v>43678</v>
      </c>
      <c r="B1029" s="5" t="s">
        <v>98</v>
      </c>
      <c r="C1029" s="5">
        <v>182896</v>
      </c>
    </row>
    <row r="1030" spans="1:3" x14ac:dyDescent="0.25">
      <c r="A1030" s="23">
        <f t="shared" si="13"/>
        <v>43678</v>
      </c>
      <c r="B1030" s="5" t="s">
        <v>99</v>
      </c>
      <c r="C1030" s="5">
        <v>229751</v>
      </c>
    </row>
    <row r="1031" spans="1:3" x14ac:dyDescent="0.25">
      <c r="A1031" s="23">
        <f t="shared" si="13"/>
        <v>43678</v>
      </c>
      <c r="B1031" s="5" t="s">
        <v>100</v>
      </c>
      <c r="C1031" s="5">
        <v>63156</v>
      </c>
    </row>
    <row r="1032" spans="1:3" x14ac:dyDescent="0.25">
      <c r="A1032" s="23">
        <f t="shared" si="13"/>
        <v>43678</v>
      </c>
      <c r="B1032" s="5" t="s">
        <v>101</v>
      </c>
      <c r="C1032" s="5">
        <v>212944</v>
      </c>
    </row>
    <row r="1033" spans="1:3" x14ac:dyDescent="0.25">
      <c r="A1033" s="23">
        <f t="shared" si="13"/>
        <v>43678</v>
      </c>
      <c r="B1033" s="5" t="s">
        <v>102</v>
      </c>
      <c r="C1033" s="5">
        <v>270639</v>
      </c>
    </row>
    <row r="1034" spans="1:3" x14ac:dyDescent="0.25">
      <c r="A1034" s="23">
        <f t="shared" si="13"/>
        <v>43678</v>
      </c>
      <c r="B1034" s="5" t="s">
        <v>103</v>
      </c>
      <c r="C1034" s="5">
        <v>102804</v>
      </c>
    </row>
    <row r="1035" spans="1:3" x14ac:dyDescent="0.25">
      <c r="A1035" s="23">
        <f t="shared" si="13"/>
        <v>43678</v>
      </c>
      <c r="B1035" s="5" t="s">
        <v>104</v>
      </c>
      <c r="C1035" s="5">
        <v>88348</v>
      </c>
    </row>
    <row r="1036" spans="1:3" x14ac:dyDescent="0.25">
      <c r="A1036" s="23">
        <f t="shared" si="13"/>
        <v>43678</v>
      </c>
      <c r="B1036" s="5" t="s">
        <v>105</v>
      </c>
      <c r="C1036" s="5">
        <v>211285</v>
      </c>
    </row>
    <row r="1037" spans="1:3" x14ac:dyDescent="0.25">
      <c r="A1037" s="23">
        <f t="shared" si="13"/>
        <v>43678</v>
      </c>
      <c r="B1037" s="5" t="s">
        <v>106</v>
      </c>
      <c r="C1037" s="5">
        <v>66632</v>
      </c>
    </row>
    <row r="1038" spans="1:3" x14ac:dyDescent="0.25">
      <c r="A1038" s="23">
        <f t="shared" si="13"/>
        <v>43678</v>
      </c>
      <c r="B1038" s="5" t="s">
        <v>107</v>
      </c>
      <c r="C1038" s="5">
        <v>285175</v>
      </c>
    </row>
    <row r="1039" spans="1:3" x14ac:dyDescent="0.25">
      <c r="A1039" s="23">
        <f t="shared" ref="A1039:A1102" si="14">EDATE(A899,1)</f>
        <v>43678</v>
      </c>
      <c r="B1039" s="5" t="s">
        <v>108</v>
      </c>
      <c r="C1039" s="5">
        <v>147599</v>
      </c>
    </row>
    <row r="1040" spans="1:3" x14ac:dyDescent="0.25">
      <c r="A1040" s="23">
        <f t="shared" si="14"/>
        <v>43678</v>
      </c>
      <c r="B1040" s="5" t="s">
        <v>109</v>
      </c>
      <c r="C1040" s="5">
        <v>66252</v>
      </c>
    </row>
    <row r="1041" spans="1:3" x14ac:dyDescent="0.25">
      <c r="A1041" s="23">
        <f t="shared" si="14"/>
        <v>43678</v>
      </c>
      <c r="B1041" s="5" t="s">
        <v>110</v>
      </c>
      <c r="C1041" s="5">
        <v>-8954</v>
      </c>
    </row>
    <row r="1042" spans="1:3" x14ac:dyDescent="0.25">
      <c r="A1042" s="23">
        <f t="shared" si="14"/>
        <v>43678</v>
      </c>
      <c r="B1042" s="5" t="s">
        <v>111</v>
      </c>
      <c r="C1042" s="5">
        <v>-5459</v>
      </c>
    </row>
    <row r="1043" spans="1:3" x14ac:dyDescent="0.25">
      <c r="A1043" s="23">
        <f t="shared" si="14"/>
        <v>43678</v>
      </c>
      <c r="B1043" s="5" t="s">
        <v>112</v>
      </c>
      <c r="C1043" s="5">
        <v>-9427</v>
      </c>
    </row>
    <row r="1044" spans="1:3" x14ac:dyDescent="0.25">
      <c r="A1044" s="23">
        <f t="shared" si="14"/>
        <v>43678</v>
      </c>
      <c r="B1044" s="5" t="s">
        <v>113</v>
      </c>
      <c r="C1044" s="5">
        <v>-9118</v>
      </c>
    </row>
    <row r="1045" spans="1:3" x14ac:dyDescent="0.25">
      <c r="A1045" s="23">
        <f t="shared" si="14"/>
        <v>43678</v>
      </c>
      <c r="B1045" s="5" t="s">
        <v>114</v>
      </c>
      <c r="C1045" s="5">
        <v>-8669</v>
      </c>
    </row>
    <row r="1046" spans="1:3" x14ac:dyDescent="0.25">
      <c r="A1046" s="23">
        <f t="shared" si="14"/>
        <v>43678</v>
      </c>
      <c r="B1046" s="5" t="s">
        <v>115</v>
      </c>
      <c r="C1046" s="5">
        <v>-8392</v>
      </c>
    </row>
    <row r="1047" spans="1:3" x14ac:dyDescent="0.25">
      <c r="A1047" s="23">
        <f t="shared" si="14"/>
        <v>43678</v>
      </c>
      <c r="B1047" s="5" t="s">
        <v>116</v>
      </c>
      <c r="C1047" s="5">
        <v>-3238</v>
      </c>
    </row>
    <row r="1048" spans="1:3" x14ac:dyDescent="0.25">
      <c r="A1048" s="23">
        <f t="shared" si="14"/>
        <v>43678</v>
      </c>
      <c r="B1048" s="5" t="s">
        <v>117</v>
      </c>
      <c r="C1048" s="5">
        <v>-8308</v>
      </c>
    </row>
    <row r="1049" spans="1:3" x14ac:dyDescent="0.25">
      <c r="A1049" s="23">
        <f t="shared" si="14"/>
        <v>43678</v>
      </c>
      <c r="B1049" s="5" t="s">
        <v>118</v>
      </c>
      <c r="C1049" s="5">
        <v>-2193</v>
      </c>
    </row>
    <row r="1050" spans="1:3" x14ac:dyDescent="0.25">
      <c r="A1050" s="23">
        <f t="shared" si="14"/>
        <v>43678</v>
      </c>
      <c r="B1050" s="5" t="s">
        <v>119</v>
      </c>
      <c r="C1050" s="5">
        <v>-3285</v>
      </c>
    </row>
    <row r="1051" spans="1:3" x14ac:dyDescent="0.25">
      <c r="A1051" s="23">
        <f t="shared" si="14"/>
        <v>43678</v>
      </c>
      <c r="B1051" s="5" t="s">
        <v>120</v>
      </c>
      <c r="C1051" s="5">
        <v>-8575</v>
      </c>
    </row>
    <row r="1052" spans="1:3" x14ac:dyDescent="0.25">
      <c r="A1052" s="23">
        <f t="shared" si="14"/>
        <v>43678</v>
      </c>
      <c r="B1052" s="5" t="s">
        <v>121</v>
      </c>
      <c r="C1052" s="5">
        <v>-5688</v>
      </c>
    </row>
    <row r="1053" spans="1:3" x14ac:dyDescent="0.25">
      <c r="A1053" s="23">
        <f t="shared" si="14"/>
        <v>43678</v>
      </c>
      <c r="B1053" s="5" t="s">
        <v>122</v>
      </c>
      <c r="C1053" s="5">
        <v>-9055</v>
      </c>
    </row>
    <row r="1054" spans="1:3" x14ac:dyDescent="0.25">
      <c r="A1054" s="23">
        <f t="shared" si="14"/>
        <v>43678</v>
      </c>
      <c r="B1054" s="5" t="s">
        <v>123</v>
      </c>
      <c r="C1054" s="5">
        <v>-2331</v>
      </c>
    </row>
    <row r="1055" spans="1:3" x14ac:dyDescent="0.25">
      <c r="A1055" s="23">
        <f t="shared" si="14"/>
        <v>43678</v>
      </c>
      <c r="B1055" s="5" t="s">
        <v>124</v>
      </c>
      <c r="C1055" s="5">
        <v>-3536</v>
      </c>
    </row>
    <row r="1056" spans="1:3" x14ac:dyDescent="0.25">
      <c r="A1056" s="23">
        <f t="shared" si="14"/>
        <v>43678</v>
      </c>
      <c r="B1056" s="5" t="s">
        <v>125</v>
      </c>
      <c r="C1056" s="5">
        <v>-1624</v>
      </c>
    </row>
    <row r="1057" spans="1:3" x14ac:dyDescent="0.25">
      <c r="A1057" s="23">
        <f t="shared" si="14"/>
        <v>43678</v>
      </c>
      <c r="B1057" s="5" t="s">
        <v>126</v>
      </c>
      <c r="C1057" s="5">
        <v>-7158</v>
      </c>
    </row>
    <row r="1058" spans="1:3" x14ac:dyDescent="0.25">
      <c r="A1058" s="23">
        <f t="shared" si="14"/>
        <v>43678</v>
      </c>
      <c r="B1058" s="5" t="s">
        <v>127</v>
      </c>
      <c r="C1058" s="5">
        <v>-1902</v>
      </c>
    </row>
    <row r="1059" spans="1:3" x14ac:dyDescent="0.25">
      <c r="A1059" s="23">
        <f t="shared" si="14"/>
        <v>43678</v>
      </c>
      <c r="B1059" s="5" t="s">
        <v>128</v>
      </c>
      <c r="C1059" s="5">
        <v>-1117</v>
      </c>
    </row>
    <row r="1060" spans="1:3" x14ac:dyDescent="0.25">
      <c r="A1060" s="23">
        <f t="shared" si="14"/>
        <v>43678</v>
      </c>
      <c r="B1060" s="5" t="s">
        <v>129</v>
      </c>
      <c r="C1060" s="5">
        <v>-2737</v>
      </c>
    </row>
    <row r="1061" spans="1:3" x14ac:dyDescent="0.25">
      <c r="A1061" s="23">
        <f t="shared" si="14"/>
        <v>43678</v>
      </c>
      <c r="B1061" s="5" t="s">
        <v>130</v>
      </c>
      <c r="C1061" s="5">
        <v>-6552</v>
      </c>
    </row>
    <row r="1062" spans="1:3" x14ac:dyDescent="0.25">
      <c r="A1062" s="23">
        <f t="shared" si="14"/>
        <v>43678</v>
      </c>
      <c r="B1062" s="5" t="s">
        <v>131</v>
      </c>
      <c r="C1062" s="5">
        <v>-3650</v>
      </c>
    </row>
    <row r="1063" spans="1:3" x14ac:dyDescent="0.25">
      <c r="A1063" s="23">
        <f t="shared" si="14"/>
        <v>43678</v>
      </c>
      <c r="B1063" s="5" t="s">
        <v>132</v>
      </c>
      <c r="C1063" s="5">
        <v>-3823</v>
      </c>
    </row>
    <row r="1064" spans="1:3" x14ac:dyDescent="0.25">
      <c r="A1064" s="23">
        <f t="shared" si="14"/>
        <v>43678</v>
      </c>
      <c r="B1064" s="5" t="s">
        <v>133</v>
      </c>
      <c r="C1064" s="5">
        <v>-3947</v>
      </c>
    </row>
    <row r="1065" spans="1:3" x14ac:dyDescent="0.25">
      <c r="A1065" s="23">
        <f t="shared" si="14"/>
        <v>43678</v>
      </c>
      <c r="B1065" s="5" t="s">
        <v>134</v>
      </c>
      <c r="C1065" s="5">
        <v>-4522</v>
      </c>
    </row>
    <row r="1066" spans="1:3" x14ac:dyDescent="0.25">
      <c r="A1066" s="23">
        <f t="shared" si="14"/>
        <v>43678</v>
      </c>
      <c r="B1066" s="5" t="s">
        <v>135</v>
      </c>
      <c r="C1066" s="5">
        <v>-3442</v>
      </c>
    </row>
    <row r="1067" spans="1:3" x14ac:dyDescent="0.25">
      <c r="A1067" s="23">
        <f t="shared" si="14"/>
        <v>43678</v>
      </c>
      <c r="B1067" s="5" t="s">
        <v>136</v>
      </c>
      <c r="C1067" s="5">
        <v>-6662</v>
      </c>
    </row>
    <row r="1068" spans="1:3" x14ac:dyDescent="0.25">
      <c r="A1068" s="23">
        <f t="shared" si="14"/>
        <v>43678</v>
      </c>
      <c r="B1068" s="5" t="s">
        <v>137</v>
      </c>
      <c r="C1068" s="5">
        <v>-5369</v>
      </c>
    </row>
    <row r="1069" spans="1:3" x14ac:dyDescent="0.25">
      <c r="A1069" s="23">
        <f t="shared" si="14"/>
        <v>43678</v>
      </c>
      <c r="B1069" s="5" t="s">
        <v>138</v>
      </c>
      <c r="C1069" s="5">
        <v>-5841</v>
      </c>
    </row>
    <row r="1070" spans="1:3" x14ac:dyDescent="0.25">
      <c r="A1070" s="23">
        <f t="shared" si="14"/>
        <v>43678</v>
      </c>
      <c r="B1070" s="5" t="s">
        <v>139</v>
      </c>
      <c r="C1070" s="5">
        <v>-7145</v>
      </c>
    </row>
    <row r="1071" spans="1:3" x14ac:dyDescent="0.25">
      <c r="A1071" s="23">
        <f t="shared" si="14"/>
        <v>43678</v>
      </c>
      <c r="B1071" s="5" t="s">
        <v>140</v>
      </c>
      <c r="C1071" s="5">
        <v>-289512</v>
      </c>
    </row>
    <row r="1072" spans="1:3" x14ac:dyDescent="0.25">
      <c r="A1072" s="23">
        <f t="shared" si="14"/>
        <v>43678</v>
      </c>
      <c r="B1072" s="5" t="s">
        <v>141</v>
      </c>
      <c r="C1072" s="5">
        <v>-112051</v>
      </c>
    </row>
    <row r="1073" spans="1:3" x14ac:dyDescent="0.25">
      <c r="A1073" s="23">
        <f t="shared" si="14"/>
        <v>43678</v>
      </c>
      <c r="B1073" s="5" t="s">
        <v>142</v>
      </c>
      <c r="C1073" s="5">
        <v>-168079</v>
      </c>
    </row>
    <row r="1074" spans="1:3" x14ac:dyDescent="0.25">
      <c r="A1074" s="23">
        <f t="shared" si="14"/>
        <v>43678</v>
      </c>
      <c r="B1074" s="5" t="s">
        <v>143</v>
      </c>
      <c r="C1074" s="5">
        <v>-97278</v>
      </c>
    </row>
    <row r="1075" spans="1:3" x14ac:dyDescent="0.25">
      <c r="A1075" s="23">
        <f t="shared" si="14"/>
        <v>43678</v>
      </c>
      <c r="B1075" s="5" t="s">
        <v>144</v>
      </c>
      <c r="C1075" s="5">
        <v>-238564</v>
      </c>
    </row>
    <row r="1076" spans="1:3" x14ac:dyDescent="0.25">
      <c r="A1076" s="23">
        <f t="shared" si="14"/>
        <v>43678</v>
      </c>
      <c r="B1076" s="5" t="s">
        <v>145</v>
      </c>
      <c r="C1076" s="5">
        <v>-217708</v>
      </c>
    </row>
    <row r="1077" spans="1:3" x14ac:dyDescent="0.25">
      <c r="A1077" s="23">
        <f t="shared" si="14"/>
        <v>43678</v>
      </c>
      <c r="B1077" s="5" t="s">
        <v>146</v>
      </c>
      <c r="C1077" s="5">
        <v>-200587</v>
      </c>
    </row>
    <row r="1078" spans="1:3" x14ac:dyDescent="0.25">
      <c r="A1078" s="23">
        <f t="shared" si="14"/>
        <v>43678</v>
      </c>
      <c r="B1078" s="5" t="s">
        <v>147</v>
      </c>
      <c r="C1078" s="5">
        <v>-233733</v>
      </c>
    </row>
    <row r="1079" spans="1:3" x14ac:dyDescent="0.25">
      <c r="A1079" s="23">
        <f t="shared" si="14"/>
        <v>43678</v>
      </c>
      <c r="B1079" s="5" t="s">
        <v>148</v>
      </c>
      <c r="C1079" s="5">
        <v>-243881</v>
      </c>
    </row>
    <row r="1080" spans="1:3" x14ac:dyDescent="0.25">
      <c r="A1080" s="23">
        <f t="shared" si="14"/>
        <v>43678</v>
      </c>
      <c r="B1080" s="5" t="s">
        <v>149</v>
      </c>
      <c r="C1080" s="5">
        <v>-222406</v>
      </c>
    </row>
    <row r="1081" spans="1:3" x14ac:dyDescent="0.25">
      <c r="A1081" s="23">
        <f t="shared" si="14"/>
        <v>43678</v>
      </c>
      <c r="B1081" s="5" t="s">
        <v>150</v>
      </c>
      <c r="C1081" s="5">
        <v>-201029</v>
      </c>
    </row>
    <row r="1082" spans="1:3" x14ac:dyDescent="0.25">
      <c r="A1082" s="23">
        <f t="shared" si="14"/>
        <v>43678</v>
      </c>
      <c r="B1082" s="5" t="s">
        <v>151</v>
      </c>
      <c r="C1082" s="5">
        <v>-169238</v>
      </c>
    </row>
    <row r="1083" spans="1:3" x14ac:dyDescent="0.25">
      <c r="A1083" s="23">
        <f t="shared" si="14"/>
        <v>43678</v>
      </c>
      <c r="B1083" s="5" t="s">
        <v>152</v>
      </c>
      <c r="C1083" s="5">
        <v>-231523</v>
      </c>
    </row>
    <row r="1084" spans="1:3" x14ac:dyDescent="0.25">
      <c r="A1084" s="23">
        <f t="shared" si="14"/>
        <v>43678</v>
      </c>
      <c r="B1084" s="5" t="s">
        <v>153</v>
      </c>
      <c r="C1084" s="5">
        <v>-256332</v>
      </c>
    </row>
    <row r="1085" spans="1:3" x14ac:dyDescent="0.25">
      <c r="A1085" s="23">
        <f t="shared" si="14"/>
        <v>43678</v>
      </c>
      <c r="B1085" s="5" t="s">
        <v>154</v>
      </c>
      <c r="C1085" s="5">
        <v>-233528</v>
      </c>
    </row>
    <row r="1086" spans="1:3" x14ac:dyDescent="0.25">
      <c r="A1086" s="23">
        <f t="shared" si="14"/>
        <v>43678</v>
      </c>
      <c r="B1086" s="5" t="s">
        <v>155</v>
      </c>
      <c r="C1086" s="5">
        <v>-234472</v>
      </c>
    </row>
    <row r="1087" spans="1:3" x14ac:dyDescent="0.25">
      <c r="A1087" s="23">
        <f t="shared" si="14"/>
        <v>43678</v>
      </c>
      <c r="B1087" s="5" t="s">
        <v>156</v>
      </c>
      <c r="C1087" s="5">
        <v>-250427</v>
      </c>
    </row>
    <row r="1088" spans="1:3" x14ac:dyDescent="0.25">
      <c r="A1088" s="23">
        <f t="shared" si="14"/>
        <v>43678</v>
      </c>
      <c r="B1088" s="5" t="s">
        <v>157</v>
      </c>
      <c r="C1088" s="5">
        <v>-205408</v>
      </c>
    </row>
    <row r="1089" spans="1:3" x14ac:dyDescent="0.25">
      <c r="A1089" s="23">
        <f t="shared" si="14"/>
        <v>43678</v>
      </c>
      <c r="B1089" s="5" t="s">
        <v>158</v>
      </c>
      <c r="C1089" s="5">
        <v>-216077</v>
      </c>
    </row>
    <row r="1090" spans="1:3" x14ac:dyDescent="0.25">
      <c r="A1090" s="23">
        <f t="shared" si="14"/>
        <v>43678</v>
      </c>
      <c r="B1090" s="5" t="s">
        <v>159</v>
      </c>
      <c r="C1090" s="5">
        <v>-113441</v>
      </c>
    </row>
    <row r="1091" spans="1:3" x14ac:dyDescent="0.25">
      <c r="A1091" s="23">
        <f t="shared" si="14"/>
        <v>43678</v>
      </c>
      <c r="B1091" s="5" t="s">
        <v>160</v>
      </c>
      <c r="C1091" s="5">
        <v>-156742</v>
      </c>
    </row>
    <row r="1092" spans="1:3" x14ac:dyDescent="0.25">
      <c r="A1092" s="23">
        <f t="shared" si="14"/>
        <v>43678</v>
      </c>
      <c r="B1092" s="5" t="s">
        <v>161</v>
      </c>
      <c r="C1092" s="5">
        <v>-187107</v>
      </c>
    </row>
    <row r="1093" spans="1:3" x14ac:dyDescent="0.25">
      <c r="A1093" s="23">
        <f t="shared" si="14"/>
        <v>43678</v>
      </c>
      <c r="B1093" s="5" t="s">
        <v>162</v>
      </c>
      <c r="C1093" s="5">
        <v>-172485</v>
      </c>
    </row>
    <row r="1094" spans="1:3" x14ac:dyDescent="0.25">
      <c r="A1094" s="23">
        <f t="shared" si="14"/>
        <v>43678</v>
      </c>
      <c r="B1094" s="5" t="s">
        <v>163</v>
      </c>
      <c r="C1094" s="5">
        <v>-272776</v>
      </c>
    </row>
    <row r="1095" spans="1:3" x14ac:dyDescent="0.25">
      <c r="A1095" s="23">
        <f t="shared" si="14"/>
        <v>43678</v>
      </c>
      <c r="B1095" s="5" t="s">
        <v>164</v>
      </c>
      <c r="C1095" s="5">
        <v>-81474</v>
      </c>
    </row>
    <row r="1096" spans="1:3" x14ac:dyDescent="0.25">
      <c r="A1096" s="23">
        <f t="shared" si="14"/>
        <v>43678</v>
      </c>
      <c r="B1096" s="5" t="s">
        <v>165</v>
      </c>
      <c r="C1096" s="5">
        <v>-54188</v>
      </c>
    </row>
    <row r="1097" spans="1:3" x14ac:dyDescent="0.25">
      <c r="A1097" s="23">
        <f t="shared" si="14"/>
        <v>43678</v>
      </c>
      <c r="B1097" s="5" t="s">
        <v>166</v>
      </c>
      <c r="C1097" s="5">
        <v>-74128</v>
      </c>
    </row>
    <row r="1098" spans="1:3" x14ac:dyDescent="0.25">
      <c r="A1098" s="23">
        <f t="shared" si="14"/>
        <v>43678</v>
      </c>
      <c r="B1098" s="5" t="s">
        <v>167</v>
      </c>
      <c r="C1098" s="5">
        <v>-278038</v>
      </c>
    </row>
    <row r="1099" spans="1:3" x14ac:dyDescent="0.25">
      <c r="A1099" s="23">
        <f t="shared" si="14"/>
        <v>43678</v>
      </c>
      <c r="B1099" s="5" t="s">
        <v>168</v>
      </c>
      <c r="C1099" s="5">
        <v>-180665</v>
      </c>
    </row>
    <row r="1100" spans="1:3" x14ac:dyDescent="0.25">
      <c r="A1100" s="23">
        <f t="shared" si="14"/>
        <v>43678</v>
      </c>
      <c r="B1100" s="5" t="s">
        <v>169</v>
      </c>
      <c r="C1100" s="5">
        <v>-242713</v>
      </c>
    </row>
    <row r="1101" spans="1:3" x14ac:dyDescent="0.25">
      <c r="A1101" s="23">
        <f t="shared" si="14"/>
        <v>43678</v>
      </c>
      <c r="B1101" s="5" t="s">
        <v>170</v>
      </c>
      <c r="C1101" s="5">
        <v>-355598</v>
      </c>
    </row>
    <row r="1102" spans="1:3" x14ac:dyDescent="0.25">
      <c r="A1102" s="23">
        <f t="shared" si="14"/>
        <v>43678</v>
      </c>
      <c r="B1102" s="5" t="s">
        <v>171</v>
      </c>
      <c r="C1102" s="5">
        <v>-265144</v>
      </c>
    </row>
    <row r="1103" spans="1:3" x14ac:dyDescent="0.25">
      <c r="A1103" s="23">
        <f t="shared" ref="A1103:A1144" si="15">EDATE(A963,1)</f>
        <v>43678</v>
      </c>
      <c r="B1103" s="5" t="s">
        <v>172</v>
      </c>
      <c r="C1103" s="5">
        <v>-302768</v>
      </c>
    </row>
    <row r="1104" spans="1:3" x14ac:dyDescent="0.25">
      <c r="A1104" s="23">
        <f t="shared" si="15"/>
        <v>43678</v>
      </c>
      <c r="B1104" s="5" t="s">
        <v>173</v>
      </c>
      <c r="C1104" s="5">
        <v>-44823</v>
      </c>
    </row>
    <row r="1105" spans="1:3" x14ac:dyDescent="0.25">
      <c r="A1105" s="23">
        <f t="shared" si="15"/>
        <v>43678</v>
      </c>
      <c r="B1105" s="5" t="s">
        <v>174</v>
      </c>
      <c r="C1105" s="5">
        <v>-55101</v>
      </c>
    </row>
    <row r="1106" spans="1:3" x14ac:dyDescent="0.25">
      <c r="A1106" s="23">
        <f t="shared" si="15"/>
        <v>43678</v>
      </c>
      <c r="B1106" s="5" t="s">
        <v>175</v>
      </c>
      <c r="C1106" s="5">
        <v>-53763</v>
      </c>
    </row>
    <row r="1107" spans="1:3" x14ac:dyDescent="0.25">
      <c r="A1107" s="23">
        <f t="shared" si="15"/>
        <v>43678</v>
      </c>
      <c r="B1107" s="5" t="s">
        <v>176</v>
      </c>
      <c r="C1107" s="5">
        <v>-40122</v>
      </c>
    </row>
    <row r="1108" spans="1:3" x14ac:dyDescent="0.25">
      <c r="A1108" s="23">
        <f t="shared" si="15"/>
        <v>43678</v>
      </c>
      <c r="B1108" s="5" t="s">
        <v>177</v>
      </c>
      <c r="C1108" s="5">
        <v>-46235</v>
      </c>
    </row>
    <row r="1109" spans="1:3" x14ac:dyDescent="0.25">
      <c r="A1109" s="23">
        <f t="shared" si="15"/>
        <v>43678</v>
      </c>
      <c r="B1109" s="5" t="s">
        <v>178</v>
      </c>
      <c r="C1109" s="5">
        <v>-237185</v>
      </c>
    </row>
    <row r="1110" spans="1:3" x14ac:dyDescent="0.25">
      <c r="A1110" s="23">
        <f t="shared" si="15"/>
        <v>43678</v>
      </c>
      <c r="B1110" s="5" t="s">
        <v>179</v>
      </c>
      <c r="C1110" s="5">
        <v>-182692</v>
      </c>
    </row>
    <row r="1111" spans="1:3" x14ac:dyDescent="0.25">
      <c r="A1111" s="23">
        <f t="shared" si="15"/>
        <v>43678</v>
      </c>
      <c r="B1111" s="5" t="s">
        <v>180</v>
      </c>
      <c r="C1111" s="5">
        <v>-238292</v>
      </c>
    </row>
    <row r="1112" spans="1:3" x14ac:dyDescent="0.25">
      <c r="A1112" s="23">
        <f t="shared" si="15"/>
        <v>43678</v>
      </c>
      <c r="B1112" s="5" t="s">
        <v>181</v>
      </c>
      <c r="C1112" s="5">
        <v>-59199</v>
      </c>
    </row>
    <row r="1113" spans="1:3" x14ac:dyDescent="0.25">
      <c r="A1113" s="23">
        <f t="shared" si="15"/>
        <v>43678</v>
      </c>
      <c r="B1113" s="5" t="s">
        <v>182</v>
      </c>
      <c r="C1113" s="5">
        <v>-78442</v>
      </c>
    </row>
    <row r="1114" spans="1:3" x14ac:dyDescent="0.25">
      <c r="A1114" s="23">
        <f t="shared" si="15"/>
        <v>43678</v>
      </c>
      <c r="B1114" s="5" t="s">
        <v>183</v>
      </c>
      <c r="C1114" s="5">
        <v>-59897</v>
      </c>
    </row>
    <row r="1115" spans="1:3" x14ac:dyDescent="0.25">
      <c r="A1115" s="23">
        <f t="shared" si="15"/>
        <v>43678</v>
      </c>
      <c r="B1115" s="5" t="s">
        <v>184</v>
      </c>
      <c r="C1115" s="5">
        <v>-78605</v>
      </c>
    </row>
    <row r="1116" spans="1:3" x14ac:dyDescent="0.25">
      <c r="A1116" s="23">
        <f t="shared" si="15"/>
        <v>43678</v>
      </c>
      <c r="B1116" s="5" t="s">
        <v>185</v>
      </c>
      <c r="C1116" s="5">
        <v>-117331</v>
      </c>
    </row>
    <row r="1117" spans="1:3" x14ac:dyDescent="0.25">
      <c r="A1117" s="23">
        <f t="shared" si="15"/>
        <v>43678</v>
      </c>
      <c r="B1117" s="5" t="s">
        <v>186</v>
      </c>
      <c r="C1117" s="5">
        <v>-91738</v>
      </c>
    </row>
    <row r="1118" spans="1:3" x14ac:dyDescent="0.25">
      <c r="A1118" s="23">
        <f t="shared" si="15"/>
        <v>43678</v>
      </c>
      <c r="B1118" s="5" t="s">
        <v>187</v>
      </c>
      <c r="C1118" s="5">
        <v>-191541</v>
      </c>
    </row>
    <row r="1119" spans="1:3" x14ac:dyDescent="0.25">
      <c r="A1119" s="23">
        <f t="shared" si="15"/>
        <v>43678</v>
      </c>
      <c r="B1119" s="5" t="s">
        <v>188</v>
      </c>
      <c r="C1119" s="5">
        <v>-134329</v>
      </c>
    </row>
    <row r="1120" spans="1:3" x14ac:dyDescent="0.25">
      <c r="A1120" s="23">
        <f t="shared" si="15"/>
        <v>43678</v>
      </c>
      <c r="B1120" s="5" t="s">
        <v>189</v>
      </c>
      <c r="C1120" s="5">
        <v>-9267</v>
      </c>
    </row>
    <row r="1121" spans="1:3" x14ac:dyDescent="0.25">
      <c r="A1121" s="23">
        <f t="shared" si="15"/>
        <v>43678</v>
      </c>
      <c r="B1121" s="5" t="s">
        <v>190</v>
      </c>
      <c r="C1121" s="5">
        <v>-18074</v>
      </c>
    </row>
    <row r="1122" spans="1:3" x14ac:dyDescent="0.25">
      <c r="A1122" s="23">
        <f t="shared" si="15"/>
        <v>43709</v>
      </c>
      <c r="B1122" s="5" t="s">
        <v>51</v>
      </c>
      <c r="C1122" s="5">
        <v>922481</v>
      </c>
    </row>
    <row r="1123" spans="1:3" x14ac:dyDescent="0.25">
      <c r="A1123" s="23">
        <f t="shared" si="15"/>
        <v>43709</v>
      </c>
      <c r="B1123" s="5" t="s">
        <v>52</v>
      </c>
      <c r="C1123" s="5">
        <v>578764</v>
      </c>
    </row>
    <row r="1124" spans="1:3" x14ac:dyDescent="0.25">
      <c r="A1124" s="23">
        <f t="shared" si="15"/>
        <v>43709</v>
      </c>
      <c r="B1124" s="5" t="s">
        <v>53</v>
      </c>
      <c r="C1124" s="5">
        <v>966534</v>
      </c>
    </row>
    <row r="1125" spans="1:3" x14ac:dyDescent="0.25">
      <c r="A1125" s="23">
        <f t="shared" si="15"/>
        <v>43709</v>
      </c>
      <c r="B1125" s="5" t="s">
        <v>54</v>
      </c>
      <c r="C1125" s="5">
        <v>240069</v>
      </c>
    </row>
    <row r="1126" spans="1:3" x14ac:dyDescent="0.25">
      <c r="A1126" s="23">
        <f t="shared" si="15"/>
        <v>43709</v>
      </c>
      <c r="B1126" s="5" t="s">
        <v>55</v>
      </c>
      <c r="C1126" s="5">
        <v>788828</v>
      </c>
    </row>
    <row r="1127" spans="1:3" x14ac:dyDescent="0.25">
      <c r="A1127" s="23">
        <f t="shared" si="15"/>
        <v>43709</v>
      </c>
      <c r="B1127" s="5" t="s">
        <v>56</v>
      </c>
      <c r="C1127" s="5">
        <v>317773</v>
      </c>
    </row>
    <row r="1128" spans="1:3" x14ac:dyDescent="0.25">
      <c r="A1128" s="23">
        <f t="shared" si="15"/>
        <v>43709</v>
      </c>
      <c r="B1128" s="5" t="s">
        <v>57</v>
      </c>
      <c r="C1128" s="5">
        <v>800363</v>
      </c>
    </row>
    <row r="1129" spans="1:3" x14ac:dyDescent="0.25">
      <c r="A1129" s="23">
        <f t="shared" si="15"/>
        <v>43709</v>
      </c>
      <c r="B1129" s="5" t="s">
        <v>58</v>
      </c>
      <c r="C1129" s="5">
        <v>273675</v>
      </c>
    </row>
    <row r="1130" spans="1:3" x14ac:dyDescent="0.25">
      <c r="A1130" s="23">
        <f t="shared" si="15"/>
        <v>43709</v>
      </c>
      <c r="B1130" s="5" t="s">
        <v>59</v>
      </c>
      <c r="C1130" s="5">
        <v>478308</v>
      </c>
    </row>
    <row r="1131" spans="1:3" x14ac:dyDescent="0.25">
      <c r="A1131" s="23">
        <f t="shared" si="15"/>
        <v>43709</v>
      </c>
      <c r="B1131" s="5" t="s">
        <v>60</v>
      </c>
      <c r="C1131" s="5">
        <v>617998</v>
      </c>
    </row>
    <row r="1132" spans="1:3" x14ac:dyDescent="0.25">
      <c r="A1132" s="23">
        <f t="shared" si="15"/>
        <v>43709</v>
      </c>
      <c r="B1132" s="5" t="s">
        <v>61</v>
      </c>
      <c r="C1132" s="5">
        <v>646862</v>
      </c>
    </row>
    <row r="1133" spans="1:3" x14ac:dyDescent="0.25">
      <c r="A1133" s="23">
        <f t="shared" si="15"/>
        <v>43709</v>
      </c>
      <c r="B1133" s="5" t="s">
        <v>62</v>
      </c>
      <c r="C1133" s="5">
        <v>386548</v>
      </c>
    </row>
    <row r="1134" spans="1:3" x14ac:dyDescent="0.25">
      <c r="A1134" s="23">
        <f t="shared" si="15"/>
        <v>43709</v>
      </c>
      <c r="B1134" s="5" t="s">
        <v>63</v>
      </c>
      <c r="C1134" s="5">
        <v>785437</v>
      </c>
    </row>
    <row r="1135" spans="1:3" x14ac:dyDescent="0.25">
      <c r="A1135" s="23">
        <f t="shared" si="15"/>
        <v>43709</v>
      </c>
      <c r="B1135" s="5" t="s">
        <v>64</v>
      </c>
      <c r="C1135" s="5">
        <v>911403</v>
      </c>
    </row>
    <row r="1136" spans="1:3" x14ac:dyDescent="0.25">
      <c r="A1136" s="23">
        <f t="shared" si="15"/>
        <v>43709</v>
      </c>
      <c r="B1136" s="5" t="s">
        <v>65</v>
      </c>
      <c r="C1136" s="5">
        <v>858377</v>
      </c>
    </row>
    <row r="1137" spans="1:3" x14ac:dyDescent="0.25">
      <c r="A1137" s="23">
        <f t="shared" si="15"/>
        <v>43709</v>
      </c>
      <c r="B1137" s="5" t="s">
        <v>66</v>
      </c>
      <c r="C1137" s="5">
        <v>217887</v>
      </c>
    </row>
    <row r="1138" spans="1:3" x14ac:dyDescent="0.25">
      <c r="A1138" s="23">
        <f t="shared" si="15"/>
        <v>43709</v>
      </c>
      <c r="B1138" s="5" t="s">
        <v>67</v>
      </c>
      <c r="C1138" s="5">
        <v>570517</v>
      </c>
    </row>
    <row r="1139" spans="1:3" x14ac:dyDescent="0.25">
      <c r="A1139" s="23">
        <f t="shared" si="15"/>
        <v>43709</v>
      </c>
      <c r="B1139" s="5" t="s">
        <v>68</v>
      </c>
      <c r="C1139" s="5">
        <v>203833</v>
      </c>
    </row>
    <row r="1140" spans="1:3" x14ac:dyDescent="0.25">
      <c r="A1140" s="23">
        <f t="shared" si="15"/>
        <v>43709</v>
      </c>
      <c r="B1140" s="5" t="s">
        <v>69</v>
      </c>
      <c r="C1140" s="5">
        <v>906544</v>
      </c>
    </row>
    <row r="1141" spans="1:3" x14ac:dyDescent="0.25">
      <c r="A1141" s="23">
        <f t="shared" si="15"/>
        <v>43709</v>
      </c>
      <c r="B1141" s="5" t="s">
        <v>70</v>
      </c>
      <c r="C1141" s="5">
        <v>366002</v>
      </c>
    </row>
    <row r="1142" spans="1:3" x14ac:dyDescent="0.25">
      <c r="A1142" s="23">
        <f t="shared" si="15"/>
        <v>43709</v>
      </c>
      <c r="B1142" s="5" t="s">
        <v>71</v>
      </c>
      <c r="C1142" s="5">
        <v>522341</v>
      </c>
    </row>
    <row r="1143" spans="1:3" x14ac:dyDescent="0.25">
      <c r="A1143" s="23">
        <f t="shared" si="15"/>
        <v>43709</v>
      </c>
      <c r="B1143" s="5" t="s">
        <v>72</v>
      </c>
      <c r="C1143" s="5">
        <v>690198</v>
      </c>
    </row>
    <row r="1144" spans="1:3" x14ac:dyDescent="0.25">
      <c r="A1144" s="23">
        <f t="shared" si="15"/>
        <v>43709</v>
      </c>
      <c r="B1144" s="5" t="s">
        <v>73</v>
      </c>
      <c r="C1144" s="5">
        <v>144451</v>
      </c>
    </row>
    <row r="1145" spans="1:3" x14ac:dyDescent="0.25">
      <c r="A1145" s="23">
        <f>EDATE(A1005,1)</f>
        <v>43709</v>
      </c>
      <c r="B1145" s="5" t="s">
        <v>74</v>
      </c>
      <c r="C1145" s="5">
        <v>248977</v>
      </c>
    </row>
    <row r="1146" spans="1:3" x14ac:dyDescent="0.25">
      <c r="A1146" s="23">
        <f t="shared" ref="A1146:A1209" si="16">EDATE(A1006,1)</f>
        <v>43709</v>
      </c>
      <c r="B1146" s="5" t="s">
        <v>75</v>
      </c>
      <c r="C1146" s="5">
        <v>125468</v>
      </c>
    </row>
    <row r="1147" spans="1:3" x14ac:dyDescent="0.25">
      <c r="A1147" s="23">
        <f t="shared" si="16"/>
        <v>43709</v>
      </c>
      <c r="B1147" s="5" t="s">
        <v>76</v>
      </c>
      <c r="C1147" s="5">
        <v>298978</v>
      </c>
    </row>
    <row r="1148" spans="1:3" x14ac:dyDescent="0.25">
      <c r="A1148" s="23">
        <f t="shared" si="16"/>
        <v>43709</v>
      </c>
      <c r="B1148" s="5" t="s">
        <v>77</v>
      </c>
      <c r="C1148" s="5">
        <v>116580</v>
      </c>
    </row>
    <row r="1149" spans="1:3" x14ac:dyDescent="0.25">
      <c r="A1149" s="23">
        <f t="shared" si="16"/>
        <v>43709</v>
      </c>
      <c r="B1149" s="5" t="s">
        <v>78</v>
      </c>
      <c r="C1149" s="5">
        <v>249131</v>
      </c>
    </row>
    <row r="1150" spans="1:3" x14ac:dyDescent="0.25">
      <c r="A1150" s="23">
        <f t="shared" si="16"/>
        <v>43709</v>
      </c>
      <c r="B1150" s="5" t="s">
        <v>79</v>
      </c>
      <c r="C1150" s="5">
        <v>148001</v>
      </c>
    </row>
    <row r="1151" spans="1:3" x14ac:dyDescent="0.25">
      <c r="A1151" s="23">
        <f t="shared" si="16"/>
        <v>43709</v>
      </c>
      <c r="B1151" s="5" t="s">
        <v>80</v>
      </c>
      <c r="C1151" s="5">
        <v>77119</v>
      </c>
    </row>
    <row r="1152" spans="1:3" x14ac:dyDescent="0.25">
      <c r="A1152" s="23">
        <f t="shared" si="16"/>
        <v>43709</v>
      </c>
      <c r="B1152" s="5" t="s">
        <v>81</v>
      </c>
      <c r="C1152" s="5">
        <v>182863</v>
      </c>
    </row>
    <row r="1153" spans="1:3" x14ac:dyDescent="0.25">
      <c r="A1153" s="23">
        <f t="shared" si="16"/>
        <v>43709</v>
      </c>
      <c r="B1153" s="5" t="s">
        <v>82</v>
      </c>
      <c r="C1153" s="5">
        <v>274636</v>
      </c>
    </row>
    <row r="1154" spans="1:3" x14ac:dyDescent="0.25">
      <c r="A1154" s="23">
        <f t="shared" si="16"/>
        <v>43709</v>
      </c>
      <c r="B1154" s="5" t="s">
        <v>83</v>
      </c>
      <c r="C1154" s="5">
        <v>61074</v>
      </c>
    </row>
    <row r="1155" spans="1:3" x14ac:dyDescent="0.25">
      <c r="A1155" s="23">
        <f t="shared" si="16"/>
        <v>43709</v>
      </c>
      <c r="B1155" s="5" t="s">
        <v>84</v>
      </c>
      <c r="C1155" s="5">
        <v>225486</v>
      </c>
    </row>
    <row r="1156" spans="1:3" x14ac:dyDescent="0.25">
      <c r="A1156" s="23">
        <f t="shared" si="16"/>
        <v>43709</v>
      </c>
      <c r="B1156" s="5" t="s">
        <v>85</v>
      </c>
      <c r="C1156" s="5">
        <v>112167</v>
      </c>
    </row>
    <row r="1157" spans="1:3" x14ac:dyDescent="0.25">
      <c r="A1157" s="23">
        <f t="shared" si="16"/>
        <v>43709</v>
      </c>
      <c r="B1157" s="5" t="s">
        <v>86</v>
      </c>
      <c r="C1157" s="5">
        <v>257949</v>
      </c>
    </row>
    <row r="1158" spans="1:3" x14ac:dyDescent="0.25">
      <c r="A1158" s="23">
        <f t="shared" si="16"/>
        <v>43709</v>
      </c>
      <c r="B1158" s="5" t="s">
        <v>87</v>
      </c>
      <c r="C1158" s="5">
        <v>149499</v>
      </c>
    </row>
    <row r="1159" spans="1:3" x14ac:dyDescent="0.25">
      <c r="A1159" s="23">
        <f t="shared" si="16"/>
        <v>43709</v>
      </c>
      <c r="B1159" s="5" t="s">
        <v>88</v>
      </c>
      <c r="C1159" s="5">
        <v>117421</v>
      </c>
    </row>
    <row r="1160" spans="1:3" x14ac:dyDescent="0.25">
      <c r="A1160" s="23">
        <f t="shared" si="16"/>
        <v>43709</v>
      </c>
      <c r="B1160" s="5" t="s">
        <v>89</v>
      </c>
      <c r="C1160" s="5">
        <v>121420</v>
      </c>
    </row>
    <row r="1161" spans="1:3" x14ac:dyDescent="0.25">
      <c r="A1161" s="23">
        <f t="shared" si="16"/>
        <v>43709</v>
      </c>
      <c r="B1161" s="5" t="s">
        <v>90</v>
      </c>
      <c r="C1161" s="5">
        <v>155740</v>
      </c>
    </row>
    <row r="1162" spans="1:3" x14ac:dyDescent="0.25">
      <c r="A1162" s="23">
        <f t="shared" si="16"/>
        <v>43709</v>
      </c>
      <c r="B1162" s="5" t="s">
        <v>91</v>
      </c>
      <c r="C1162" s="5">
        <v>94756</v>
      </c>
    </row>
    <row r="1163" spans="1:3" x14ac:dyDescent="0.25">
      <c r="A1163" s="23">
        <f t="shared" si="16"/>
        <v>43709</v>
      </c>
      <c r="B1163" s="5" t="s">
        <v>92</v>
      </c>
      <c r="C1163" s="5">
        <v>250153</v>
      </c>
    </row>
    <row r="1164" spans="1:3" x14ac:dyDescent="0.25">
      <c r="A1164" s="23">
        <f t="shared" si="16"/>
        <v>43709</v>
      </c>
      <c r="B1164" s="5" t="s">
        <v>93</v>
      </c>
      <c r="C1164" s="5">
        <v>123970</v>
      </c>
    </row>
    <row r="1165" spans="1:3" x14ac:dyDescent="0.25">
      <c r="A1165" s="23">
        <f t="shared" si="16"/>
        <v>43709</v>
      </c>
      <c r="B1165" s="5" t="s">
        <v>94</v>
      </c>
      <c r="C1165" s="5">
        <v>194138</v>
      </c>
    </row>
    <row r="1166" spans="1:3" x14ac:dyDescent="0.25">
      <c r="A1166" s="23">
        <f t="shared" si="16"/>
        <v>43709</v>
      </c>
      <c r="B1166" s="5" t="s">
        <v>95</v>
      </c>
      <c r="C1166" s="5">
        <v>62140</v>
      </c>
    </row>
    <row r="1167" spans="1:3" x14ac:dyDescent="0.25">
      <c r="A1167" s="23">
        <f t="shared" si="16"/>
        <v>43709</v>
      </c>
      <c r="B1167" s="5" t="s">
        <v>96</v>
      </c>
      <c r="C1167" s="5">
        <v>260601</v>
      </c>
    </row>
    <row r="1168" spans="1:3" x14ac:dyDescent="0.25">
      <c r="A1168" s="23">
        <f t="shared" si="16"/>
        <v>43709</v>
      </c>
      <c r="B1168" s="5" t="s">
        <v>97</v>
      </c>
      <c r="C1168" s="5">
        <v>281909</v>
      </c>
    </row>
    <row r="1169" spans="1:3" x14ac:dyDescent="0.25">
      <c r="A1169" s="23">
        <f t="shared" si="16"/>
        <v>43709</v>
      </c>
      <c r="B1169" s="5" t="s">
        <v>98</v>
      </c>
      <c r="C1169" s="5">
        <v>118606</v>
      </c>
    </row>
    <row r="1170" spans="1:3" x14ac:dyDescent="0.25">
      <c r="A1170" s="23">
        <f t="shared" si="16"/>
        <v>43709</v>
      </c>
      <c r="B1170" s="5" t="s">
        <v>99</v>
      </c>
      <c r="C1170" s="5">
        <v>60346</v>
      </c>
    </row>
    <row r="1171" spans="1:3" x14ac:dyDescent="0.25">
      <c r="A1171" s="23">
        <f t="shared" si="16"/>
        <v>43709</v>
      </c>
      <c r="B1171" s="5" t="s">
        <v>100</v>
      </c>
      <c r="C1171" s="5">
        <v>183306</v>
      </c>
    </row>
    <row r="1172" spans="1:3" x14ac:dyDescent="0.25">
      <c r="A1172" s="23">
        <f t="shared" si="16"/>
        <v>43709</v>
      </c>
      <c r="B1172" s="5" t="s">
        <v>101</v>
      </c>
      <c r="C1172" s="5">
        <v>158687</v>
      </c>
    </row>
    <row r="1173" spans="1:3" x14ac:dyDescent="0.25">
      <c r="A1173" s="23">
        <f t="shared" si="16"/>
        <v>43709</v>
      </c>
      <c r="B1173" s="5" t="s">
        <v>102</v>
      </c>
      <c r="C1173" s="5">
        <v>105420</v>
      </c>
    </row>
    <row r="1174" spans="1:3" x14ac:dyDescent="0.25">
      <c r="A1174" s="23">
        <f t="shared" si="16"/>
        <v>43709</v>
      </c>
      <c r="B1174" s="5" t="s">
        <v>103</v>
      </c>
      <c r="C1174" s="5">
        <v>145322</v>
      </c>
    </row>
    <row r="1175" spans="1:3" x14ac:dyDescent="0.25">
      <c r="A1175" s="23">
        <f t="shared" si="16"/>
        <v>43709</v>
      </c>
      <c r="B1175" s="5" t="s">
        <v>104</v>
      </c>
      <c r="C1175" s="5">
        <v>251139</v>
      </c>
    </row>
    <row r="1176" spans="1:3" x14ac:dyDescent="0.25">
      <c r="A1176" s="23">
        <f t="shared" si="16"/>
        <v>43709</v>
      </c>
      <c r="B1176" s="5" t="s">
        <v>105</v>
      </c>
      <c r="C1176" s="5">
        <v>119693</v>
      </c>
    </row>
    <row r="1177" spans="1:3" x14ac:dyDescent="0.25">
      <c r="A1177" s="23">
        <f t="shared" si="16"/>
        <v>43709</v>
      </c>
      <c r="B1177" s="5" t="s">
        <v>106</v>
      </c>
      <c r="C1177" s="5">
        <v>61367</v>
      </c>
    </row>
    <row r="1178" spans="1:3" x14ac:dyDescent="0.25">
      <c r="A1178" s="23">
        <f t="shared" si="16"/>
        <v>43709</v>
      </c>
      <c r="B1178" s="5" t="s">
        <v>107</v>
      </c>
      <c r="C1178" s="5">
        <v>225751</v>
      </c>
    </row>
    <row r="1179" spans="1:3" x14ac:dyDescent="0.25">
      <c r="A1179" s="23">
        <f t="shared" si="16"/>
        <v>43709</v>
      </c>
      <c r="B1179" s="5" t="s">
        <v>108</v>
      </c>
      <c r="C1179" s="5">
        <v>228863</v>
      </c>
    </row>
    <row r="1180" spans="1:3" x14ac:dyDescent="0.25">
      <c r="A1180" s="23">
        <f t="shared" si="16"/>
        <v>43709</v>
      </c>
      <c r="B1180" s="5" t="s">
        <v>109</v>
      </c>
      <c r="C1180" s="5">
        <v>248430</v>
      </c>
    </row>
    <row r="1181" spans="1:3" x14ac:dyDescent="0.25">
      <c r="A1181" s="23">
        <f t="shared" si="16"/>
        <v>43709</v>
      </c>
      <c r="B1181" s="5" t="s">
        <v>110</v>
      </c>
      <c r="C1181" s="5">
        <v>-5648</v>
      </c>
    </row>
    <row r="1182" spans="1:3" x14ac:dyDescent="0.25">
      <c r="A1182" s="23">
        <f t="shared" si="16"/>
        <v>43709</v>
      </c>
      <c r="B1182" s="5" t="s">
        <v>111</v>
      </c>
      <c r="C1182" s="5">
        <v>-8045</v>
      </c>
    </row>
    <row r="1183" spans="1:3" x14ac:dyDescent="0.25">
      <c r="A1183" s="23">
        <f t="shared" si="16"/>
        <v>43709</v>
      </c>
      <c r="B1183" s="5" t="s">
        <v>112</v>
      </c>
      <c r="C1183" s="5">
        <v>-6879</v>
      </c>
    </row>
    <row r="1184" spans="1:3" x14ac:dyDescent="0.25">
      <c r="A1184" s="23">
        <f t="shared" si="16"/>
        <v>43709</v>
      </c>
      <c r="B1184" s="5" t="s">
        <v>113</v>
      </c>
      <c r="C1184" s="5">
        <v>-1369</v>
      </c>
    </row>
    <row r="1185" spans="1:3" x14ac:dyDescent="0.25">
      <c r="A1185" s="23">
        <f t="shared" si="16"/>
        <v>43709</v>
      </c>
      <c r="B1185" s="5" t="s">
        <v>114</v>
      </c>
      <c r="C1185" s="5">
        <v>-7123</v>
      </c>
    </row>
    <row r="1186" spans="1:3" x14ac:dyDescent="0.25">
      <c r="A1186" s="23">
        <f t="shared" si="16"/>
        <v>43709</v>
      </c>
      <c r="B1186" s="5" t="s">
        <v>115</v>
      </c>
      <c r="C1186" s="5">
        <v>-2945</v>
      </c>
    </row>
    <row r="1187" spans="1:3" x14ac:dyDescent="0.25">
      <c r="A1187" s="23">
        <f t="shared" si="16"/>
        <v>43709</v>
      </c>
      <c r="B1187" s="5" t="s">
        <v>116</v>
      </c>
      <c r="C1187" s="5">
        <v>-2498</v>
      </c>
    </row>
    <row r="1188" spans="1:3" x14ac:dyDescent="0.25">
      <c r="A1188" s="23">
        <f t="shared" si="16"/>
        <v>43709</v>
      </c>
      <c r="B1188" s="5" t="s">
        <v>117</v>
      </c>
      <c r="C1188" s="5">
        <v>-6289</v>
      </c>
    </row>
    <row r="1189" spans="1:3" x14ac:dyDescent="0.25">
      <c r="A1189" s="23">
        <f t="shared" si="16"/>
        <v>43709</v>
      </c>
      <c r="B1189" s="5" t="s">
        <v>118</v>
      </c>
      <c r="C1189" s="5">
        <v>-8178</v>
      </c>
    </row>
    <row r="1190" spans="1:3" x14ac:dyDescent="0.25">
      <c r="A1190" s="23">
        <f t="shared" si="16"/>
        <v>43709</v>
      </c>
      <c r="B1190" s="5" t="s">
        <v>119</v>
      </c>
      <c r="C1190" s="5">
        <v>-2820</v>
      </c>
    </row>
    <row r="1191" spans="1:3" x14ac:dyDescent="0.25">
      <c r="A1191" s="23">
        <f t="shared" si="16"/>
        <v>43709</v>
      </c>
      <c r="B1191" s="5" t="s">
        <v>120</v>
      </c>
      <c r="C1191" s="5">
        <v>-6906</v>
      </c>
    </row>
    <row r="1192" spans="1:3" x14ac:dyDescent="0.25">
      <c r="A1192" s="23">
        <f t="shared" si="16"/>
        <v>43709</v>
      </c>
      <c r="B1192" s="5" t="s">
        <v>121</v>
      </c>
      <c r="C1192" s="5">
        <v>-6968</v>
      </c>
    </row>
    <row r="1193" spans="1:3" x14ac:dyDescent="0.25">
      <c r="A1193" s="23">
        <f t="shared" si="16"/>
        <v>43709</v>
      </c>
      <c r="B1193" s="5" t="s">
        <v>122</v>
      </c>
      <c r="C1193" s="5">
        <v>-1353</v>
      </c>
    </row>
    <row r="1194" spans="1:3" x14ac:dyDescent="0.25">
      <c r="A1194" s="23">
        <f t="shared" si="16"/>
        <v>43709</v>
      </c>
      <c r="B1194" s="5" t="s">
        <v>123</v>
      </c>
      <c r="C1194" s="5">
        <v>-3835</v>
      </c>
    </row>
    <row r="1195" spans="1:3" x14ac:dyDescent="0.25">
      <c r="A1195" s="23">
        <f t="shared" si="16"/>
        <v>43709</v>
      </c>
      <c r="B1195" s="5" t="s">
        <v>124</v>
      </c>
      <c r="C1195" s="5">
        <v>-4927</v>
      </c>
    </row>
    <row r="1196" spans="1:3" x14ac:dyDescent="0.25">
      <c r="A1196" s="23">
        <f t="shared" si="16"/>
        <v>43709</v>
      </c>
      <c r="B1196" s="5" t="s">
        <v>125</v>
      </c>
      <c r="C1196" s="5">
        <v>-4033</v>
      </c>
    </row>
    <row r="1197" spans="1:3" x14ac:dyDescent="0.25">
      <c r="A1197" s="23">
        <f t="shared" si="16"/>
        <v>43709</v>
      </c>
      <c r="B1197" s="5" t="s">
        <v>126</v>
      </c>
      <c r="C1197" s="5">
        <v>-8910</v>
      </c>
    </row>
    <row r="1198" spans="1:3" x14ac:dyDescent="0.25">
      <c r="A1198" s="23">
        <f t="shared" si="16"/>
        <v>43709</v>
      </c>
      <c r="B1198" s="5" t="s">
        <v>127</v>
      </c>
      <c r="C1198" s="5">
        <v>-4687</v>
      </c>
    </row>
    <row r="1199" spans="1:3" x14ac:dyDescent="0.25">
      <c r="A1199" s="23">
        <f t="shared" si="16"/>
        <v>43709</v>
      </c>
      <c r="B1199" s="5" t="s">
        <v>128</v>
      </c>
      <c r="C1199" s="5">
        <v>-4443</v>
      </c>
    </row>
    <row r="1200" spans="1:3" x14ac:dyDescent="0.25">
      <c r="A1200" s="23">
        <f t="shared" si="16"/>
        <v>43709</v>
      </c>
      <c r="B1200" s="5" t="s">
        <v>129</v>
      </c>
      <c r="C1200" s="5">
        <v>-4460</v>
      </c>
    </row>
    <row r="1201" spans="1:3" x14ac:dyDescent="0.25">
      <c r="A1201" s="23">
        <f t="shared" si="16"/>
        <v>43709</v>
      </c>
      <c r="B1201" s="5" t="s">
        <v>130</v>
      </c>
      <c r="C1201" s="5">
        <v>-1640</v>
      </c>
    </row>
    <row r="1202" spans="1:3" x14ac:dyDescent="0.25">
      <c r="A1202" s="23">
        <f t="shared" si="16"/>
        <v>43709</v>
      </c>
      <c r="B1202" s="5" t="s">
        <v>131</v>
      </c>
      <c r="C1202" s="5">
        <v>-5692</v>
      </c>
    </row>
    <row r="1203" spans="1:3" x14ac:dyDescent="0.25">
      <c r="A1203" s="23">
        <f t="shared" si="16"/>
        <v>43709</v>
      </c>
      <c r="B1203" s="5" t="s">
        <v>132</v>
      </c>
      <c r="C1203" s="5">
        <v>-7011</v>
      </c>
    </row>
    <row r="1204" spans="1:3" x14ac:dyDescent="0.25">
      <c r="A1204" s="23">
        <f t="shared" si="16"/>
        <v>43709</v>
      </c>
      <c r="B1204" s="5" t="s">
        <v>133</v>
      </c>
      <c r="C1204" s="5">
        <v>-1859</v>
      </c>
    </row>
    <row r="1205" spans="1:3" x14ac:dyDescent="0.25">
      <c r="A1205" s="23">
        <f t="shared" si="16"/>
        <v>43709</v>
      </c>
      <c r="B1205" s="5" t="s">
        <v>134</v>
      </c>
      <c r="C1205" s="5">
        <v>-7253</v>
      </c>
    </row>
    <row r="1206" spans="1:3" x14ac:dyDescent="0.25">
      <c r="A1206" s="23">
        <f t="shared" si="16"/>
        <v>43709</v>
      </c>
      <c r="B1206" s="5" t="s">
        <v>135</v>
      </c>
      <c r="C1206" s="5">
        <v>-2216</v>
      </c>
    </row>
    <row r="1207" spans="1:3" x14ac:dyDescent="0.25">
      <c r="A1207" s="23">
        <f t="shared" si="16"/>
        <v>43709</v>
      </c>
      <c r="B1207" s="5" t="s">
        <v>136</v>
      </c>
      <c r="C1207" s="5">
        <v>-6861</v>
      </c>
    </row>
    <row r="1208" spans="1:3" x14ac:dyDescent="0.25">
      <c r="A1208" s="23">
        <f t="shared" si="16"/>
        <v>43709</v>
      </c>
      <c r="B1208" s="5" t="s">
        <v>137</v>
      </c>
      <c r="C1208" s="5">
        <v>-5255</v>
      </c>
    </row>
    <row r="1209" spans="1:3" x14ac:dyDescent="0.25">
      <c r="A1209" s="23">
        <f t="shared" si="16"/>
        <v>43709</v>
      </c>
      <c r="B1209" s="5" t="s">
        <v>138</v>
      </c>
      <c r="C1209" s="5">
        <v>-9452</v>
      </c>
    </row>
    <row r="1210" spans="1:3" x14ac:dyDescent="0.25">
      <c r="A1210" s="23">
        <f t="shared" ref="A1210:A1222" si="17">EDATE(A1070,1)</f>
        <v>43709</v>
      </c>
      <c r="B1210" s="5" t="s">
        <v>139</v>
      </c>
      <c r="C1210" s="5">
        <v>-7625</v>
      </c>
    </row>
    <row r="1211" spans="1:3" x14ac:dyDescent="0.25">
      <c r="A1211" s="23">
        <f t="shared" si="17"/>
        <v>43709</v>
      </c>
      <c r="B1211" s="5" t="s">
        <v>140</v>
      </c>
      <c r="C1211" s="5">
        <v>-166850</v>
      </c>
    </row>
    <row r="1212" spans="1:3" x14ac:dyDescent="0.25">
      <c r="A1212" s="23">
        <f t="shared" si="17"/>
        <v>43709</v>
      </c>
      <c r="B1212" s="5" t="s">
        <v>141</v>
      </c>
      <c r="C1212" s="5">
        <v>-98963</v>
      </c>
    </row>
    <row r="1213" spans="1:3" x14ac:dyDescent="0.25">
      <c r="A1213" s="23">
        <f t="shared" si="17"/>
        <v>43709</v>
      </c>
      <c r="B1213" s="5" t="s">
        <v>142</v>
      </c>
      <c r="C1213" s="5">
        <v>-106592</v>
      </c>
    </row>
    <row r="1214" spans="1:3" x14ac:dyDescent="0.25">
      <c r="A1214" s="23">
        <f t="shared" si="17"/>
        <v>43709</v>
      </c>
      <c r="B1214" s="5" t="s">
        <v>143</v>
      </c>
      <c r="C1214" s="5">
        <v>-262072</v>
      </c>
    </row>
    <row r="1215" spans="1:3" x14ac:dyDescent="0.25">
      <c r="A1215" s="23">
        <f t="shared" si="17"/>
        <v>43709</v>
      </c>
      <c r="B1215" s="5" t="s">
        <v>144</v>
      </c>
      <c r="C1215" s="5">
        <v>-128391</v>
      </c>
    </row>
    <row r="1216" spans="1:3" x14ac:dyDescent="0.25">
      <c r="A1216" s="23">
        <f t="shared" si="17"/>
        <v>43709</v>
      </c>
      <c r="B1216" s="5" t="s">
        <v>145</v>
      </c>
      <c r="C1216" s="5">
        <v>-221487</v>
      </c>
    </row>
    <row r="1217" spans="1:3" x14ac:dyDescent="0.25">
      <c r="A1217" s="23">
        <f t="shared" si="17"/>
        <v>43709</v>
      </c>
      <c r="B1217" s="5" t="s">
        <v>146</v>
      </c>
      <c r="C1217" s="5">
        <v>-170398</v>
      </c>
    </row>
    <row r="1218" spans="1:3" x14ac:dyDescent="0.25">
      <c r="A1218" s="23">
        <f t="shared" si="17"/>
        <v>43709</v>
      </c>
      <c r="B1218" s="5" t="s">
        <v>147</v>
      </c>
      <c r="C1218" s="5">
        <v>-89141</v>
      </c>
    </row>
    <row r="1219" spans="1:3" x14ac:dyDescent="0.25">
      <c r="A1219" s="23">
        <f t="shared" si="17"/>
        <v>43709</v>
      </c>
      <c r="B1219" s="5" t="s">
        <v>148</v>
      </c>
      <c r="C1219" s="5">
        <v>-159411</v>
      </c>
    </row>
    <row r="1220" spans="1:3" x14ac:dyDescent="0.25">
      <c r="A1220" s="23">
        <f t="shared" si="17"/>
        <v>43709</v>
      </c>
      <c r="B1220" s="5" t="s">
        <v>149</v>
      </c>
      <c r="C1220" s="5">
        <v>-128654</v>
      </c>
    </row>
    <row r="1221" spans="1:3" x14ac:dyDescent="0.25">
      <c r="A1221" s="23">
        <f t="shared" si="17"/>
        <v>43709</v>
      </c>
      <c r="B1221" s="5" t="s">
        <v>150</v>
      </c>
      <c r="C1221" s="5">
        <v>-206530</v>
      </c>
    </row>
    <row r="1222" spans="1:3" x14ac:dyDescent="0.25">
      <c r="A1222" s="23">
        <f t="shared" si="17"/>
        <v>43709</v>
      </c>
      <c r="B1222" s="5" t="s">
        <v>151</v>
      </c>
      <c r="C1222" s="5">
        <v>-184087</v>
      </c>
    </row>
    <row r="1223" spans="1:3" x14ac:dyDescent="0.25">
      <c r="A1223" s="23">
        <f>EDATE(A1083,1)</f>
        <v>43709</v>
      </c>
      <c r="B1223" s="5" t="s">
        <v>152</v>
      </c>
      <c r="C1223" s="5">
        <v>-224430</v>
      </c>
    </row>
    <row r="1224" spans="1:3" x14ac:dyDescent="0.25">
      <c r="A1224" s="23">
        <f t="shared" ref="A1224:A1287" si="18">EDATE(A1084,1)</f>
        <v>43709</v>
      </c>
      <c r="B1224" s="5" t="s">
        <v>153</v>
      </c>
      <c r="C1224" s="5">
        <v>-130492</v>
      </c>
    </row>
    <row r="1225" spans="1:3" x14ac:dyDescent="0.25">
      <c r="A1225" s="23">
        <f t="shared" si="18"/>
        <v>43709</v>
      </c>
      <c r="B1225" s="5" t="s">
        <v>154</v>
      </c>
      <c r="C1225" s="5">
        <v>-233553</v>
      </c>
    </row>
    <row r="1226" spans="1:3" x14ac:dyDescent="0.25">
      <c r="A1226" s="23">
        <f t="shared" si="18"/>
        <v>43709</v>
      </c>
      <c r="B1226" s="5" t="s">
        <v>155</v>
      </c>
      <c r="C1226" s="5">
        <v>-209780</v>
      </c>
    </row>
    <row r="1227" spans="1:3" x14ac:dyDescent="0.25">
      <c r="A1227" s="23">
        <f t="shared" si="18"/>
        <v>43709</v>
      </c>
      <c r="B1227" s="5" t="s">
        <v>156</v>
      </c>
      <c r="C1227" s="5">
        <v>-141786</v>
      </c>
    </row>
    <row r="1228" spans="1:3" x14ac:dyDescent="0.25">
      <c r="A1228" s="23">
        <f t="shared" si="18"/>
        <v>43709</v>
      </c>
      <c r="B1228" s="5" t="s">
        <v>157</v>
      </c>
      <c r="C1228" s="5">
        <v>-212917</v>
      </c>
    </row>
    <row r="1229" spans="1:3" x14ac:dyDescent="0.25">
      <c r="A1229" s="23">
        <f t="shared" si="18"/>
        <v>43709</v>
      </c>
      <c r="B1229" s="5" t="s">
        <v>158</v>
      </c>
      <c r="C1229" s="5">
        <v>-135373</v>
      </c>
    </row>
    <row r="1230" spans="1:3" x14ac:dyDescent="0.25">
      <c r="A1230" s="23">
        <f t="shared" si="18"/>
        <v>43709</v>
      </c>
      <c r="B1230" s="5" t="s">
        <v>159</v>
      </c>
      <c r="C1230" s="5">
        <v>-170543</v>
      </c>
    </row>
    <row r="1231" spans="1:3" x14ac:dyDescent="0.25">
      <c r="A1231" s="23">
        <f t="shared" si="18"/>
        <v>43709</v>
      </c>
      <c r="B1231" s="5" t="s">
        <v>160</v>
      </c>
      <c r="C1231" s="5">
        <v>-163805</v>
      </c>
    </row>
    <row r="1232" spans="1:3" x14ac:dyDescent="0.25">
      <c r="A1232" s="23">
        <f t="shared" si="18"/>
        <v>43709</v>
      </c>
      <c r="B1232" s="5" t="s">
        <v>161</v>
      </c>
      <c r="C1232" s="5">
        <v>-84690</v>
      </c>
    </row>
    <row r="1233" spans="1:3" x14ac:dyDescent="0.25">
      <c r="A1233" s="23">
        <f t="shared" si="18"/>
        <v>43709</v>
      </c>
      <c r="B1233" s="5" t="s">
        <v>162</v>
      </c>
      <c r="C1233" s="5">
        <v>-83151</v>
      </c>
    </row>
    <row r="1234" spans="1:3" x14ac:dyDescent="0.25">
      <c r="A1234" s="23">
        <f t="shared" si="18"/>
        <v>43709</v>
      </c>
      <c r="B1234" s="5" t="s">
        <v>163</v>
      </c>
      <c r="C1234" s="5">
        <v>-180849</v>
      </c>
    </row>
    <row r="1235" spans="1:3" x14ac:dyDescent="0.25">
      <c r="A1235" s="23">
        <f t="shared" si="18"/>
        <v>43709</v>
      </c>
      <c r="B1235" s="5" t="s">
        <v>164</v>
      </c>
      <c r="C1235" s="5">
        <v>-67339</v>
      </c>
    </row>
    <row r="1236" spans="1:3" x14ac:dyDescent="0.25">
      <c r="A1236" s="23">
        <f t="shared" si="18"/>
        <v>43709</v>
      </c>
      <c r="B1236" s="5" t="s">
        <v>165</v>
      </c>
      <c r="C1236" s="5">
        <v>-83807</v>
      </c>
    </row>
    <row r="1237" spans="1:3" x14ac:dyDescent="0.25">
      <c r="A1237" s="23">
        <f t="shared" si="18"/>
        <v>43709</v>
      </c>
      <c r="B1237" s="5" t="s">
        <v>166</v>
      </c>
      <c r="C1237" s="5">
        <v>-87192</v>
      </c>
    </row>
    <row r="1238" spans="1:3" x14ac:dyDescent="0.25">
      <c r="A1238" s="23">
        <f t="shared" si="18"/>
        <v>43709</v>
      </c>
      <c r="B1238" s="5" t="s">
        <v>167</v>
      </c>
      <c r="C1238" s="5">
        <v>-190663</v>
      </c>
    </row>
    <row r="1239" spans="1:3" x14ac:dyDescent="0.25">
      <c r="A1239" s="23">
        <f t="shared" si="18"/>
        <v>43709</v>
      </c>
      <c r="B1239" s="5" t="s">
        <v>168</v>
      </c>
      <c r="C1239" s="5">
        <v>-93485</v>
      </c>
    </row>
    <row r="1240" spans="1:3" x14ac:dyDescent="0.25">
      <c r="A1240" s="23">
        <f t="shared" si="18"/>
        <v>43709</v>
      </c>
      <c r="B1240" s="5" t="s">
        <v>169</v>
      </c>
      <c r="C1240" s="5">
        <v>-270247</v>
      </c>
    </row>
    <row r="1241" spans="1:3" x14ac:dyDescent="0.25">
      <c r="A1241" s="23">
        <f t="shared" si="18"/>
        <v>43709</v>
      </c>
      <c r="B1241" s="5" t="s">
        <v>170</v>
      </c>
      <c r="C1241" s="5">
        <v>-267024</v>
      </c>
    </row>
    <row r="1242" spans="1:3" x14ac:dyDescent="0.25">
      <c r="A1242" s="23">
        <f t="shared" si="18"/>
        <v>43709</v>
      </c>
      <c r="B1242" s="5" t="s">
        <v>171</v>
      </c>
      <c r="C1242" s="5">
        <v>-345092</v>
      </c>
    </row>
    <row r="1243" spans="1:3" x14ac:dyDescent="0.25">
      <c r="A1243" s="23">
        <f t="shared" si="18"/>
        <v>43709</v>
      </c>
      <c r="B1243" s="5" t="s">
        <v>172</v>
      </c>
      <c r="C1243" s="5">
        <v>-137079</v>
      </c>
    </row>
    <row r="1244" spans="1:3" x14ac:dyDescent="0.25">
      <c r="A1244" s="23">
        <f t="shared" si="18"/>
        <v>43709</v>
      </c>
      <c r="B1244" s="5" t="s">
        <v>173</v>
      </c>
      <c r="C1244" s="5">
        <v>-59838</v>
      </c>
    </row>
    <row r="1245" spans="1:3" x14ac:dyDescent="0.25">
      <c r="A1245" s="23">
        <f t="shared" si="18"/>
        <v>43709</v>
      </c>
      <c r="B1245" s="5" t="s">
        <v>174</v>
      </c>
      <c r="C1245" s="5">
        <v>-40653</v>
      </c>
    </row>
    <row r="1246" spans="1:3" x14ac:dyDescent="0.25">
      <c r="A1246" s="23">
        <f t="shared" si="18"/>
        <v>43709</v>
      </c>
      <c r="B1246" s="5" t="s">
        <v>175</v>
      </c>
      <c r="C1246" s="5">
        <v>-51533</v>
      </c>
    </row>
    <row r="1247" spans="1:3" x14ac:dyDescent="0.25">
      <c r="A1247" s="23">
        <f t="shared" si="18"/>
        <v>43709</v>
      </c>
      <c r="B1247" s="5" t="s">
        <v>176</v>
      </c>
      <c r="C1247" s="5">
        <v>-48839</v>
      </c>
    </row>
    <row r="1248" spans="1:3" x14ac:dyDescent="0.25">
      <c r="A1248" s="23">
        <f t="shared" si="18"/>
        <v>43709</v>
      </c>
      <c r="B1248" s="5" t="s">
        <v>177</v>
      </c>
      <c r="C1248" s="5">
        <v>-57199</v>
      </c>
    </row>
    <row r="1249" spans="1:3" x14ac:dyDescent="0.25">
      <c r="A1249" s="23">
        <f t="shared" si="18"/>
        <v>43709</v>
      </c>
      <c r="B1249" s="5" t="s">
        <v>178</v>
      </c>
      <c r="C1249" s="5">
        <v>-224630</v>
      </c>
    </row>
    <row r="1250" spans="1:3" x14ac:dyDescent="0.25">
      <c r="A1250" s="23">
        <f t="shared" si="18"/>
        <v>43709</v>
      </c>
      <c r="B1250" s="5" t="s">
        <v>179</v>
      </c>
      <c r="C1250" s="5">
        <v>-220785</v>
      </c>
    </row>
    <row r="1251" spans="1:3" x14ac:dyDescent="0.25">
      <c r="A1251" s="23">
        <f t="shared" si="18"/>
        <v>43709</v>
      </c>
      <c r="B1251" s="5" t="s">
        <v>180</v>
      </c>
      <c r="C1251" s="5">
        <v>-267467</v>
      </c>
    </row>
    <row r="1252" spans="1:3" x14ac:dyDescent="0.25">
      <c r="A1252" s="23">
        <f t="shared" si="18"/>
        <v>43709</v>
      </c>
      <c r="B1252" s="5" t="s">
        <v>181</v>
      </c>
      <c r="C1252" s="5">
        <v>-80234</v>
      </c>
    </row>
    <row r="1253" spans="1:3" x14ac:dyDescent="0.25">
      <c r="A1253" s="23">
        <f t="shared" si="18"/>
        <v>43709</v>
      </c>
      <c r="B1253" s="5" t="s">
        <v>182</v>
      </c>
      <c r="C1253" s="5">
        <v>-70358</v>
      </c>
    </row>
    <row r="1254" spans="1:3" x14ac:dyDescent="0.25">
      <c r="A1254" s="23">
        <f t="shared" si="18"/>
        <v>43709</v>
      </c>
      <c r="B1254" s="5" t="s">
        <v>183</v>
      </c>
      <c r="C1254" s="5">
        <v>-57115</v>
      </c>
    </row>
    <row r="1255" spans="1:3" x14ac:dyDescent="0.25">
      <c r="A1255" s="23">
        <f t="shared" si="18"/>
        <v>43709</v>
      </c>
      <c r="B1255" s="5" t="s">
        <v>184</v>
      </c>
      <c r="C1255" s="5">
        <v>-58083</v>
      </c>
    </row>
    <row r="1256" spans="1:3" x14ac:dyDescent="0.25">
      <c r="A1256" s="23">
        <f t="shared" si="18"/>
        <v>43709</v>
      </c>
      <c r="B1256" s="5" t="s">
        <v>185</v>
      </c>
      <c r="C1256" s="5">
        <v>-86046</v>
      </c>
    </row>
    <row r="1257" spans="1:3" x14ac:dyDescent="0.25">
      <c r="A1257" s="23">
        <f t="shared" si="18"/>
        <v>43709</v>
      </c>
      <c r="B1257" s="5" t="s">
        <v>186</v>
      </c>
      <c r="C1257" s="5">
        <v>-115472</v>
      </c>
    </row>
    <row r="1258" spans="1:3" x14ac:dyDescent="0.25">
      <c r="A1258" s="23">
        <f t="shared" si="18"/>
        <v>43709</v>
      </c>
      <c r="B1258" s="5" t="s">
        <v>187</v>
      </c>
      <c r="C1258" s="5">
        <v>-192581</v>
      </c>
    </row>
    <row r="1259" spans="1:3" x14ac:dyDescent="0.25">
      <c r="A1259" s="23">
        <f t="shared" si="18"/>
        <v>43709</v>
      </c>
      <c r="B1259" s="5" t="s">
        <v>188</v>
      </c>
      <c r="C1259" s="5">
        <v>-206853</v>
      </c>
    </row>
    <row r="1260" spans="1:3" x14ac:dyDescent="0.25">
      <c r="A1260" s="23">
        <f t="shared" si="18"/>
        <v>43709</v>
      </c>
      <c r="B1260" s="5" t="s">
        <v>189</v>
      </c>
      <c r="C1260" s="5">
        <v>-8068</v>
      </c>
    </row>
    <row r="1261" spans="1:3" x14ac:dyDescent="0.25">
      <c r="A1261" s="23">
        <f t="shared" si="18"/>
        <v>43709</v>
      </c>
      <c r="B1261" s="5" t="s">
        <v>190</v>
      </c>
      <c r="C1261" s="5">
        <v>-28421</v>
      </c>
    </row>
    <row r="1262" spans="1:3" x14ac:dyDescent="0.25">
      <c r="A1262" s="23">
        <f t="shared" si="18"/>
        <v>43739</v>
      </c>
      <c r="B1262" s="5" t="s">
        <v>51</v>
      </c>
      <c r="C1262" s="5">
        <v>642958</v>
      </c>
    </row>
    <row r="1263" spans="1:3" x14ac:dyDescent="0.25">
      <c r="A1263" s="23">
        <f t="shared" si="18"/>
        <v>43739</v>
      </c>
      <c r="B1263" s="5" t="s">
        <v>52</v>
      </c>
      <c r="C1263" s="5">
        <v>361840</v>
      </c>
    </row>
    <row r="1264" spans="1:3" x14ac:dyDescent="0.25">
      <c r="A1264" s="23">
        <f t="shared" si="18"/>
        <v>43739</v>
      </c>
      <c r="B1264" s="5" t="s">
        <v>53</v>
      </c>
      <c r="C1264" s="5">
        <v>242406</v>
      </c>
    </row>
    <row r="1265" spans="1:3" x14ac:dyDescent="0.25">
      <c r="A1265" s="23">
        <f t="shared" si="18"/>
        <v>43739</v>
      </c>
      <c r="B1265" s="5" t="s">
        <v>54</v>
      </c>
      <c r="C1265" s="5">
        <v>584624</v>
      </c>
    </row>
    <row r="1266" spans="1:3" x14ac:dyDescent="0.25">
      <c r="A1266" s="23">
        <f t="shared" si="18"/>
        <v>43739</v>
      </c>
      <c r="B1266" s="5" t="s">
        <v>55</v>
      </c>
      <c r="C1266" s="5">
        <v>709526</v>
      </c>
    </row>
    <row r="1267" spans="1:3" x14ac:dyDescent="0.25">
      <c r="A1267" s="23">
        <f t="shared" si="18"/>
        <v>43739</v>
      </c>
      <c r="B1267" s="5" t="s">
        <v>56</v>
      </c>
      <c r="C1267" s="5">
        <v>581385</v>
      </c>
    </row>
    <row r="1268" spans="1:3" x14ac:dyDescent="0.25">
      <c r="A1268" s="23">
        <f t="shared" si="18"/>
        <v>43739</v>
      </c>
      <c r="B1268" s="5" t="s">
        <v>57</v>
      </c>
      <c r="C1268" s="5">
        <v>574409</v>
      </c>
    </row>
    <row r="1269" spans="1:3" x14ac:dyDescent="0.25">
      <c r="A1269" s="23">
        <f t="shared" si="18"/>
        <v>43739</v>
      </c>
      <c r="B1269" s="5" t="s">
        <v>58</v>
      </c>
      <c r="C1269" s="5">
        <v>805603</v>
      </c>
    </row>
    <row r="1270" spans="1:3" x14ac:dyDescent="0.25">
      <c r="A1270" s="23">
        <f t="shared" si="18"/>
        <v>43739</v>
      </c>
      <c r="B1270" s="5" t="s">
        <v>59</v>
      </c>
      <c r="C1270" s="5">
        <v>798326</v>
      </c>
    </row>
    <row r="1271" spans="1:3" x14ac:dyDescent="0.25">
      <c r="A1271" s="23">
        <f t="shared" si="18"/>
        <v>43739</v>
      </c>
      <c r="B1271" s="5" t="s">
        <v>60</v>
      </c>
      <c r="C1271" s="5">
        <v>591261</v>
      </c>
    </row>
    <row r="1272" spans="1:3" x14ac:dyDescent="0.25">
      <c r="A1272" s="23">
        <f t="shared" si="18"/>
        <v>43739</v>
      </c>
      <c r="B1272" s="5" t="s">
        <v>61</v>
      </c>
      <c r="C1272" s="5">
        <v>981800</v>
      </c>
    </row>
    <row r="1273" spans="1:3" x14ac:dyDescent="0.25">
      <c r="A1273" s="23">
        <f t="shared" si="18"/>
        <v>43739</v>
      </c>
      <c r="B1273" s="5" t="s">
        <v>62</v>
      </c>
      <c r="C1273" s="5">
        <v>411054</v>
      </c>
    </row>
    <row r="1274" spans="1:3" x14ac:dyDescent="0.25">
      <c r="A1274" s="23">
        <f t="shared" si="18"/>
        <v>43739</v>
      </c>
      <c r="B1274" s="5" t="s">
        <v>63</v>
      </c>
      <c r="C1274" s="5">
        <v>691608</v>
      </c>
    </row>
    <row r="1275" spans="1:3" x14ac:dyDescent="0.25">
      <c r="A1275" s="23">
        <f t="shared" si="18"/>
        <v>43739</v>
      </c>
      <c r="B1275" s="5" t="s">
        <v>64</v>
      </c>
      <c r="C1275" s="5">
        <v>700077</v>
      </c>
    </row>
    <row r="1276" spans="1:3" x14ac:dyDescent="0.25">
      <c r="A1276" s="23">
        <f t="shared" si="18"/>
        <v>43739</v>
      </c>
      <c r="B1276" s="5" t="s">
        <v>65</v>
      </c>
      <c r="C1276" s="5">
        <v>737820</v>
      </c>
    </row>
    <row r="1277" spans="1:3" x14ac:dyDescent="0.25">
      <c r="A1277" s="23">
        <f t="shared" si="18"/>
        <v>43739</v>
      </c>
      <c r="B1277" s="5" t="s">
        <v>66</v>
      </c>
      <c r="C1277" s="5">
        <v>914929</v>
      </c>
    </row>
    <row r="1278" spans="1:3" x14ac:dyDescent="0.25">
      <c r="A1278" s="23">
        <f t="shared" si="18"/>
        <v>43739</v>
      </c>
      <c r="B1278" s="5" t="s">
        <v>67</v>
      </c>
      <c r="C1278" s="5">
        <v>629215</v>
      </c>
    </row>
    <row r="1279" spans="1:3" x14ac:dyDescent="0.25">
      <c r="A1279" s="23">
        <f t="shared" si="18"/>
        <v>43739</v>
      </c>
      <c r="B1279" s="5" t="s">
        <v>68</v>
      </c>
      <c r="C1279" s="5">
        <v>578634</v>
      </c>
    </row>
    <row r="1280" spans="1:3" x14ac:dyDescent="0.25">
      <c r="A1280" s="23">
        <f t="shared" si="18"/>
        <v>43739</v>
      </c>
      <c r="B1280" s="5" t="s">
        <v>69</v>
      </c>
      <c r="C1280" s="5">
        <v>647501</v>
      </c>
    </row>
    <row r="1281" spans="1:3" x14ac:dyDescent="0.25">
      <c r="A1281" s="23">
        <f t="shared" si="18"/>
        <v>43739</v>
      </c>
      <c r="B1281" s="5" t="s">
        <v>70</v>
      </c>
      <c r="C1281" s="5">
        <v>401474</v>
      </c>
    </row>
    <row r="1282" spans="1:3" x14ac:dyDescent="0.25">
      <c r="A1282" s="23">
        <f t="shared" si="18"/>
        <v>43739</v>
      </c>
      <c r="B1282" s="5" t="s">
        <v>71</v>
      </c>
      <c r="C1282" s="5">
        <v>357336</v>
      </c>
    </row>
    <row r="1283" spans="1:3" x14ac:dyDescent="0.25">
      <c r="A1283" s="23">
        <f t="shared" si="18"/>
        <v>43739</v>
      </c>
      <c r="B1283" s="5" t="s">
        <v>72</v>
      </c>
      <c r="C1283" s="5">
        <v>362011</v>
      </c>
    </row>
    <row r="1284" spans="1:3" x14ac:dyDescent="0.25">
      <c r="A1284" s="23">
        <f t="shared" si="18"/>
        <v>43739</v>
      </c>
      <c r="B1284" s="5" t="s">
        <v>73</v>
      </c>
      <c r="C1284" s="5">
        <v>174959</v>
      </c>
    </row>
    <row r="1285" spans="1:3" x14ac:dyDescent="0.25">
      <c r="A1285" s="23">
        <f t="shared" si="18"/>
        <v>43739</v>
      </c>
      <c r="B1285" s="5" t="s">
        <v>74</v>
      </c>
      <c r="C1285" s="5">
        <v>213782</v>
      </c>
    </row>
    <row r="1286" spans="1:3" x14ac:dyDescent="0.25">
      <c r="A1286" s="23">
        <f t="shared" si="18"/>
        <v>43739</v>
      </c>
      <c r="B1286" s="5" t="s">
        <v>75</v>
      </c>
      <c r="C1286" s="5">
        <v>99316</v>
      </c>
    </row>
    <row r="1287" spans="1:3" x14ac:dyDescent="0.25">
      <c r="A1287" s="23">
        <f t="shared" si="18"/>
        <v>43739</v>
      </c>
      <c r="B1287" s="5" t="s">
        <v>76</v>
      </c>
      <c r="C1287" s="5">
        <v>139491</v>
      </c>
    </row>
    <row r="1288" spans="1:3" x14ac:dyDescent="0.25">
      <c r="A1288" s="23">
        <f t="shared" ref="A1288:A1351" si="19">EDATE(A1148,1)</f>
        <v>43739</v>
      </c>
      <c r="B1288" s="5" t="s">
        <v>77</v>
      </c>
      <c r="C1288" s="5">
        <v>56440</v>
      </c>
    </row>
    <row r="1289" spans="1:3" x14ac:dyDescent="0.25">
      <c r="A1289" s="23">
        <f t="shared" si="19"/>
        <v>43739</v>
      </c>
      <c r="B1289" s="5" t="s">
        <v>78</v>
      </c>
      <c r="C1289" s="5">
        <v>69540</v>
      </c>
    </row>
    <row r="1290" spans="1:3" x14ac:dyDescent="0.25">
      <c r="A1290" s="23">
        <f t="shared" si="19"/>
        <v>43739</v>
      </c>
      <c r="B1290" s="5" t="s">
        <v>79</v>
      </c>
      <c r="C1290" s="5">
        <v>286352</v>
      </c>
    </row>
    <row r="1291" spans="1:3" x14ac:dyDescent="0.25">
      <c r="A1291" s="23">
        <f t="shared" si="19"/>
        <v>43739</v>
      </c>
      <c r="B1291" s="5" t="s">
        <v>80</v>
      </c>
      <c r="C1291" s="5">
        <v>270375</v>
      </c>
    </row>
    <row r="1292" spans="1:3" x14ac:dyDescent="0.25">
      <c r="A1292" s="23">
        <f t="shared" si="19"/>
        <v>43739</v>
      </c>
      <c r="B1292" s="5" t="s">
        <v>81</v>
      </c>
      <c r="C1292" s="5">
        <v>193865</v>
      </c>
    </row>
    <row r="1293" spans="1:3" x14ac:dyDescent="0.25">
      <c r="A1293" s="23">
        <f t="shared" si="19"/>
        <v>43739</v>
      </c>
      <c r="B1293" s="5" t="s">
        <v>82</v>
      </c>
      <c r="C1293" s="5">
        <v>137389</v>
      </c>
    </row>
    <row r="1294" spans="1:3" x14ac:dyDescent="0.25">
      <c r="A1294" s="23">
        <f t="shared" si="19"/>
        <v>43739</v>
      </c>
      <c r="B1294" s="5" t="s">
        <v>83</v>
      </c>
      <c r="C1294" s="5">
        <v>282174</v>
      </c>
    </row>
    <row r="1295" spans="1:3" x14ac:dyDescent="0.25">
      <c r="A1295" s="23">
        <f t="shared" si="19"/>
        <v>43739</v>
      </c>
      <c r="B1295" s="5" t="s">
        <v>84</v>
      </c>
      <c r="C1295" s="5">
        <v>84012</v>
      </c>
    </row>
    <row r="1296" spans="1:3" x14ac:dyDescent="0.25">
      <c r="A1296" s="23">
        <f t="shared" si="19"/>
        <v>43739</v>
      </c>
      <c r="B1296" s="5" t="s">
        <v>85</v>
      </c>
      <c r="C1296" s="5">
        <v>207735</v>
      </c>
    </row>
    <row r="1297" spans="1:3" x14ac:dyDescent="0.25">
      <c r="A1297" s="23">
        <f t="shared" si="19"/>
        <v>43739</v>
      </c>
      <c r="B1297" s="5" t="s">
        <v>86</v>
      </c>
      <c r="C1297" s="5">
        <v>63327</v>
      </c>
    </row>
    <row r="1298" spans="1:3" x14ac:dyDescent="0.25">
      <c r="A1298" s="23">
        <f t="shared" si="19"/>
        <v>43739</v>
      </c>
      <c r="B1298" s="5" t="s">
        <v>87</v>
      </c>
      <c r="C1298" s="5">
        <v>271884</v>
      </c>
    </row>
    <row r="1299" spans="1:3" x14ac:dyDescent="0.25">
      <c r="A1299" s="23">
        <f t="shared" si="19"/>
        <v>43739</v>
      </c>
      <c r="B1299" s="5" t="s">
        <v>88</v>
      </c>
      <c r="C1299" s="5">
        <v>158401</v>
      </c>
    </row>
    <row r="1300" spans="1:3" x14ac:dyDescent="0.25">
      <c r="A1300" s="23">
        <f t="shared" si="19"/>
        <v>43739</v>
      </c>
      <c r="B1300" s="5" t="s">
        <v>89</v>
      </c>
      <c r="C1300" s="5">
        <v>241514</v>
      </c>
    </row>
    <row r="1301" spans="1:3" x14ac:dyDescent="0.25">
      <c r="A1301" s="23">
        <f t="shared" si="19"/>
        <v>43739</v>
      </c>
      <c r="B1301" s="5" t="s">
        <v>90</v>
      </c>
      <c r="C1301" s="5">
        <v>285623</v>
      </c>
    </row>
    <row r="1302" spans="1:3" x14ac:dyDescent="0.25">
      <c r="A1302" s="23">
        <f t="shared" si="19"/>
        <v>43739</v>
      </c>
      <c r="B1302" s="5" t="s">
        <v>91</v>
      </c>
      <c r="C1302" s="5">
        <v>186435</v>
      </c>
    </row>
    <row r="1303" spans="1:3" x14ac:dyDescent="0.25">
      <c r="A1303" s="23">
        <f t="shared" si="19"/>
        <v>43739</v>
      </c>
      <c r="B1303" s="5" t="s">
        <v>92</v>
      </c>
      <c r="C1303" s="5">
        <v>287650</v>
      </c>
    </row>
    <row r="1304" spans="1:3" x14ac:dyDescent="0.25">
      <c r="A1304" s="23">
        <f t="shared" si="19"/>
        <v>43739</v>
      </c>
      <c r="B1304" s="5" t="s">
        <v>93</v>
      </c>
      <c r="C1304" s="5">
        <v>195241</v>
      </c>
    </row>
    <row r="1305" spans="1:3" x14ac:dyDescent="0.25">
      <c r="A1305" s="23">
        <f t="shared" si="19"/>
        <v>43739</v>
      </c>
      <c r="B1305" s="5" t="s">
        <v>94</v>
      </c>
      <c r="C1305" s="5">
        <v>214995</v>
      </c>
    </row>
    <row r="1306" spans="1:3" x14ac:dyDescent="0.25">
      <c r="A1306" s="23">
        <f t="shared" si="19"/>
        <v>43739</v>
      </c>
      <c r="B1306" s="5" t="s">
        <v>95</v>
      </c>
      <c r="C1306" s="5">
        <v>72049</v>
      </c>
    </row>
    <row r="1307" spans="1:3" x14ac:dyDescent="0.25">
      <c r="A1307" s="23">
        <f t="shared" si="19"/>
        <v>43739</v>
      </c>
      <c r="B1307" s="5" t="s">
        <v>96</v>
      </c>
      <c r="C1307" s="5">
        <v>212912</v>
      </c>
    </row>
    <row r="1308" spans="1:3" x14ac:dyDescent="0.25">
      <c r="A1308" s="23">
        <f t="shared" si="19"/>
        <v>43739</v>
      </c>
      <c r="B1308" s="5" t="s">
        <v>97</v>
      </c>
      <c r="C1308" s="5">
        <v>102288</v>
      </c>
    </row>
    <row r="1309" spans="1:3" x14ac:dyDescent="0.25">
      <c r="A1309" s="23">
        <f t="shared" si="19"/>
        <v>43739</v>
      </c>
      <c r="B1309" s="5" t="s">
        <v>98</v>
      </c>
      <c r="C1309" s="5">
        <v>296781</v>
      </c>
    </row>
    <row r="1310" spans="1:3" x14ac:dyDescent="0.25">
      <c r="A1310" s="23">
        <f t="shared" si="19"/>
        <v>43739</v>
      </c>
      <c r="B1310" s="5" t="s">
        <v>99</v>
      </c>
      <c r="C1310" s="5">
        <v>235588</v>
      </c>
    </row>
    <row r="1311" spans="1:3" x14ac:dyDescent="0.25">
      <c r="A1311" s="23">
        <f t="shared" si="19"/>
        <v>43739</v>
      </c>
      <c r="B1311" s="5" t="s">
        <v>100</v>
      </c>
      <c r="C1311" s="5">
        <v>260880</v>
      </c>
    </row>
    <row r="1312" spans="1:3" x14ac:dyDescent="0.25">
      <c r="A1312" s="23">
        <f t="shared" si="19"/>
        <v>43739</v>
      </c>
      <c r="B1312" s="5" t="s">
        <v>101</v>
      </c>
      <c r="C1312" s="5">
        <v>113202</v>
      </c>
    </row>
    <row r="1313" spans="1:3" x14ac:dyDescent="0.25">
      <c r="A1313" s="23">
        <f t="shared" si="19"/>
        <v>43739</v>
      </c>
      <c r="B1313" s="5" t="s">
        <v>102</v>
      </c>
      <c r="C1313" s="5">
        <v>141020</v>
      </c>
    </row>
    <row r="1314" spans="1:3" x14ac:dyDescent="0.25">
      <c r="A1314" s="23">
        <f t="shared" si="19"/>
        <v>43739</v>
      </c>
      <c r="B1314" s="5" t="s">
        <v>103</v>
      </c>
      <c r="C1314" s="5">
        <v>297436</v>
      </c>
    </row>
    <row r="1315" spans="1:3" x14ac:dyDescent="0.25">
      <c r="A1315" s="23">
        <f t="shared" si="19"/>
        <v>43739</v>
      </c>
      <c r="B1315" s="5" t="s">
        <v>104</v>
      </c>
      <c r="C1315" s="5">
        <v>263018</v>
      </c>
    </row>
    <row r="1316" spans="1:3" x14ac:dyDescent="0.25">
      <c r="A1316" s="23">
        <f t="shared" si="19"/>
        <v>43739</v>
      </c>
      <c r="B1316" s="5" t="s">
        <v>105</v>
      </c>
      <c r="C1316" s="5">
        <v>270038</v>
      </c>
    </row>
    <row r="1317" spans="1:3" x14ac:dyDescent="0.25">
      <c r="A1317" s="23">
        <f t="shared" si="19"/>
        <v>43739</v>
      </c>
      <c r="B1317" s="5" t="s">
        <v>106</v>
      </c>
      <c r="C1317" s="5">
        <v>119704</v>
      </c>
    </row>
    <row r="1318" spans="1:3" x14ac:dyDescent="0.25">
      <c r="A1318" s="23">
        <f t="shared" si="19"/>
        <v>43739</v>
      </c>
      <c r="B1318" s="5" t="s">
        <v>107</v>
      </c>
      <c r="C1318" s="5">
        <v>141583</v>
      </c>
    </row>
    <row r="1319" spans="1:3" x14ac:dyDescent="0.25">
      <c r="A1319" s="23">
        <f t="shared" si="19"/>
        <v>43739</v>
      </c>
      <c r="B1319" s="5" t="s">
        <v>108</v>
      </c>
      <c r="C1319" s="5">
        <v>275766</v>
      </c>
    </row>
    <row r="1320" spans="1:3" x14ac:dyDescent="0.25">
      <c r="A1320" s="23">
        <f t="shared" si="19"/>
        <v>43739</v>
      </c>
      <c r="B1320" s="5" t="s">
        <v>109</v>
      </c>
      <c r="C1320" s="5">
        <v>128452</v>
      </c>
    </row>
    <row r="1321" spans="1:3" x14ac:dyDescent="0.25">
      <c r="A1321" s="23">
        <f t="shared" si="19"/>
        <v>43739</v>
      </c>
      <c r="B1321" s="5" t="s">
        <v>110</v>
      </c>
      <c r="C1321" s="5">
        <v>-9412</v>
      </c>
    </row>
    <row r="1322" spans="1:3" x14ac:dyDescent="0.25">
      <c r="A1322" s="23">
        <f t="shared" si="19"/>
        <v>43739</v>
      </c>
      <c r="B1322" s="5" t="s">
        <v>111</v>
      </c>
      <c r="C1322" s="5">
        <v>-7670</v>
      </c>
    </row>
    <row r="1323" spans="1:3" x14ac:dyDescent="0.25">
      <c r="A1323" s="23">
        <f t="shared" si="19"/>
        <v>43739</v>
      </c>
      <c r="B1323" s="5" t="s">
        <v>112</v>
      </c>
      <c r="C1323" s="5">
        <v>-3666</v>
      </c>
    </row>
    <row r="1324" spans="1:3" x14ac:dyDescent="0.25">
      <c r="A1324" s="23">
        <f t="shared" si="19"/>
        <v>43739</v>
      </c>
      <c r="B1324" s="5" t="s">
        <v>113</v>
      </c>
      <c r="C1324" s="5">
        <v>-6922</v>
      </c>
    </row>
    <row r="1325" spans="1:3" x14ac:dyDescent="0.25">
      <c r="A1325" s="23">
        <f t="shared" si="19"/>
        <v>43739</v>
      </c>
      <c r="B1325" s="5" t="s">
        <v>114</v>
      </c>
      <c r="C1325" s="5">
        <v>-4231</v>
      </c>
    </row>
    <row r="1326" spans="1:3" x14ac:dyDescent="0.25">
      <c r="A1326" s="23">
        <f t="shared" si="19"/>
        <v>43739</v>
      </c>
      <c r="B1326" s="5" t="s">
        <v>115</v>
      </c>
      <c r="C1326" s="5">
        <v>-7817</v>
      </c>
    </row>
    <row r="1327" spans="1:3" x14ac:dyDescent="0.25">
      <c r="A1327" s="23">
        <f t="shared" si="19"/>
        <v>43739</v>
      </c>
      <c r="B1327" s="5" t="s">
        <v>116</v>
      </c>
      <c r="C1327" s="5">
        <v>-4570</v>
      </c>
    </row>
    <row r="1328" spans="1:3" x14ac:dyDescent="0.25">
      <c r="A1328" s="23">
        <f t="shared" si="19"/>
        <v>43739</v>
      </c>
      <c r="B1328" s="5" t="s">
        <v>117</v>
      </c>
      <c r="C1328" s="5">
        <v>-5027</v>
      </c>
    </row>
    <row r="1329" spans="1:3" x14ac:dyDescent="0.25">
      <c r="A1329" s="23">
        <f t="shared" si="19"/>
        <v>43739</v>
      </c>
      <c r="B1329" s="5" t="s">
        <v>118</v>
      </c>
      <c r="C1329" s="5">
        <v>-6156</v>
      </c>
    </row>
    <row r="1330" spans="1:3" x14ac:dyDescent="0.25">
      <c r="A1330" s="23">
        <f t="shared" si="19"/>
        <v>43739</v>
      </c>
      <c r="B1330" s="5" t="s">
        <v>119</v>
      </c>
      <c r="C1330" s="5">
        <v>-5427</v>
      </c>
    </row>
    <row r="1331" spans="1:3" x14ac:dyDescent="0.25">
      <c r="A1331" s="23">
        <f t="shared" si="19"/>
        <v>43739</v>
      </c>
      <c r="B1331" s="5" t="s">
        <v>120</v>
      </c>
      <c r="C1331" s="5">
        <v>-9447</v>
      </c>
    </row>
    <row r="1332" spans="1:3" x14ac:dyDescent="0.25">
      <c r="A1332" s="23">
        <f t="shared" si="19"/>
        <v>43739</v>
      </c>
      <c r="B1332" s="5" t="s">
        <v>121</v>
      </c>
      <c r="C1332" s="5">
        <v>-2585</v>
      </c>
    </row>
    <row r="1333" spans="1:3" x14ac:dyDescent="0.25">
      <c r="A1333" s="23">
        <f t="shared" si="19"/>
        <v>43739</v>
      </c>
      <c r="B1333" s="5" t="s">
        <v>122</v>
      </c>
      <c r="C1333" s="5">
        <v>-2864</v>
      </c>
    </row>
    <row r="1334" spans="1:3" x14ac:dyDescent="0.25">
      <c r="A1334" s="23">
        <f t="shared" si="19"/>
        <v>43739</v>
      </c>
      <c r="B1334" s="5" t="s">
        <v>123</v>
      </c>
      <c r="C1334" s="5">
        <v>-8436</v>
      </c>
    </row>
    <row r="1335" spans="1:3" x14ac:dyDescent="0.25">
      <c r="A1335" s="23">
        <f t="shared" si="19"/>
        <v>43739</v>
      </c>
      <c r="B1335" s="5" t="s">
        <v>124</v>
      </c>
      <c r="C1335" s="5">
        <v>-7437</v>
      </c>
    </row>
    <row r="1336" spans="1:3" x14ac:dyDescent="0.25">
      <c r="A1336" s="23">
        <f t="shared" si="19"/>
        <v>43739</v>
      </c>
      <c r="B1336" s="5" t="s">
        <v>125</v>
      </c>
      <c r="C1336" s="5">
        <v>-9967</v>
      </c>
    </row>
    <row r="1337" spans="1:3" x14ac:dyDescent="0.25">
      <c r="A1337" s="23">
        <f t="shared" si="19"/>
        <v>43739</v>
      </c>
      <c r="B1337" s="5" t="s">
        <v>126</v>
      </c>
      <c r="C1337" s="5">
        <v>-5083</v>
      </c>
    </row>
    <row r="1338" spans="1:3" x14ac:dyDescent="0.25">
      <c r="A1338" s="23">
        <f t="shared" si="19"/>
        <v>43739</v>
      </c>
      <c r="B1338" s="5" t="s">
        <v>127</v>
      </c>
      <c r="C1338" s="5">
        <v>-7988</v>
      </c>
    </row>
    <row r="1339" spans="1:3" x14ac:dyDescent="0.25">
      <c r="A1339" s="23">
        <f t="shared" si="19"/>
        <v>43739</v>
      </c>
      <c r="B1339" s="5" t="s">
        <v>128</v>
      </c>
      <c r="C1339" s="5">
        <v>-1934</v>
      </c>
    </row>
    <row r="1340" spans="1:3" x14ac:dyDescent="0.25">
      <c r="A1340" s="23">
        <f t="shared" si="19"/>
        <v>43739</v>
      </c>
      <c r="B1340" s="5" t="s">
        <v>129</v>
      </c>
      <c r="C1340" s="5">
        <v>-4506</v>
      </c>
    </row>
    <row r="1341" spans="1:3" x14ac:dyDescent="0.25">
      <c r="A1341" s="23">
        <f t="shared" si="19"/>
        <v>43739</v>
      </c>
      <c r="B1341" s="5" t="s">
        <v>130</v>
      </c>
      <c r="C1341" s="5">
        <v>-3002</v>
      </c>
    </row>
    <row r="1342" spans="1:3" x14ac:dyDescent="0.25">
      <c r="A1342" s="23">
        <f t="shared" si="19"/>
        <v>43739</v>
      </c>
      <c r="B1342" s="5" t="s">
        <v>131</v>
      </c>
      <c r="C1342" s="5">
        <v>-8700</v>
      </c>
    </row>
    <row r="1343" spans="1:3" x14ac:dyDescent="0.25">
      <c r="A1343" s="23">
        <f t="shared" si="19"/>
        <v>43739</v>
      </c>
      <c r="B1343" s="5" t="s">
        <v>132</v>
      </c>
      <c r="C1343" s="5">
        <v>-2092</v>
      </c>
    </row>
    <row r="1344" spans="1:3" x14ac:dyDescent="0.25">
      <c r="A1344" s="23">
        <f t="shared" si="19"/>
        <v>43739</v>
      </c>
      <c r="B1344" s="5" t="s">
        <v>133</v>
      </c>
      <c r="C1344" s="5">
        <v>-9074</v>
      </c>
    </row>
    <row r="1345" spans="1:3" x14ac:dyDescent="0.25">
      <c r="A1345" s="23">
        <f t="shared" si="19"/>
        <v>43739</v>
      </c>
      <c r="B1345" s="5" t="s">
        <v>134</v>
      </c>
      <c r="C1345" s="5">
        <v>-7090</v>
      </c>
    </row>
    <row r="1346" spans="1:3" x14ac:dyDescent="0.25">
      <c r="A1346" s="23">
        <f t="shared" si="19"/>
        <v>43739</v>
      </c>
      <c r="B1346" s="5" t="s">
        <v>135</v>
      </c>
      <c r="C1346" s="5">
        <v>-5291</v>
      </c>
    </row>
    <row r="1347" spans="1:3" x14ac:dyDescent="0.25">
      <c r="A1347" s="23">
        <f t="shared" si="19"/>
        <v>43739</v>
      </c>
      <c r="B1347" s="5" t="s">
        <v>136</v>
      </c>
      <c r="C1347" s="5">
        <v>-6712</v>
      </c>
    </row>
    <row r="1348" spans="1:3" x14ac:dyDescent="0.25">
      <c r="A1348" s="23">
        <f t="shared" si="19"/>
        <v>43739</v>
      </c>
      <c r="B1348" s="5" t="s">
        <v>137</v>
      </c>
      <c r="C1348" s="5">
        <v>-7087</v>
      </c>
    </row>
    <row r="1349" spans="1:3" x14ac:dyDescent="0.25">
      <c r="A1349" s="23">
        <f t="shared" si="19"/>
        <v>43739</v>
      </c>
      <c r="B1349" s="5" t="s">
        <v>138</v>
      </c>
      <c r="C1349" s="5">
        <v>-9133</v>
      </c>
    </row>
    <row r="1350" spans="1:3" x14ac:dyDescent="0.25">
      <c r="A1350" s="23">
        <f t="shared" si="19"/>
        <v>43739</v>
      </c>
      <c r="B1350" s="5" t="s">
        <v>139</v>
      </c>
      <c r="C1350" s="5">
        <v>-8189</v>
      </c>
    </row>
    <row r="1351" spans="1:3" x14ac:dyDescent="0.25">
      <c r="A1351" s="23">
        <f t="shared" si="19"/>
        <v>43739</v>
      </c>
      <c r="B1351" s="5" t="s">
        <v>140</v>
      </c>
      <c r="C1351" s="5">
        <v>-114356</v>
      </c>
    </row>
    <row r="1352" spans="1:3" x14ac:dyDescent="0.25">
      <c r="A1352" s="23">
        <f t="shared" ref="A1352:A1415" si="20">EDATE(A1212,1)</f>
        <v>43739</v>
      </c>
      <c r="B1352" s="5" t="s">
        <v>141</v>
      </c>
      <c r="C1352" s="5">
        <v>-142510</v>
      </c>
    </row>
    <row r="1353" spans="1:3" x14ac:dyDescent="0.25">
      <c r="A1353" s="23">
        <f t="shared" si="20"/>
        <v>43739</v>
      </c>
      <c r="B1353" s="5" t="s">
        <v>142</v>
      </c>
      <c r="C1353" s="5">
        <v>-284913</v>
      </c>
    </row>
    <row r="1354" spans="1:3" x14ac:dyDescent="0.25">
      <c r="A1354" s="23">
        <f t="shared" si="20"/>
        <v>43739</v>
      </c>
      <c r="B1354" s="5" t="s">
        <v>143</v>
      </c>
      <c r="C1354" s="5">
        <v>-252977</v>
      </c>
    </row>
    <row r="1355" spans="1:3" x14ac:dyDescent="0.25">
      <c r="A1355" s="23">
        <f t="shared" si="20"/>
        <v>43739</v>
      </c>
      <c r="B1355" s="5" t="s">
        <v>144</v>
      </c>
      <c r="C1355" s="5">
        <v>-260114</v>
      </c>
    </row>
    <row r="1356" spans="1:3" x14ac:dyDescent="0.25">
      <c r="A1356" s="23">
        <f t="shared" si="20"/>
        <v>43739</v>
      </c>
      <c r="B1356" s="5" t="s">
        <v>145</v>
      </c>
      <c r="C1356" s="5">
        <v>-197260</v>
      </c>
    </row>
    <row r="1357" spans="1:3" x14ac:dyDescent="0.25">
      <c r="A1357" s="23">
        <f t="shared" si="20"/>
        <v>43739</v>
      </c>
      <c r="B1357" s="5" t="s">
        <v>146</v>
      </c>
      <c r="C1357" s="5">
        <v>-111645</v>
      </c>
    </row>
    <row r="1358" spans="1:3" x14ac:dyDescent="0.25">
      <c r="A1358" s="23">
        <f t="shared" si="20"/>
        <v>43739</v>
      </c>
      <c r="B1358" s="5" t="s">
        <v>147</v>
      </c>
      <c r="C1358" s="5">
        <v>-99918</v>
      </c>
    </row>
    <row r="1359" spans="1:3" x14ac:dyDescent="0.25">
      <c r="A1359" s="23">
        <f t="shared" si="20"/>
        <v>43739</v>
      </c>
      <c r="B1359" s="5" t="s">
        <v>148</v>
      </c>
      <c r="C1359" s="5">
        <v>-267208</v>
      </c>
    </row>
    <row r="1360" spans="1:3" x14ac:dyDescent="0.25">
      <c r="A1360" s="23">
        <f t="shared" si="20"/>
        <v>43739</v>
      </c>
      <c r="B1360" s="5" t="s">
        <v>149</v>
      </c>
      <c r="C1360" s="5">
        <v>-113144</v>
      </c>
    </row>
    <row r="1361" spans="1:3" x14ac:dyDescent="0.25">
      <c r="A1361" s="23">
        <f t="shared" si="20"/>
        <v>43739</v>
      </c>
      <c r="B1361" s="5" t="s">
        <v>150</v>
      </c>
      <c r="C1361" s="5">
        <v>-132955</v>
      </c>
    </row>
    <row r="1362" spans="1:3" x14ac:dyDescent="0.25">
      <c r="A1362" s="23">
        <f t="shared" si="20"/>
        <v>43739</v>
      </c>
      <c r="B1362" s="5" t="s">
        <v>151</v>
      </c>
      <c r="C1362" s="5">
        <v>-221598</v>
      </c>
    </row>
    <row r="1363" spans="1:3" x14ac:dyDescent="0.25">
      <c r="A1363" s="23">
        <f t="shared" si="20"/>
        <v>43739</v>
      </c>
      <c r="B1363" s="5" t="s">
        <v>152</v>
      </c>
      <c r="C1363" s="5">
        <v>-80831</v>
      </c>
    </row>
    <row r="1364" spans="1:3" x14ac:dyDescent="0.25">
      <c r="A1364" s="23">
        <f t="shared" si="20"/>
        <v>43739</v>
      </c>
      <c r="B1364" s="5" t="s">
        <v>153</v>
      </c>
      <c r="C1364" s="5">
        <v>-245728</v>
      </c>
    </row>
    <row r="1365" spans="1:3" x14ac:dyDescent="0.25">
      <c r="A1365" s="23">
        <f t="shared" si="20"/>
        <v>43739</v>
      </c>
      <c r="B1365" s="5" t="s">
        <v>154</v>
      </c>
      <c r="C1365" s="5">
        <v>-144754</v>
      </c>
    </row>
    <row r="1366" spans="1:3" x14ac:dyDescent="0.25">
      <c r="A1366" s="23">
        <f t="shared" si="20"/>
        <v>43739</v>
      </c>
      <c r="B1366" s="5" t="s">
        <v>155</v>
      </c>
      <c r="C1366" s="5">
        <v>-165076</v>
      </c>
    </row>
    <row r="1367" spans="1:3" x14ac:dyDescent="0.25">
      <c r="A1367" s="23">
        <f t="shared" si="20"/>
        <v>43739</v>
      </c>
      <c r="B1367" s="5" t="s">
        <v>156</v>
      </c>
      <c r="C1367" s="5">
        <v>-164821</v>
      </c>
    </row>
    <row r="1368" spans="1:3" x14ac:dyDescent="0.25">
      <c r="A1368" s="23">
        <f t="shared" si="20"/>
        <v>43739</v>
      </c>
      <c r="B1368" s="5" t="s">
        <v>157</v>
      </c>
      <c r="C1368" s="5">
        <v>-238649</v>
      </c>
    </row>
    <row r="1369" spans="1:3" x14ac:dyDescent="0.25">
      <c r="A1369" s="23">
        <f t="shared" si="20"/>
        <v>43739</v>
      </c>
      <c r="B1369" s="5" t="s">
        <v>158</v>
      </c>
      <c r="C1369" s="5">
        <v>-152555</v>
      </c>
    </row>
    <row r="1370" spans="1:3" x14ac:dyDescent="0.25">
      <c r="A1370" s="23">
        <f t="shared" si="20"/>
        <v>43739</v>
      </c>
      <c r="B1370" s="5" t="s">
        <v>159</v>
      </c>
      <c r="C1370" s="5">
        <v>-84231</v>
      </c>
    </row>
    <row r="1371" spans="1:3" x14ac:dyDescent="0.25">
      <c r="A1371" s="23">
        <f t="shared" si="20"/>
        <v>43739</v>
      </c>
      <c r="B1371" s="5" t="s">
        <v>160</v>
      </c>
      <c r="C1371" s="5">
        <v>-174674</v>
      </c>
    </row>
    <row r="1372" spans="1:3" x14ac:dyDescent="0.25">
      <c r="A1372" s="23">
        <f t="shared" si="20"/>
        <v>43739</v>
      </c>
      <c r="B1372" s="5" t="s">
        <v>161</v>
      </c>
      <c r="C1372" s="5">
        <v>-159347</v>
      </c>
    </row>
    <row r="1373" spans="1:3" x14ac:dyDescent="0.25">
      <c r="A1373" s="23">
        <f t="shared" si="20"/>
        <v>43739</v>
      </c>
      <c r="B1373" s="5" t="s">
        <v>162</v>
      </c>
      <c r="C1373" s="5">
        <v>-206164</v>
      </c>
    </row>
    <row r="1374" spans="1:3" x14ac:dyDescent="0.25">
      <c r="A1374" s="23">
        <f t="shared" si="20"/>
        <v>43739</v>
      </c>
      <c r="B1374" s="5" t="s">
        <v>163</v>
      </c>
      <c r="C1374" s="5">
        <v>-122986</v>
      </c>
    </row>
    <row r="1375" spans="1:3" x14ac:dyDescent="0.25">
      <c r="A1375" s="23">
        <f t="shared" si="20"/>
        <v>43739</v>
      </c>
      <c r="B1375" s="5" t="s">
        <v>164</v>
      </c>
      <c r="C1375" s="5">
        <v>-52277</v>
      </c>
    </row>
    <row r="1376" spans="1:3" x14ac:dyDescent="0.25">
      <c r="A1376" s="23">
        <f t="shared" si="20"/>
        <v>43739</v>
      </c>
      <c r="B1376" s="5" t="s">
        <v>165</v>
      </c>
      <c r="C1376" s="5">
        <v>-90637</v>
      </c>
    </row>
    <row r="1377" spans="1:3" x14ac:dyDescent="0.25">
      <c r="A1377" s="23">
        <f t="shared" si="20"/>
        <v>43739</v>
      </c>
      <c r="B1377" s="5" t="s">
        <v>166</v>
      </c>
      <c r="C1377" s="5">
        <v>-56445</v>
      </c>
    </row>
    <row r="1378" spans="1:3" x14ac:dyDescent="0.25">
      <c r="A1378" s="23">
        <f t="shared" si="20"/>
        <v>43739</v>
      </c>
      <c r="B1378" s="5" t="s">
        <v>167</v>
      </c>
      <c r="C1378" s="5">
        <v>-181644</v>
      </c>
    </row>
    <row r="1379" spans="1:3" x14ac:dyDescent="0.25">
      <c r="A1379" s="23">
        <f t="shared" si="20"/>
        <v>43739</v>
      </c>
      <c r="B1379" s="5" t="s">
        <v>168</v>
      </c>
      <c r="C1379" s="5">
        <v>-227349</v>
      </c>
    </row>
    <row r="1380" spans="1:3" x14ac:dyDescent="0.25">
      <c r="A1380" s="23">
        <f t="shared" si="20"/>
        <v>43739</v>
      </c>
      <c r="B1380" s="5" t="s">
        <v>169</v>
      </c>
      <c r="C1380" s="5">
        <v>-178895</v>
      </c>
    </row>
    <row r="1381" spans="1:3" x14ac:dyDescent="0.25">
      <c r="A1381" s="23">
        <f t="shared" si="20"/>
        <v>43739</v>
      </c>
      <c r="B1381" s="5" t="s">
        <v>170</v>
      </c>
      <c r="C1381" s="5">
        <v>-176514</v>
      </c>
    </row>
    <row r="1382" spans="1:3" x14ac:dyDescent="0.25">
      <c r="A1382" s="23">
        <f t="shared" si="20"/>
        <v>43739</v>
      </c>
      <c r="B1382" s="5" t="s">
        <v>171</v>
      </c>
      <c r="C1382" s="5">
        <v>-308739</v>
      </c>
    </row>
    <row r="1383" spans="1:3" x14ac:dyDescent="0.25">
      <c r="A1383" s="23">
        <f t="shared" si="20"/>
        <v>43739</v>
      </c>
      <c r="B1383" s="5" t="s">
        <v>172</v>
      </c>
      <c r="C1383" s="5">
        <v>-246307</v>
      </c>
    </row>
    <row r="1384" spans="1:3" x14ac:dyDescent="0.25">
      <c r="A1384" s="23">
        <f t="shared" si="20"/>
        <v>43739</v>
      </c>
      <c r="B1384" s="5" t="s">
        <v>173</v>
      </c>
      <c r="C1384" s="5">
        <v>-44024</v>
      </c>
    </row>
    <row r="1385" spans="1:3" x14ac:dyDescent="0.25">
      <c r="A1385" s="23">
        <f t="shared" si="20"/>
        <v>43739</v>
      </c>
      <c r="B1385" s="5" t="s">
        <v>174</v>
      </c>
      <c r="C1385" s="5">
        <v>-48678</v>
      </c>
    </row>
    <row r="1386" spans="1:3" x14ac:dyDescent="0.25">
      <c r="A1386" s="23">
        <f t="shared" si="20"/>
        <v>43739</v>
      </c>
      <c r="B1386" s="5" t="s">
        <v>175</v>
      </c>
      <c r="C1386" s="5">
        <v>-57464</v>
      </c>
    </row>
    <row r="1387" spans="1:3" x14ac:dyDescent="0.25">
      <c r="A1387" s="23">
        <f t="shared" si="20"/>
        <v>43739</v>
      </c>
      <c r="B1387" s="5" t="s">
        <v>176</v>
      </c>
      <c r="C1387" s="5">
        <v>-56346</v>
      </c>
    </row>
    <row r="1388" spans="1:3" x14ac:dyDescent="0.25">
      <c r="A1388" s="23">
        <f t="shared" si="20"/>
        <v>43739</v>
      </c>
      <c r="B1388" s="5" t="s">
        <v>177</v>
      </c>
      <c r="C1388" s="5">
        <v>-58543</v>
      </c>
    </row>
    <row r="1389" spans="1:3" x14ac:dyDescent="0.25">
      <c r="A1389" s="23">
        <f t="shared" si="20"/>
        <v>43739</v>
      </c>
      <c r="B1389" s="5" t="s">
        <v>178</v>
      </c>
      <c r="C1389" s="5">
        <v>-269827</v>
      </c>
    </row>
    <row r="1390" spans="1:3" x14ac:dyDescent="0.25">
      <c r="A1390" s="23">
        <f t="shared" si="20"/>
        <v>43739</v>
      </c>
      <c r="B1390" s="5" t="s">
        <v>179</v>
      </c>
      <c r="C1390" s="5">
        <v>-246282</v>
      </c>
    </row>
    <row r="1391" spans="1:3" x14ac:dyDescent="0.25">
      <c r="A1391" s="23">
        <f t="shared" si="20"/>
        <v>43739</v>
      </c>
      <c r="B1391" s="5" t="s">
        <v>180</v>
      </c>
      <c r="C1391" s="5">
        <v>-124747</v>
      </c>
    </row>
    <row r="1392" spans="1:3" x14ac:dyDescent="0.25">
      <c r="A1392" s="23">
        <f t="shared" si="20"/>
        <v>43739</v>
      </c>
      <c r="B1392" s="5" t="s">
        <v>181</v>
      </c>
      <c r="C1392" s="5">
        <v>-50430</v>
      </c>
    </row>
    <row r="1393" spans="1:3" x14ac:dyDescent="0.25">
      <c r="A1393" s="23">
        <f t="shared" si="20"/>
        <v>43739</v>
      </c>
      <c r="B1393" s="5" t="s">
        <v>182</v>
      </c>
      <c r="C1393" s="5">
        <v>-73036</v>
      </c>
    </row>
    <row r="1394" spans="1:3" x14ac:dyDescent="0.25">
      <c r="A1394" s="23">
        <f t="shared" si="20"/>
        <v>43739</v>
      </c>
      <c r="B1394" s="5" t="s">
        <v>183</v>
      </c>
      <c r="C1394" s="5">
        <v>-78199</v>
      </c>
    </row>
    <row r="1395" spans="1:3" x14ac:dyDescent="0.25">
      <c r="A1395" s="23">
        <f t="shared" si="20"/>
        <v>43739</v>
      </c>
      <c r="B1395" s="5" t="s">
        <v>184</v>
      </c>
      <c r="C1395" s="5">
        <v>-63652</v>
      </c>
    </row>
    <row r="1396" spans="1:3" x14ac:dyDescent="0.25">
      <c r="A1396" s="23">
        <f t="shared" si="20"/>
        <v>43739</v>
      </c>
      <c r="B1396" s="5" t="s">
        <v>185</v>
      </c>
      <c r="C1396" s="5">
        <v>-87529</v>
      </c>
    </row>
    <row r="1397" spans="1:3" x14ac:dyDescent="0.25">
      <c r="A1397" s="23">
        <f t="shared" si="20"/>
        <v>43739</v>
      </c>
      <c r="B1397" s="5" t="s">
        <v>186</v>
      </c>
      <c r="C1397" s="5">
        <v>-97861</v>
      </c>
    </row>
    <row r="1398" spans="1:3" x14ac:dyDescent="0.25">
      <c r="A1398" s="23">
        <f t="shared" si="20"/>
        <v>43739</v>
      </c>
      <c r="B1398" s="5" t="s">
        <v>187</v>
      </c>
      <c r="C1398" s="5">
        <v>-181026</v>
      </c>
    </row>
    <row r="1399" spans="1:3" x14ac:dyDescent="0.25">
      <c r="A1399" s="23">
        <f t="shared" si="20"/>
        <v>43739</v>
      </c>
      <c r="B1399" s="5" t="s">
        <v>188</v>
      </c>
      <c r="C1399" s="5">
        <v>-139237</v>
      </c>
    </row>
    <row r="1400" spans="1:3" x14ac:dyDescent="0.25">
      <c r="A1400" s="23">
        <f t="shared" si="20"/>
        <v>43739</v>
      </c>
      <c r="B1400" s="5" t="s">
        <v>189</v>
      </c>
      <c r="C1400" s="5">
        <v>-11393</v>
      </c>
    </row>
    <row r="1401" spans="1:3" x14ac:dyDescent="0.25">
      <c r="A1401" s="23">
        <f t="shared" si="20"/>
        <v>43739</v>
      </c>
      <c r="B1401" s="5" t="s">
        <v>190</v>
      </c>
      <c r="C1401" s="5">
        <v>-28958</v>
      </c>
    </row>
    <row r="1402" spans="1:3" x14ac:dyDescent="0.25">
      <c r="A1402" s="23">
        <f t="shared" si="20"/>
        <v>43770</v>
      </c>
      <c r="B1402" s="5" t="s">
        <v>51</v>
      </c>
      <c r="C1402" s="5">
        <v>672228</v>
      </c>
    </row>
    <row r="1403" spans="1:3" x14ac:dyDescent="0.25">
      <c r="A1403" s="23">
        <f t="shared" si="20"/>
        <v>43770</v>
      </c>
      <c r="B1403" s="5" t="s">
        <v>52</v>
      </c>
      <c r="C1403" s="5">
        <v>265397</v>
      </c>
    </row>
    <row r="1404" spans="1:3" x14ac:dyDescent="0.25">
      <c r="A1404" s="23">
        <f t="shared" si="20"/>
        <v>43770</v>
      </c>
      <c r="B1404" s="5" t="s">
        <v>53</v>
      </c>
      <c r="C1404" s="5">
        <v>240598</v>
      </c>
    </row>
    <row r="1405" spans="1:3" x14ac:dyDescent="0.25">
      <c r="A1405" s="23">
        <f t="shared" si="20"/>
        <v>43770</v>
      </c>
      <c r="B1405" s="5" t="s">
        <v>54</v>
      </c>
      <c r="C1405" s="5">
        <v>300151</v>
      </c>
    </row>
    <row r="1406" spans="1:3" x14ac:dyDescent="0.25">
      <c r="A1406" s="23">
        <f t="shared" si="20"/>
        <v>43770</v>
      </c>
      <c r="B1406" s="5" t="s">
        <v>55</v>
      </c>
      <c r="C1406" s="5">
        <v>982173</v>
      </c>
    </row>
    <row r="1407" spans="1:3" x14ac:dyDescent="0.25">
      <c r="A1407" s="23">
        <f t="shared" si="20"/>
        <v>43770</v>
      </c>
      <c r="B1407" s="5" t="s">
        <v>56</v>
      </c>
      <c r="C1407" s="5">
        <v>412434</v>
      </c>
    </row>
    <row r="1408" spans="1:3" x14ac:dyDescent="0.25">
      <c r="A1408" s="23">
        <f t="shared" si="20"/>
        <v>43770</v>
      </c>
      <c r="B1408" s="5" t="s">
        <v>57</v>
      </c>
      <c r="C1408" s="5">
        <v>488214</v>
      </c>
    </row>
    <row r="1409" spans="1:3" x14ac:dyDescent="0.25">
      <c r="A1409" s="23">
        <f t="shared" si="20"/>
        <v>43770</v>
      </c>
      <c r="B1409" s="5" t="s">
        <v>58</v>
      </c>
      <c r="C1409" s="5">
        <v>794413</v>
      </c>
    </row>
    <row r="1410" spans="1:3" x14ac:dyDescent="0.25">
      <c r="A1410" s="23">
        <f t="shared" si="20"/>
        <v>43770</v>
      </c>
      <c r="B1410" s="5" t="s">
        <v>59</v>
      </c>
      <c r="C1410" s="5">
        <v>788526</v>
      </c>
    </row>
    <row r="1411" spans="1:3" x14ac:dyDescent="0.25">
      <c r="A1411" s="23">
        <f t="shared" si="20"/>
        <v>43770</v>
      </c>
      <c r="B1411" s="5" t="s">
        <v>60</v>
      </c>
      <c r="C1411" s="5">
        <v>584423</v>
      </c>
    </row>
    <row r="1412" spans="1:3" x14ac:dyDescent="0.25">
      <c r="A1412" s="23">
        <f t="shared" si="20"/>
        <v>43770</v>
      </c>
      <c r="B1412" s="5" t="s">
        <v>61</v>
      </c>
      <c r="C1412" s="5">
        <v>250744</v>
      </c>
    </row>
    <row r="1413" spans="1:3" x14ac:dyDescent="0.25">
      <c r="A1413" s="23">
        <f t="shared" si="20"/>
        <v>43770</v>
      </c>
      <c r="B1413" s="5" t="s">
        <v>62</v>
      </c>
      <c r="C1413" s="5">
        <v>785636</v>
      </c>
    </row>
    <row r="1414" spans="1:3" x14ac:dyDescent="0.25">
      <c r="A1414" s="23">
        <f t="shared" si="20"/>
        <v>43770</v>
      </c>
      <c r="B1414" s="5" t="s">
        <v>63</v>
      </c>
      <c r="C1414" s="5">
        <v>693247</v>
      </c>
    </row>
    <row r="1415" spans="1:3" x14ac:dyDescent="0.25">
      <c r="A1415" s="23">
        <f t="shared" si="20"/>
        <v>43770</v>
      </c>
      <c r="B1415" s="5" t="s">
        <v>64</v>
      </c>
      <c r="C1415" s="5">
        <v>968676</v>
      </c>
    </row>
    <row r="1416" spans="1:3" x14ac:dyDescent="0.25">
      <c r="A1416" s="23">
        <f t="shared" ref="A1416:A1479" si="21">EDATE(A1276,1)</f>
        <v>43770</v>
      </c>
      <c r="B1416" s="5" t="s">
        <v>65</v>
      </c>
      <c r="C1416" s="5">
        <v>676914</v>
      </c>
    </row>
    <row r="1417" spans="1:3" x14ac:dyDescent="0.25">
      <c r="A1417" s="23">
        <f t="shared" si="21"/>
        <v>43770</v>
      </c>
      <c r="B1417" s="5" t="s">
        <v>66</v>
      </c>
      <c r="C1417" s="5">
        <v>246474</v>
      </c>
    </row>
    <row r="1418" spans="1:3" x14ac:dyDescent="0.25">
      <c r="A1418" s="23">
        <f t="shared" si="21"/>
        <v>43770</v>
      </c>
      <c r="B1418" s="5" t="s">
        <v>67</v>
      </c>
      <c r="C1418" s="5">
        <v>948243</v>
      </c>
    </row>
    <row r="1419" spans="1:3" x14ac:dyDescent="0.25">
      <c r="A1419" s="23">
        <f t="shared" si="21"/>
        <v>43770</v>
      </c>
      <c r="B1419" s="5" t="s">
        <v>68</v>
      </c>
      <c r="C1419" s="5">
        <v>780104</v>
      </c>
    </row>
    <row r="1420" spans="1:3" x14ac:dyDescent="0.25">
      <c r="A1420" s="23">
        <f t="shared" si="21"/>
        <v>43770</v>
      </c>
      <c r="B1420" s="5" t="s">
        <v>69</v>
      </c>
      <c r="C1420" s="5">
        <v>700473</v>
      </c>
    </row>
    <row r="1421" spans="1:3" x14ac:dyDescent="0.25">
      <c r="A1421" s="23">
        <f t="shared" si="21"/>
        <v>43770</v>
      </c>
      <c r="B1421" s="5" t="s">
        <v>70</v>
      </c>
      <c r="C1421" s="5">
        <v>991665</v>
      </c>
    </row>
    <row r="1422" spans="1:3" x14ac:dyDescent="0.25">
      <c r="A1422" s="23">
        <f t="shared" si="21"/>
        <v>43770</v>
      </c>
      <c r="B1422" s="5" t="s">
        <v>71</v>
      </c>
      <c r="C1422" s="5">
        <v>332715</v>
      </c>
    </row>
    <row r="1423" spans="1:3" x14ac:dyDescent="0.25">
      <c r="A1423" s="23">
        <f t="shared" si="21"/>
        <v>43770</v>
      </c>
      <c r="B1423" s="5" t="s">
        <v>72</v>
      </c>
      <c r="C1423" s="5">
        <v>931132</v>
      </c>
    </row>
    <row r="1424" spans="1:3" x14ac:dyDescent="0.25">
      <c r="A1424" s="23">
        <f t="shared" si="21"/>
        <v>43770</v>
      </c>
      <c r="B1424" s="5" t="s">
        <v>73</v>
      </c>
      <c r="C1424" s="5">
        <v>263648</v>
      </c>
    </row>
    <row r="1425" spans="1:3" x14ac:dyDescent="0.25">
      <c r="A1425" s="23">
        <f t="shared" si="21"/>
        <v>43770</v>
      </c>
      <c r="B1425" s="5" t="s">
        <v>74</v>
      </c>
      <c r="C1425" s="5">
        <v>263829</v>
      </c>
    </row>
    <row r="1426" spans="1:3" x14ac:dyDescent="0.25">
      <c r="A1426" s="23">
        <f t="shared" si="21"/>
        <v>43770</v>
      </c>
      <c r="B1426" s="5" t="s">
        <v>75</v>
      </c>
      <c r="C1426" s="5">
        <v>142125</v>
      </c>
    </row>
    <row r="1427" spans="1:3" x14ac:dyDescent="0.25">
      <c r="A1427" s="23">
        <f t="shared" si="21"/>
        <v>43770</v>
      </c>
      <c r="B1427" s="5" t="s">
        <v>76</v>
      </c>
      <c r="C1427" s="5">
        <v>221989</v>
      </c>
    </row>
    <row r="1428" spans="1:3" x14ac:dyDescent="0.25">
      <c r="A1428" s="23">
        <f t="shared" si="21"/>
        <v>43770</v>
      </c>
      <c r="B1428" s="5" t="s">
        <v>77</v>
      </c>
      <c r="C1428" s="5">
        <v>150865</v>
      </c>
    </row>
    <row r="1429" spans="1:3" x14ac:dyDescent="0.25">
      <c r="A1429" s="23">
        <f t="shared" si="21"/>
        <v>43770</v>
      </c>
      <c r="B1429" s="5" t="s">
        <v>78</v>
      </c>
      <c r="C1429" s="5">
        <v>271437</v>
      </c>
    </row>
    <row r="1430" spans="1:3" x14ac:dyDescent="0.25">
      <c r="A1430" s="23">
        <f t="shared" si="21"/>
        <v>43770</v>
      </c>
      <c r="B1430" s="5" t="s">
        <v>79</v>
      </c>
      <c r="C1430" s="5">
        <v>55013</v>
      </c>
    </row>
    <row r="1431" spans="1:3" x14ac:dyDescent="0.25">
      <c r="A1431" s="23">
        <f t="shared" si="21"/>
        <v>43770</v>
      </c>
      <c r="B1431" s="5" t="s">
        <v>80</v>
      </c>
      <c r="C1431" s="5">
        <v>185378</v>
      </c>
    </row>
    <row r="1432" spans="1:3" x14ac:dyDescent="0.25">
      <c r="A1432" s="23">
        <f t="shared" si="21"/>
        <v>43770</v>
      </c>
      <c r="B1432" s="5" t="s">
        <v>81</v>
      </c>
      <c r="C1432" s="5">
        <v>221635</v>
      </c>
    </row>
    <row r="1433" spans="1:3" x14ac:dyDescent="0.25">
      <c r="A1433" s="23">
        <f t="shared" si="21"/>
        <v>43770</v>
      </c>
      <c r="B1433" s="5" t="s">
        <v>82</v>
      </c>
      <c r="C1433" s="5">
        <v>90049</v>
      </c>
    </row>
    <row r="1434" spans="1:3" x14ac:dyDescent="0.25">
      <c r="A1434" s="23">
        <f t="shared" si="21"/>
        <v>43770</v>
      </c>
      <c r="B1434" s="5" t="s">
        <v>83</v>
      </c>
      <c r="C1434" s="5">
        <v>110088</v>
      </c>
    </row>
    <row r="1435" spans="1:3" x14ac:dyDescent="0.25">
      <c r="A1435" s="23">
        <f t="shared" si="21"/>
        <v>43770</v>
      </c>
      <c r="B1435" s="5" t="s">
        <v>84</v>
      </c>
      <c r="C1435" s="5">
        <v>290860</v>
      </c>
    </row>
    <row r="1436" spans="1:3" x14ac:dyDescent="0.25">
      <c r="A1436" s="23">
        <f t="shared" si="21"/>
        <v>43770</v>
      </c>
      <c r="B1436" s="5" t="s">
        <v>85</v>
      </c>
      <c r="C1436" s="5">
        <v>199038</v>
      </c>
    </row>
    <row r="1437" spans="1:3" x14ac:dyDescent="0.25">
      <c r="A1437" s="23">
        <f t="shared" si="21"/>
        <v>43770</v>
      </c>
      <c r="B1437" s="5" t="s">
        <v>86</v>
      </c>
      <c r="C1437" s="5">
        <v>204688</v>
      </c>
    </row>
    <row r="1438" spans="1:3" x14ac:dyDescent="0.25">
      <c r="A1438" s="23">
        <f t="shared" si="21"/>
        <v>43770</v>
      </c>
      <c r="B1438" s="5" t="s">
        <v>87</v>
      </c>
      <c r="C1438" s="5">
        <v>231966</v>
      </c>
    </row>
    <row r="1439" spans="1:3" x14ac:dyDescent="0.25">
      <c r="A1439" s="23">
        <f t="shared" si="21"/>
        <v>43770</v>
      </c>
      <c r="B1439" s="5" t="s">
        <v>88</v>
      </c>
      <c r="C1439" s="5">
        <v>267411</v>
      </c>
    </row>
    <row r="1440" spans="1:3" x14ac:dyDescent="0.25">
      <c r="A1440" s="23">
        <f t="shared" si="21"/>
        <v>43770</v>
      </c>
      <c r="B1440" s="5" t="s">
        <v>89</v>
      </c>
      <c r="C1440" s="5">
        <v>64669</v>
      </c>
    </row>
    <row r="1441" spans="1:3" x14ac:dyDescent="0.25">
      <c r="A1441" s="23">
        <f t="shared" si="21"/>
        <v>43770</v>
      </c>
      <c r="B1441" s="5" t="s">
        <v>90</v>
      </c>
      <c r="C1441" s="5">
        <v>241470</v>
      </c>
    </row>
    <row r="1442" spans="1:3" x14ac:dyDescent="0.25">
      <c r="A1442" s="23">
        <f t="shared" si="21"/>
        <v>43770</v>
      </c>
      <c r="B1442" s="5" t="s">
        <v>91</v>
      </c>
      <c r="C1442" s="5">
        <v>170141</v>
      </c>
    </row>
    <row r="1443" spans="1:3" x14ac:dyDescent="0.25">
      <c r="A1443" s="23">
        <f t="shared" si="21"/>
        <v>43770</v>
      </c>
      <c r="B1443" s="5" t="s">
        <v>92</v>
      </c>
      <c r="C1443" s="5">
        <v>241454</v>
      </c>
    </row>
    <row r="1444" spans="1:3" x14ac:dyDescent="0.25">
      <c r="A1444" s="23">
        <f t="shared" si="21"/>
        <v>43770</v>
      </c>
      <c r="B1444" s="5" t="s">
        <v>93</v>
      </c>
      <c r="C1444" s="5">
        <v>232682</v>
      </c>
    </row>
    <row r="1445" spans="1:3" x14ac:dyDescent="0.25">
      <c r="A1445" s="23">
        <f t="shared" si="21"/>
        <v>43770</v>
      </c>
      <c r="B1445" s="5" t="s">
        <v>94</v>
      </c>
      <c r="C1445" s="5">
        <v>129704</v>
      </c>
    </row>
    <row r="1446" spans="1:3" x14ac:dyDescent="0.25">
      <c r="A1446" s="23">
        <f t="shared" si="21"/>
        <v>43770</v>
      </c>
      <c r="B1446" s="5" t="s">
        <v>95</v>
      </c>
      <c r="C1446" s="5">
        <v>226637</v>
      </c>
    </row>
    <row r="1447" spans="1:3" x14ac:dyDescent="0.25">
      <c r="A1447" s="23">
        <f t="shared" si="21"/>
        <v>43770</v>
      </c>
      <c r="B1447" s="5" t="s">
        <v>96</v>
      </c>
      <c r="C1447" s="5">
        <v>291970</v>
      </c>
    </row>
    <row r="1448" spans="1:3" x14ac:dyDescent="0.25">
      <c r="A1448" s="23">
        <f t="shared" si="21"/>
        <v>43770</v>
      </c>
      <c r="B1448" s="5" t="s">
        <v>97</v>
      </c>
      <c r="C1448" s="5">
        <v>160778</v>
      </c>
    </row>
    <row r="1449" spans="1:3" x14ac:dyDescent="0.25">
      <c r="A1449" s="23">
        <f t="shared" si="21"/>
        <v>43770</v>
      </c>
      <c r="B1449" s="5" t="s">
        <v>98</v>
      </c>
      <c r="C1449" s="5">
        <v>201364</v>
      </c>
    </row>
    <row r="1450" spans="1:3" x14ac:dyDescent="0.25">
      <c r="A1450" s="23">
        <f t="shared" si="21"/>
        <v>43770</v>
      </c>
      <c r="B1450" s="5" t="s">
        <v>99</v>
      </c>
      <c r="C1450" s="5">
        <v>261146</v>
      </c>
    </row>
    <row r="1451" spans="1:3" x14ac:dyDescent="0.25">
      <c r="A1451" s="23">
        <f t="shared" si="21"/>
        <v>43770</v>
      </c>
      <c r="B1451" s="5" t="s">
        <v>100</v>
      </c>
      <c r="C1451" s="5">
        <v>137091</v>
      </c>
    </row>
    <row r="1452" spans="1:3" x14ac:dyDescent="0.25">
      <c r="A1452" s="23">
        <f t="shared" si="21"/>
        <v>43770</v>
      </c>
      <c r="B1452" s="5" t="s">
        <v>101</v>
      </c>
      <c r="C1452" s="5">
        <v>294125</v>
      </c>
    </row>
    <row r="1453" spans="1:3" x14ac:dyDescent="0.25">
      <c r="A1453" s="23">
        <f t="shared" si="21"/>
        <v>43770</v>
      </c>
      <c r="B1453" s="5" t="s">
        <v>102</v>
      </c>
      <c r="C1453" s="5">
        <v>238383</v>
      </c>
    </row>
    <row r="1454" spans="1:3" x14ac:dyDescent="0.25">
      <c r="A1454" s="23">
        <f t="shared" si="21"/>
        <v>43770</v>
      </c>
      <c r="B1454" s="5" t="s">
        <v>103</v>
      </c>
      <c r="C1454" s="5">
        <v>272586</v>
      </c>
    </row>
    <row r="1455" spans="1:3" x14ac:dyDescent="0.25">
      <c r="A1455" s="23">
        <f t="shared" si="21"/>
        <v>43770</v>
      </c>
      <c r="B1455" s="5" t="s">
        <v>104</v>
      </c>
      <c r="C1455" s="5">
        <v>218349</v>
      </c>
    </row>
    <row r="1456" spans="1:3" x14ac:dyDescent="0.25">
      <c r="A1456" s="23">
        <f t="shared" si="21"/>
        <v>43770</v>
      </c>
      <c r="B1456" s="5" t="s">
        <v>105</v>
      </c>
      <c r="C1456" s="5">
        <v>179459</v>
      </c>
    </row>
    <row r="1457" spans="1:3" x14ac:dyDescent="0.25">
      <c r="A1457" s="23">
        <f t="shared" si="21"/>
        <v>43770</v>
      </c>
      <c r="B1457" s="5" t="s">
        <v>106</v>
      </c>
      <c r="C1457" s="5">
        <v>114920</v>
      </c>
    </row>
    <row r="1458" spans="1:3" x14ac:dyDescent="0.25">
      <c r="A1458" s="23">
        <f t="shared" si="21"/>
        <v>43770</v>
      </c>
      <c r="B1458" s="5" t="s">
        <v>107</v>
      </c>
      <c r="C1458" s="5">
        <v>284894</v>
      </c>
    </row>
    <row r="1459" spans="1:3" x14ac:dyDescent="0.25">
      <c r="A1459" s="23">
        <f t="shared" si="21"/>
        <v>43770</v>
      </c>
      <c r="B1459" s="5" t="s">
        <v>108</v>
      </c>
      <c r="C1459" s="5">
        <v>140007</v>
      </c>
    </row>
    <row r="1460" spans="1:3" x14ac:dyDescent="0.25">
      <c r="A1460" s="23">
        <f t="shared" si="21"/>
        <v>43770</v>
      </c>
      <c r="B1460" s="5" t="s">
        <v>109</v>
      </c>
      <c r="C1460" s="5">
        <v>140420</v>
      </c>
    </row>
    <row r="1461" spans="1:3" x14ac:dyDescent="0.25">
      <c r="A1461" s="23">
        <f t="shared" si="21"/>
        <v>43770</v>
      </c>
      <c r="B1461" s="5" t="s">
        <v>110</v>
      </c>
      <c r="C1461" s="5">
        <v>-4766</v>
      </c>
    </row>
    <row r="1462" spans="1:3" x14ac:dyDescent="0.25">
      <c r="A1462" s="23">
        <f t="shared" si="21"/>
        <v>43770</v>
      </c>
      <c r="B1462" s="5" t="s">
        <v>111</v>
      </c>
      <c r="C1462" s="5">
        <v>-4497</v>
      </c>
    </row>
    <row r="1463" spans="1:3" x14ac:dyDescent="0.25">
      <c r="A1463" s="23">
        <f t="shared" si="21"/>
        <v>43770</v>
      </c>
      <c r="B1463" s="5" t="s">
        <v>112</v>
      </c>
      <c r="C1463" s="5">
        <v>-3820</v>
      </c>
    </row>
    <row r="1464" spans="1:3" x14ac:dyDescent="0.25">
      <c r="A1464" s="23">
        <f t="shared" si="21"/>
        <v>43770</v>
      </c>
      <c r="B1464" s="5" t="s">
        <v>113</v>
      </c>
      <c r="C1464" s="5">
        <v>-7317</v>
      </c>
    </row>
    <row r="1465" spans="1:3" x14ac:dyDescent="0.25">
      <c r="A1465" s="23">
        <f t="shared" si="21"/>
        <v>43770</v>
      </c>
      <c r="B1465" s="5" t="s">
        <v>114</v>
      </c>
      <c r="C1465" s="5">
        <v>-6159</v>
      </c>
    </row>
    <row r="1466" spans="1:3" x14ac:dyDescent="0.25">
      <c r="A1466" s="23">
        <f t="shared" si="21"/>
        <v>43770</v>
      </c>
      <c r="B1466" s="5" t="s">
        <v>115</v>
      </c>
      <c r="C1466" s="5">
        <v>-6364</v>
      </c>
    </row>
    <row r="1467" spans="1:3" x14ac:dyDescent="0.25">
      <c r="A1467" s="23">
        <f t="shared" si="21"/>
        <v>43770</v>
      </c>
      <c r="B1467" s="5" t="s">
        <v>116</v>
      </c>
      <c r="C1467" s="5">
        <v>-2659</v>
      </c>
    </row>
    <row r="1468" spans="1:3" x14ac:dyDescent="0.25">
      <c r="A1468" s="23">
        <f t="shared" si="21"/>
        <v>43770</v>
      </c>
      <c r="B1468" s="5" t="s">
        <v>117</v>
      </c>
      <c r="C1468" s="5">
        <v>-5461</v>
      </c>
    </row>
    <row r="1469" spans="1:3" x14ac:dyDescent="0.25">
      <c r="A1469" s="23">
        <f t="shared" si="21"/>
        <v>43770</v>
      </c>
      <c r="B1469" s="5" t="s">
        <v>118</v>
      </c>
      <c r="C1469" s="5">
        <v>-4145</v>
      </c>
    </row>
    <row r="1470" spans="1:3" x14ac:dyDescent="0.25">
      <c r="A1470" s="23">
        <f t="shared" si="21"/>
        <v>43770</v>
      </c>
      <c r="B1470" s="5" t="s">
        <v>119</v>
      </c>
      <c r="C1470" s="5">
        <v>-8403</v>
      </c>
    </row>
    <row r="1471" spans="1:3" x14ac:dyDescent="0.25">
      <c r="A1471" s="23">
        <f t="shared" si="21"/>
        <v>43770</v>
      </c>
      <c r="B1471" s="5" t="s">
        <v>120</v>
      </c>
      <c r="C1471" s="5">
        <v>-7551</v>
      </c>
    </row>
    <row r="1472" spans="1:3" x14ac:dyDescent="0.25">
      <c r="A1472" s="23">
        <f t="shared" si="21"/>
        <v>43770</v>
      </c>
      <c r="B1472" s="5" t="s">
        <v>121</v>
      </c>
      <c r="C1472" s="5">
        <v>-3021</v>
      </c>
    </row>
    <row r="1473" spans="1:3" x14ac:dyDescent="0.25">
      <c r="A1473" s="23">
        <f t="shared" si="21"/>
        <v>43770</v>
      </c>
      <c r="B1473" s="5" t="s">
        <v>122</v>
      </c>
      <c r="C1473" s="5">
        <v>-4895</v>
      </c>
    </row>
    <row r="1474" spans="1:3" x14ac:dyDescent="0.25">
      <c r="A1474" s="23">
        <f t="shared" si="21"/>
        <v>43770</v>
      </c>
      <c r="B1474" s="5" t="s">
        <v>123</v>
      </c>
      <c r="C1474" s="5">
        <v>-6415</v>
      </c>
    </row>
    <row r="1475" spans="1:3" x14ac:dyDescent="0.25">
      <c r="A1475" s="23">
        <f t="shared" si="21"/>
        <v>43770</v>
      </c>
      <c r="B1475" s="5" t="s">
        <v>124</v>
      </c>
      <c r="C1475" s="5">
        <v>-3177</v>
      </c>
    </row>
    <row r="1476" spans="1:3" x14ac:dyDescent="0.25">
      <c r="A1476" s="23">
        <f t="shared" si="21"/>
        <v>43770</v>
      </c>
      <c r="B1476" s="5" t="s">
        <v>125</v>
      </c>
      <c r="C1476" s="5">
        <v>-3870</v>
      </c>
    </row>
    <row r="1477" spans="1:3" x14ac:dyDescent="0.25">
      <c r="A1477" s="23">
        <f t="shared" si="21"/>
        <v>43770</v>
      </c>
      <c r="B1477" s="5" t="s">
        <v>126</v>
      </c>
      <c r="C1477" s="5">
        <v>-9210</v>
      </c>
    </row>
    <row r="1478" spans="1:3" x14ac:dyDescent="0.25">
      <c r="A1478" s="23">
        <f t="shared" si="21"/>
        <v>43770</v>
      </c>
      <c r="B1478" s="5" t="s">
        <v>127</v>
      </c>
      <c r="C1478" s="5">
        <v>-6329</v>
      </c>
    </row>
    <row r="1479" spans="1:3" x14ac:dyDescent="0.25">
      <c r="A1479" s="23">
        <f t="shared" si="21"/>
        <v>43770</v>
      </c>
      <c r="B1479" s="5" t="s">
        <v>128</v>
      </c>
      <c r="C1479" s="5">
        <v>-7658</v>
      </c>
    </row>
    <row r="1480" spans="1:3" x14ac:dyDescent="0.25">
      <c r="A1480" s="23">
        <f t="shared" ref="A1480:A1543" si="22">EDATE(A1340,1)</f>
        <v>43770</v>
      </c>
      <c r="B1480" s="5" t="s">
        <v>129</v>
      </c>
      <c r="C1480" s="5">
        <v>-3249</v>
      </c>
    </row>
    <row r="1481" spans="1:3" x14ac:dyDescent="0.25">
      <c r="A1481" s="23">
        <f t="shared" si="22"/>
        <v>43770</v>
      </c>
      <c r="B1481" s="5" t="s">
        <v>130</v>
      </c>
      <c r="C1481" s="5">
        <v>-4615</v>
      </c>
    </row>
    <row r="1482" spans="1:3" x14ac:dyDescent="0.25">
      <c r="A1482" s="23">
        <f t="shared" si="22"/>
        <v>43770</v>
      </c>
      <c r="B1482" s="5" t="s">
        <v>131</v>
      </c>
      <c r="C1482" s="5">
        <v>-1077</v>
      </c>
    </row>
    <row r="1483" spans="1:3" x14ac:dyDescent="0.25">
      <c r="A1483" s="23">
        <f t="shared" si="22"/>
        <v>43770</v>
      </c>
      <c r="B1483" s="5" t="s">
        <v>132</v>
      </c>
      <c r="C1483" s="5">
        <v>-5096</v>
      </c>
    </row>
    <row r="1484" spans="1:3" x14ac:dyDescent="0.25">
      <c r="A1484" s="23">
        <f t="shared" si="22"/>
        <v>43770</v>
      </c>
      <c r="B1484" s="5" t="s">
        <v>133</v>
      </c>
      <c r="C1484" s="5">
        <v>-3011</v>
      </c>
    </row>
    <row r="1485" spans="1:3" x14ac:dyDescent="0.25">
      <c r="A1485" s="23">
        <f t="shared" si="22"/>
        <v>43770</v>
      </c>
      <c r="B1485" s="5" t="s">
        <v>134</v>
      </c>
      <c r="C1485" s="5">
        <v>-3518</v>
      </c>
    </row>
    <row r="1486" spans="1:3" x14ac:dyDescent="0.25">
      <c r="A1486" s="23">
        <f t="shared" si="22"/>
        <v>43770</v>
      </c>
      <c r="B1486" s="5" t="s">
        <v>135</v>
      </c>
      <c r="C1486" s="5">
        <v>-5099</v>
      </c>
    </row>
    <row r="1487" spans="1:3" x14ac:dyDescent="0.25">
      <c r="A1487" s="23">
        <f t="shared" si="22"/>
        <v>43770</v>
      </c>
      <c r="B1487" s="5" t="s">
        <v>136</v>
      </c>
      <c r="C1487" s="5">
        <v>-7994</v>
      </c>
    </row>
    <row r="1488" spans="1:3" x14ac:dyDescent="0.25">
      <c r="A1488" s="23">
        <f t="shared" si="22"/>
        <v>43770</v>
      </c>
      <c r="B1488" s="5" t="s">
        <v>137</v>
      </c>
      <c r="C1488" s="5">
        <v>-8096</v>
      </c>
    </row>
    <row r="1489" spans="1:3" x14ac:dyDescent="0.25">
      <c r="A1489" s="23">
        <f t="shared" si="22"/>
        <v>43770</v>
      </c>
      <c r="B1489" s="5" t="s">
        <v>138</v>
      </c>
      <c r="C1489" s="5">
        <v>-9066</v>
      </c>
    </row>
    <row r="1490" spans="1:3" x14ac:dyDescent="0.25">
      <c r="A1490" s="23">
        <f t="shared" si="22"/>
        <v>43770</v>
      </c>
      <c r="B1490" s="5" t="s">
        <v>139</v>
      </c>
      <c r="C1490" s="5">
        <v>-5482</v>
      </c>
    </row>
    <row r="1491" spans="1:3" x14ac:dyDescent="0.25">
      <c r="A1491" s="23">
        <f t="shared" si="22"/>
        <v>43770</v>
      </c>
      <c r="B1491" s="5" t="s">
        <v>140</v>
      </c>
      <c r="C1491" s="5">
        <v>-290893</v>
      </c>
    </row>
    <row r="1492" spans="1:3" x14ac:dyDescent="0.25">
      <c r="A1492" s="23">
        <f t="shared" si="22"/>
        <v>43770</v>
      </c>
      <c r="B1492" s="5" t="s">
        <v>141</v>
      </c>
      <c r="C1492" s="5">
        <v>-152526</v>
      </c>
    </row>
    <row r="1493" spans="1:3" x14ac:dyDescent="0.25">
      <c r="A1493" s="23">
        <f t="shared" si="22"/>
        <v>43770</v>
      </c>
      <c r="B1493" s="5" t="s">
        <v>142</v>
      </c>
      <c r="C1493" s="5">
        <v>-120181</v>
      </c>
    </row>
    <row r="1494" spans="1:3" x14ac:dyDescent="0.25">
      <c r="A1494" s="23">
        <f t="shared" si="22"/>
        <v>43770</v>
      </c>
      <c r="B1494" s="5" t="s">
        <v>143</v>
      </c>
      <c r="C1494" s="5">
        <v>-251532</v>
      </c>
    </row>
    <row r="1495" spans="1:3" x14ac:dyDescent="0.25">
      <c r="A1495" s="23">
        <f t="shared" si="22"/>
        <v>43770</v>
      </c>
      <c r="B1495" s="5" t="s">
        <v>144</v>
      </c>
      <c r="C1495" s="5">
        <v>-209431</v>
      </c>
    </row>
    <row r="1496" spans="1:3" x14ac:dyDescent="0.25">
      <c r="A1496" s="23">
        <f t="shared" si="22"/>
        <v>43770</v>
      </c>
      <c r="B1496" s="5" t="s">
        <v>145</v>
      </c>
      <c r="C1496" s="5">
        <v>-168241</v>
      </c>
    </row>
    <row r="1497" spans="1:3" x14ac:dyDescent="0.25">
      <c r="A1497" s="23">
        <f t="shared" si="22"/>
        <v>43770</v>
      </c>
      <c r="B1497" s="5" t="s">
        <v>146</v>
      </c>
      <c r="C1497" s="5">
        <v>-150684</v>
      </c>
    </row>
    <row r="1498" spans="1:3" x14ac:dyDescent="0.25">
      <c r="A1498" s="23">
        <f t="shared" si="22"/>
        <v>43770</v>
      </c>
      <c r="B1498" s="5" t="s">
        <v>147</v>
      </c>
      <c r="C1498" s="5">
        <v>-251046</v>
      </c>
    </row>
    <row r="1499" spans="1:3" x14ac:dyDescent="0.25">
      <c r="A1499" s="23">
        <f t="shared" si="22"/>
        <v>43770</v>
      </c>
      <c r="B1499" s="5" t="s">
        <v>148</v>
      </c>
      <c r="C1499" s="5">
        <v>-166657</v>
      </c>
    </row>
    <row r="1500" spans="1:3" x14ac:dyDescent="0.25">
      <c r="A1500" s="23">
        <f t="shared" si="22"/>
        <v>43770</v>
      </c>
      <c r="B1500" s="5" t="s">
        <v>149</v>
      </c>
      <c r="C1500" s="5">
        <v>-238375</v>
      </c>
    </row>
    <row r="1501" spans="1:3" x14ac:dyDescent="0.25">
      <c r="A1501" s="23">
        <f t="shared" si="22"/>
        <v>43770</v>
      </c>
      <c r="B1501" s="5" t="s">
        <v>150</v>
      </c>
      <c r="C1501" s="5">
        <v>-238589</v>
      </c>
    </row>
    <row r="1502" spans="1:3" x14ac:dyDescent="0.25">
      <c r="A1502" s="23">
        <f t="shared" si="22"/>
        <v>43770</v>
      </c>
      <c r="B1502" s="5" t="s">
        <v>151</v>
      </c>
      <c r="C1502" s="5">
        <v>-164951</v>
      </c>
    </row>
    <row r="1503" spans="1:3" x14ac:dyDescent="0.25">
      <c r="A1503" s="23">
        <f t="shared" si="22"/>
        <v>43770</v>
      </c>
      <c r="B1503" s="5" t="s">
        <v>152</v>
      </c>
      <c r="C1503" s="5">
        <v>-283119</v>
      </c>
    </row>
    <row r="1504" spans="1:3" x14ac:dyDescent="0.25">
      <c r="A1504" s="23">
        <f t="shared" si="22"/>
        <v>43770</v>
      </c>
      <c r="B1504" s="5" t="s">
        <v>153</v>
      </c>
      <c r="C1504" s="5">
        <v>-95358</v>
      </c>
    </row>
    <row r="1505" spans="1:3" x14ac:dyDescent="0.25">
      <c r="A1505" s="23">
        <f t="shared" si="22"/>
        <v>43770</v>
      </c>
      <c r="B1505" s="5" t="s">
        <v>154</v>
      </c>
      <c r="C1505" s="5">
        <v>-194710</v>
      </c>
    </row>
    <row r="1506" spans="1:3" x14ac:dyDescent="0.25">
      <c r="A1506" s="23">
        <f t="shared" si="22"/>
        <v>43770</v>
      </c>
      <c r="B1506" s="5" t="s">
        <v>155</v>
      </c>
      <c r="C1506" s="5">
        <v>-151714</v>
      </c>
    </row>
    <row r="1507" spans="1:3" x14ac:dyDescent="0.25">
      <c r="A1507" s="23">
        <f t="shared" si="22"/>
        <v>43770</v>
      </c>
      <c r="B1507" s="5" t="s">
        <v>156</v>
      </c>
      <c r="C1507" s="5">
        <v>-120594</v>
      </c>
    </row>
    <row r="1508" spans="1:3" x14ac:dyDescent="0.25">
      <c r="A1508" s="23">
        <f t="shared" si="22"/>
        <v>43770</v>
      </c>
      <c r="B1508" s="5" t="s">
        <v>157</v>
      </c>
      <c r="C1508" s="5">
        <v>-121809</v>
      </c>
    </row>
    <row r="1509" spans="1:3" x14ac:dyDescent="0.25">
      <c r="A1509" s="23">
        <f t="shared" si="22"/>
        <v>43770</v>
      </c>
      <c r="B1509" s="5" t="s">
        <v>158</v>
      </c>
      <c r="C1509" s="5">
        <v>-261896</v>
      </c>
    </row>
    <row r="1510" spans="1:3" x14ac:dyDescent="0.25">
      <c r="A1510" s="23">
        <f t="shared" si="22"/>
        <v>43770</v>
      </c>
      <c r="B1510" s="5" t="s">
        <v>159</v>
      </c>
      <c r="C1510" s="5">
        <v>-256426</v>
      </c>
    </row>
    <row r="1511" spans="1:3" x14ac:dyDescent="0.25">
      <c r="A1511" s="23">
        <f t="shared" si="22"/>
        <v>43770</v>
      </c>
      <c r="B1511" s="5" t="s">
        <v>160</v>
      </c>
      <c r="C1511" s="5">
        <v>-187149</v>
      </c>
    </row>
    <row r="1512" spans="1:3" x14ac:dyDescent="0.25">
      <c r="A1512" s="23">
        <f t="shared" si="22"/>
        <v>43770</v>
      </c>
      <c r="B1512" s="5" t="s">
        <v>161</v>
      </c>
      <c r="C1512" s="5">
        <v>-154132</v>
      </c>
    </row>
    <row r="1513" spans="1:3" x14ac:dyDescent="0.25">
      <c r="A1513" s="23">
        <f t="shared" si="22"/>
        <v>43770</v>
      </c>
      <c r="B1513" s="5" t="s">
        <v>162</v>
      </c>
      <c r="C1513" s="5">
        <v>-228927</v>
      </c>
    </row>
    <row r="1514" spans="1:3" x14ac:dyDescent="0.25">
      <c r="A1514" s="23">
        <f t="shared" si="22"/>
        <v>43770</v>
      </c>
      <c r="B1514" s="5" t="s">
        <v>163</v>
      </c>
      <c r="C1514" s="5">
        <v>-232855</v>
      </c>
    </row>
    <row r="1515" spans="1:3" x14ac:dyDescent="0.25">
      <c r="A1515" s="23">
        <f t="shared" si="22"/>
        <v>43770</v>
      </c>
      <c r="B1515" s="5" t="s">
        <v>164</v>
      </c>
      <c r="C1515" s="5">
        <v>-90409</v>
      </c>
    </row>
    <row r="1516" spans="1:3" x14ac:dyDescent="0.25">
      <c r="A1516" s="23">
        <f t="shared" si="22"/>
        <v>43770</v>
      </c>
      <c r="B1516" s="5" t="s">
        <v>165</v>
      </c>
      <c r="C1516" s="5">
        <v>-82194</v>
      </c>
    </row>
    <row r="1517" spans="1:3" x14ac:dyDescent="0.25">
      <c r="A1517" s="23">
        <f t="shared" si="22"/>
        <v>43770</v>
      </c>
      <c r="B1517" s="5" t="s">
        <v>166</v>
      </c>
      <c r="C1517" s="5">
        <v>-91449</v>
      </c>
    </row>
    <row r="1518" spans="1:3" x14ac:dyDescent="0.25">
      <c r="A1518" s="23">
        <f t="shared" si="22"/>
        <v>43770</v>
      </c>
      <c r="B1518" s="5" t="s">
        <v>167</v>
      </c>
      <c r="C1518" s="5">
        <v>-149428</v>
      </c>
    </row>
    <row r="1519" spans="1:3" x14ac:dyDescent="0.25">
      <c r="A1519" s="23">
        <f t="shared" si="22"/>
        <v>43770</v>
      </c>
      <c r="B1519" s="5" t="s">
        <v>168</v>
      </c>
      <c r="C1519" s="5">
        <v>-175586</v>
      </c>
    </row>
    <row r="1520" spans="1:3" x14ac:dyDescent="0.25">
      <c r="A1520" s="23">
        <f t="shared" si="22"/>
        <v>43770</v>
      </c>
      <c r="B1520" s="5" t="s">
        <v>169</v>
      </c>
      <c r="C1520" s="5">
        <v>-274141</v>
      </c>
    </row>
    <row r="1521" spans="1:3" x14ac:dyDescent="0.25">
      <c r="A1521" s="23">
        <f t="shared" si="22"/>
        <v>43770</v>
      </c>
      <c r="B1521" s="5" t="s">
        <v>170</v>
      </c>
      <c r="C1521" s="5">
        <v>-381848</v>
      </c>
    </row>
    <row r="1522" spans="1:3" x14ac:dyDescent="0.25">
      <c r="A1522" s="23">
        <f t="shared" si="22"/>
        <v>43770</v>
      </c>
      <c r="B1522" s="5" t="s">
        <v>171</v>
      </c>
      <c r="C1522" s="5">
        <v>-384033</v>
      </c>
    </row>
    <row r="1523" spans="1:3" x14ac:dyDescent="0.25">
      <c r="A1523" s="23">
        <f t="shared" si="22"/>
        <v>43770</v>
      </c>
      <c r="B1523" s="5" t="s">
        <v>172</v>
      </c>
      <c r="C1523" s="5">
        <v>-98030</v>
      </c>
    </row>
    <row r="1524" spans="1:3" x14ac:dyDescent="0.25">
      <c r="A1524" s="23">
        <f t="shared" si="22"/>
        <v>43770</v>
      </c>
      <c r="B1524" s="5" t="s">
        <v>173</v>
      </c>
      <c r="C1524" s="5">
        <v>-41337</v>
      </c>
    </row>
    <row r="1525" spans="1:3" x14ac:dyDescent="0.25">
      <c r="A1525" s="23">
        <f t="shared" si="22"/>
        <v>43770</v>
      </c>
      <c r="B1525" s="5" t="s">
        <v>174</v>
      </c>
      <c r="C1525" s="5">
        <v>-57258</v>
      </c>
    </row>
    <row r="1526" spans="1:3" x14ac:dyDescent="0.25">
      <c r="A1526" s="23">
        <f t="shared" si="22"/>
        <v>43770</v>
      </c>
      <c r="B1526" s="5" t="s">
        <v>175</v>
      </c>
      <c r="C1526" s="5">
        <v>-43084</v>
      </c>
    </row>
    <row r="1527" spans="1:3" x14ac:dyDescent="0.25">
      <c r="A1527" s="23">
        <f t="shared" si="22"/>
        <v>43770</v>
      </c>
      <c r="B1527" s="5" t="s">
        <v>176</v>
      </c>
      <c r="C1527" s="5">
        <v>-51936</v>
      </c>
    </row>
    <row r="1528" spans="1:3" x14ac:dyDescent="0.25">
      <c r="A1528" s="23">
        <f t="shared" si="22"/>
        <v>43770</v>
      </c>
      <c r="B1528" s="5" t="s">
        <v>177</v>
      </c>
      <c r="C1528" s="5">
        <v>-59328</v>
      </c>
    </row>
    <row r="1529" spans="1:3" x14ac:dyDescent="0.25">
      <c r="A1529" s="23">
        <f t="shared" si="22"/>
        <v>43770</v>
      </c>
      <c r="B1529" s="5" t="s">
        <v>178</v>
      </c>
      <c r="C1529" s="5">
        <v>-272366</v>
      </c>
    </row>
    <row r="1530" spans="1:3" x14ac:dyDescent="0.25">
      <c r="A1530" s="23">
        <f t="shared" si="22"/>
        <v>43770</v>
      </c>
      <c r="B1530" s="5" t="s">
        <v>179</v>
      </c>
      <c r="C1530" s="5">
        <v>-117979</v>
      </c>
    </row>
    <row r="1531" spans="1:3" x14ac:dyDescent="0.25">
      <c r="A1531" s="23">
        <f t="shared" si="22"/>
        <v>43770</v>
      </c>
      <c r="B1531" s="5" t="s">
        <v>180</v>
      </c>
      <c r="C1531" s="5">
        <v>-270941</v>
      </c>
    </row>
    <row r="1532" spans="1:3" x14ac:dyDescent="0.25">
      <c r="A1532" s="23">
        <f t="shared" si="22"/>
        <v>43770</v>
      </c>
      <c r="B1532" s="5" t="s">
        <v>181</v>
      </c>
      <c r="C1532" s="5">
        <v>-81414</v>
      </c>
    </row>
    <row r="1533" spans="1:3" x14ac:dyDescent="0.25">
      <c r="A1533" s="23">
        <f t="shared" si="22"/>
        <v>43770</v>
      </c>
      <c r="B1533" s="5" t="s">
        <v>182</v>
      </c>
      <c r="C1533" s="5">
        <v>-69816</v>
      </c>
    </row>
    <row r="1534" spans="1:3" x14ac:dyDescent="0.25">
      <c r="A1534" s="23">
        <f t="shared" si="22"/>
        <v>43770</v>
      </c>
      <c r="B1534" s="5" t="s">
        <v>183</v>
      </c>
      <c r="C1534" s="5">
        <v>-85950</v>
      </c>
    </row>
    <row r="1535" spans="1:3" x14ac:dyDescent="0.25">
      <c r="A1535" s="23">
        <f t="shared" si="22"/>
        <v>43770</v>
      </c>
      <c r="B1535" s="5" t="s">
        <v>184</v>
      </c>
      <c r="C1535" s="5">
        <v>-75529</v>
      </c>
    </row>
    <row r="1536" spans="1:3" x14ac:dyDescent="0.25">
      <c r="A1536" s="23">
        <f t="shared" si="22"/>
        <v>43770</v>
      </c>
      <c r="B1536" s="5" t="s">
        <v>185</v>
      </c>
      <c r="C1536" s="5">
        <v>-84635</v>
      </c>
    </row>
    <row r="1537" spans="1:3" x14ac:dyDescent="0.25">
      <c r="A1537" s="23">
        <f t="shared" si="22"/>
        <v>43770</v>
      </c>
      <c r="B1537" s="5" t="s">
        <v>186</v>
      </c>
      <c r="C1537" s="5">
        <v>-111254</v>
      </c>
    </row>
    <row r="1538" spans="1:3" x14ac:dyDescent="0.25">
      <c r="A1538" s="23">
        <f t="shared" si="22"/>
        <v>43770</v>
      </c>
      <c r="B1538" s="5" t="s">
        <v>187</v>
      </c>
      <c r="C1538" s="5">
        <v>-126059</v>
      </c>
    </row>
    <row r="1539" spans="1:3" x14ac:dyDescent="0.25">
      <c r="A1539" s="23">
        <f t="shared" si="22"/>
        <v>43770</v>
      </c>
      <c r="B1539" s="5" t="s">
        <v>188</v>
      </c>
      <c r="C1539" s="5">
        <v>-208599</v>
      </c>
    </row>
    <row r="1540" spans="1:3" x14ac:dyDescent="0.25">
      <c r="A1540" s="23">
        <f t="shared" si="22"/>
        <v>43770</v>
      </c>
      <c r="B1540" s="5" t="s">
        <v>189</v>
      </c>
      <c r="C1540" s="5">
        <v>-8518</v>
      </c>
    </row>
    <row r="1541" spans="1:3" x14ac:dyDescent="0.25">
      <c r="A1541" s="23">
        <f t="shared" si="22"/>
        <v>43770</v>
      </c>
      <c r="B1541" s="5" t="s">
        <v>190</v>
      </c>
      <c r="C1541" s="5">
        <v>-15847</v>
      </c>
    </row>
    <row r="1542" spans="1:3" x14ac:dyDescent="0.25">
      <c r="A1542" s="23">
        <f t="shared" si="22"/>
        <v>43800</v>
      </c>
      <c r="B1542" s="5" t="s">
        <v>51</v>
      </c>
      <c r="C1542" s="5">
        <v>250401</v>
      </c>
    </row>
    <row r="1543" spans="1:3" x14ac:dyDescent="0.25">
      <c r="A1543" s="23">
        <f t="shared" si="22"/>
        <v>43800</v>
      </c>
      <c r="B1543" s="5" t="s">
        <v>52</v>
      </c>
      <c r="C1543" s="5">
        <v>595269</v>
      </c>
    </row>
    <row r="1544" spans="1:3" x14ac:dyDescent="0.25">
      <c r="A1544" s="23">
        <f t="shared" ref="A1544:A1607" si="23">EDATE(A1404,1)</f>
        <v>43800</v>
      </c>
      <c r="B1544" s="5" t="s">
        <v>53</v>
      </c>
      <c r="C1544" s="5">
        <v>348180</v>
      </c>
    </row>
    <row r="1545" spans="1:3" x14ac:dyDescent="0.25">
      <c r="A1545" s="23">
        <f t="shared" si="23"/>
        <v>43800</v>
      </c>
      <c r="B1545" s="5" t="s">
        <v>54</v>
      </c>
      <c r="C1545" s="5">
        <v>733392</v>
      </c>
    </row>
    <row r="1546" spans="1:3" x14ac:dyDescent="0.25">
      <c r="A1546" s="23">
        <f t="shared" si="23"/>
        <v>43800</v>
      </c>
      <c r="B1546" s="5" t="s">
        <v>55</v>
      </c>
      <c r="C1546" s="5">
        <v>794437</v>
      </c>
    </row>
    <row r="1547" spans="1:3" x14ac:dyDescent="0.25">
      <c r="A1547" s="23">
        <f t="shared" si="23"/>
        <v>43800</v>
      </c>
      <c r="B1547" s="5" t="s">
        <v>56</v>
      </c>
      <c r="C1547" s="5">
        <v>297553</v>
      </c>
    </row>
    <row r="1548" spans="1:3" x14ac:dyDescent="0.25">
      <c r="A1548" s="23">
        <f t="shared" si="23"/>
        <v>43800</v>
      </c>
      <c r="B1548" s="5" t="s">
        <v>57</v>
      </c>
      <c r="C1548" s="5">
        <v>523171</v>
      </c>
    </row>
    <row r="1549" spans="1:3" x14ac:dyDescent="0.25">
      <c r="A1549" s="23">
        <f t="shared" si="23"/>
        <v>43800</v>
      </c>
      <c r="B1549" s="5" t="s">
        <v>58</v>
      </c>
      <c r="C1549" s="5">
        <v>476484</v>
      </c>
    </row>
    <row r="1550" spans="1:3" x14ac:dyDescent="0.25">
      <c r="A1550" s="23">
        <f t="shared" si="23"/>
        <v>43800</v>
      </c>
      <c r="B1550" s="5" t="s">
        <v>59</v>
      </c>
      <c r="C1550" s="5">
        <v>544175</v>
      </c>
    </row>
    <row r="1551" spans="1:3" x14ac:dyDescent="0.25">
      <c r="A1551" s="23">
        <f t="shared" si="23"/>
        <v>43800</v>
      </c>
      <c r="B1551" s="5" t="s">
        <v>60</v>
      </c>
      <c r="C1551" s="5">
        <v>651758</v>
      </c>
    </row>
    <row r="1552" spans="1:3" x14ac:dyDescent="0.25">
      <c r="A1552" s="23">
        <f t="shared" si="23"/>
        <v>43800</v>
      </c>
      <c r="B1552" s="5" t="s">
        <v>61</v>
      </c>
      <c r="C1552" s="5">
        <v>581921</v>
      </c>
    </row>
    <row r="1553" spans="1:3" x14ac:dyDescent="0.25">
      <c r="A1553" s="23">
        <f t="shared" si="23"/>
        <v>43800</v>
      </c>
      <c r="B1553" s="5" t="s">
        <v>62</v>
      </c>
      <c r="C1553" s="5">
        <v>399547</v>
      </c>
    </row>
    <row r="1554" spans="1:3" x14ac:dyDescent="0.25">
      <c r="A1554" s="23">
        <f t="shared" si="23"/>
        <v>43800</v>
      </c>
      <c r="B1554" s="5" t="s">
        <v>63</v>
      </c>
      <c r="C1554" s="5">
        <v>575779</v>
      </c>
    </row>
    <row r="1555" spans="1:3" x14ac:dyDescent="0.25">
      <c r="A1555" s="23">
        <f t="shared" si="23"/>
        <v>43800</v>
      </c>
      <c r="B1555" s="5" t="s">
        <v>64</v>
      </c>
      <c r="C1555" s="5">
        <v>603435</v>
      </c>
    </row>
    <row r="1556" spans="1:3" x14ac:dyDescent="0.25">
      <c r="A1556" s="23">
        <f t="shared" si="23"/>
        <v>43800</v>
      </c>
      <c r="B1556" s="5" t="s">
        <v>65</v>
      </c>
      <c r="C1556" s="5">
        <v>370626</v>
      </c>
    </row>
    <row r="1557" spans="1:3" x14ac:dyDescent="0.25">
      <c r="A1557" s="23">
        <f t="shared" si="23"/>
        <v>43800</v>
      </c>
      <c r="B1557" s="5" t="s">
        <v>66</v>
      </c>
      <c r="C1557" s="5">
        <v>845462</v>
      </c>
    </row>
    <row r="1558" spans="1:3" x14ac:dyDescent="0.25">
      <c r="A1558" s="23">
        <f t="shared" si="23"/>
        <v>43800</v>
      </c>
      <c r="B1558" s="5" t="s">
        <v>67</v>
      </c>
      <c r="C1558" s="5">
        <v>876094</v>
      </c>
    </row>
    <row r="1559" spans="1:3" x14ac:dyDescent="0.25">
      <c r="A1559" s="23">
        <f t="shared" si="23"/>
        <v>43800</v>
      </c>
      <c r="B1559" s="5" t="s">
        <v>68</v>
      </c>
      <c r="C1559" s="5">
        <v>530288</v>
      </c>
    </row>
    <row r="1560" spans="1:3" x14ac:dyDescent="0.25">
      <c r="A1560" s="23">
        <f t="shared" si="23"/>
        <v>43800</v>
      </c>
      <c r="B1560" s="5" t="s">
        <v>69</v>
      </c>
      <c r="C1560" s="5">
        <v>672881</v>
      </c>
    </row>
    <row r="1561" spans="1:3" x14ac:dyDescent="0.25">
      <c r="A1561" s="23">
        <f t="shared" si="23"/>
        <v>43800</v>
      </c>
      <c r="B1561" s="5" t="s">
        <v>70</v>
      </c>
      <c r="C1561" s="5">
        <v>487643</v>
      </c>
    </row>
    <row r="1562" spans="1:3" x14ac:dyDescent="0.25">
      <c r="A1562" s="23">
        <f t="shared" si="23"/>
        <v>43800</v>
      </c>
      <c r="B1562" s="5" t="s">
        <v>71</v>
      </c>
      <c r="C1562" s="5">
        <v>881284</v>
      </c>
    </row>
    <row r="1563" spans="1:3" x14ac:dyDescent="0.25">
      <c r="A1563" s="23">
        <f t="shared" si="23"/>
        <v>43800</v>
      </c>
      <c r="B1563" s="5" t="s">
        <v>72</v>
      </c>
      <c r="C1563" s="5">
        <v>697234</v>
      </c>
    </row>
    <row r="1564" spans="1:3" x14ac:dyDescent="0.25">
      <c r="A1564" s="23">
        <f t="shared" si="23"/>
        <v>43800</v>
      </c>
      <c r="B1564" s="5" t="s">
        <v>73</v>
      </c>
      <c r="C1564" s="5">
        <v>273938</v>
      </c>
    </row>
    <row r="1565" spans="1:3" x14ac:dyDescent="0.25">
      <c r="A1565" s="23">
        <f t="shared" si="23"/>
        <v>43800</v>
      </c>
      <c r="B1565" s="5" t="s">
        <v>74</v>
      </c>
      <c r="C1565" s="5">
        <v>187932</v>
      </c>
    </row>
    <row r="1566" spans="1:3" x14ac:dyDescent="0.25">
      <c r="A1566" s="23">
        <f t="shared" si="23"/>
        <v>43800</v>
      </c>
      <c r="B1566" s="5" t="s">
        <v>75</v>
      </c>
      <c r="C1566" s="5">
        <v>91201</v>
      </c>
    </row>
    <row r="1567" spans="1:3" x14ac:dyDescent="0.25">
      <c r="A1567" s="23">
        <f t="shared" si="23"/>
        <v>43800</v>
      </c>
      <c r="B1567" s="5" t="s">
        <v>76</v>
      </c>
      <c r="C1567" s="5">
        <v>266496</v>
      </c>
    </row>
    <row r="1568" spans="1:3" x14ac:dyDescent="0.25">
      <c r="A1568" s="23">
        <f t="shared" si="23"/>
        <v>43800</v>
      </c>
      <c r="B1568" s="5" t="s">
        <v>77</v>
      </c>
      <c r="C1568" s="5">
        <v>160513</v>
      </c>
    </row>
    <row r="1569" spans="1:3" x14ac:dyDescent="0.25">
      <c r="A1569" s="23">
        <f t="shared" si="23"/>
        <v>43800</v>
      </c>
      <c r="B1569" s="5" t="s">
        <v>78</v>
      </c>
      <c r="C1569" s="5">
        <v>138712</v>
      </c>
    </row>
    <row r="1570" spans="1:3" x14ac:dyDescent="0.25">
      <c r="A1570" s="23">
        <f t="shared" si="23"/>
        <v>43800</v>
      </c>
      <c r="B1570" s="5" t="s">
        <v>79</v>
      </c>
      <c r="C1570" s="5">
        <v>231338</v>
      </c>
    </row>
    <row r="1571" spans="1:3" x14ac:dyDescent="0.25">
      <c r="A1571" s="23">
        <f t="shared" si="23"/>
        <v>43800</v>
      </c>
      <c r="B1571" s="5" t="s">
        <v>80</v>
      </c>
      <c r="C1571" s="5">
        <v>167643</v>
      </c>
    </row>
    <row r="1572" spans="1:3" x14ac:dyDescent="0.25">
      <c r="A1572" s="23">
        <f t="shared" si="23"/>
        <v>43800</v>
      </c>
      <c r="B1572" s="5" t="s">
        <v>81</v>
      </c>
      <c r="C1572" s="5">
        <v>239341</v>
      </c>
    </row>
    <row r="1573" spans="1:3" x14ac:dyDescent="0.25">
      <c r="A1573" s="23">
        <f t="shared" si="23"/>
        <v>43800</v>
      </c>
      <c r="B1573" s="5" t="s">
        <v>82</v>
      </c>
      <c r="C1573" s="5">
        <v>123930</v>
      </c>
    </row>
    <row r="1574" spans="1:3" x14ac:dyDescent="0.25">
      <c r="A1574" s="23">
        <f t="shared" si="23"/>
        <v>43800</v>
      </c>
      <c r="B1574" s="5" t="s">
        <v>83</v>
      </c>
      <c r="C1574" s="5">
        <v>268486</v>
      </c>
    </row>
    <row r="1575" spans="1:3" x14ac:dyDescent="0.25">
      <c r="A1575" s="23">
        <f t="shared" si="23"/>
        <v>43800</v>
      </c>
      <c r="B1575" s="5" t="s">
        <v>84</v>
      </c>
      <c r="C1575" s="5">
        <v>61812</v>
      </c>
    </row>
    <row r="1576" spans="1:3" x14ac:dyDescent="0.25">
      <c r="A1576" s="23">
        <f t="shared" si="23"/>
        <v>43800</v>
      </c>
      <c r="B1576" s="5" t="s">
        <v>85</v>
      </c>
      <c r="C1576" s="5">
        <v>113214</v>
      </c>
    </row>
    <row r="1577" spans="1:3" x14ac:dyDescent="0.25">
      <c r="A1577" s="23">
        <f t="shared" si="23"/>
        <v>43800</v>
      </c>
      <c r="B1577" s="5" t="s">
        <v>86</v>
      </c>
      <c r="C1577" s="5">
        <v>245983</v>
      </c>
    </row>
    <row r="1578" spans="1:3" x14ac:dyDescent="0.25">
      <c r="A1578" s="23">
        <f t="shared" si="23"/>
        <v>43800</v>
      </c>
      <c r="B1578" s="5" t="s">
        <v>87</v>
      </c>
      <c r="C1578" s="5">
        <v>84813</v>
      </c>
    </row>
    <row r="1579" spans="1:3" x14ac:dyDescent="0.25">
      <c r="A1579" s="23">
        <f t="shared" si="23"/>
        <v>43800</v>
      </c>
      <c r="B1579" s="5" t="s">
        <v>88</v>
      </c>
      <c r="C1579" s="5">
        <v>215990</v>
      </c>
    </row>
    <row r="1580" spans="1:3" x14ac:dyDescent="0.25">
      <c r="A1580" s="23">
        <f t="shared" si="23"/>
        <v>43800</v>
      </c>
      <c r="B1580" s="5" t="s">
        <v>89</v>
      </c>
      <c r="C1580" s="5">
        <v>217803</v>
      </c>
    </row>
    <row r="1581" spans="1:3" x14ac:dyDescent="0.25">
      <c r="A1581" s="23">
        <f t="shared" si="23"/>
        <v>43800</v>
      </c>
      <c r="B1581" s="5" t="s">
        <v>90</v>
      </c>
      <c r="C1581" s="5">
        <v>209191</v>
      </c>
    </row>
    <row r="1582" spans="1:3" x14ac:dyDescent="0.25">
      <c r="A1582" s="23">
        <f t="shared" si="23"/>
        <v>43800</v>
      </c>
      <c r="B1582" s="5" t="s">
        <v>91</v>
      </c>
      <c r="C1582" s="5">
        <v>216589</v>
      </c>
    </row>
    <row r="1583" spans="1:3" x14ac:dyDescent="0.25">
      <c r="A1583" s="23">
        <f t="shared" si="23"/>
        <v>43800</v>
      </c>
      <c r="B1583" s="5" t="s">
        <v>92</v>
      </c>
      <c r="C1583" s="5">
        <v>274307</v>
      </c>
    </row>
    <row r="1584" spans="1:3" x14ac:dyDescent="0.25">
      <c r="A1584" s="23">
        <f t="shared" si="23"/>
        <v>43800</v>
      </c>
      <c r="B1584" s="5" t="s">
        <v>93</v>
      </c>
      <c r="C1584" s="5">
        <v>143602</v>
      </c>
    </row>
    <row r="1585" spans="1:3" x14ac:dyDescent="0.25">
      <c r="A1585" s="23">
        <f t="shared" si="23"/>
        <v>43800</v>
      </c>
      <c r="B1585" s="5" t="s">
        <v>94</v>
      </c>
      <c r="C1585" s="5">
        <v>154841</v>
      </c>
    </row>
    <row r="1586" spans="1:3" x14ac:dyDescent="0.25">
      <c r="A1586" s="23">
        <f t="shared" si="23"/>
        <v>43800</v>
      </c>
      <c r="B1586" s="5" t="s">
        <v>95</v>
      </c>
      <c r="C1586" s="5">
        <v>72583</v>
      </c>
    </row>
    <row r="1587" spans="1:3" x14ac:dyDescent="0.25">
      <c r="A1587" s="23">
        <f t="shared" si="23"/>
        <v>43800</v>
      </c>
      <c r="B1587" s="5" t="s">
        <v>96</v>
      </c>
      <c r="C1587" s="5">
        <v>248296</v>
      </c>
    </row>
    <row r="1588" spans="1:3" x14ac:dyDescent="0.25">
      <c r="A1588" s="23">
        <f t="shared" si="23"/>
        <v>43800</v>
      </c>
      <c r="B1588" s="5" t="s">
        <v>97</v>
      </c>
      <c r="C1588" s="5">
        <v>244942</v>
      </c>
    </row>
    <row r="1589" spans="1:3" x14ac:dyDescent="0.25">
      <c r="A1589" s="23">
        <f t="shared" si="23"/>
        <v>43800</v>
      </c>
      <c r="B1589" s="5" t="s">
        <v>98</v>
      </c>
      <c r="C1589" s="5">
        <v>135989</v>
      </c>
    </row>
    <row r="1590" spans="1:3" x14ac:dyDescent="0.25">
      <c r="A1590" s="23">
        <f t="shared" si="23"/>
        <v>43800</v>
      </c>
      <c r="B1590" s="5" t="s">
        <v>99</v>
      </c>
      <c r="C1590" s="5">
        <v>139346</v>
      </c>
    </row>
    <row r="1591" spans="1:3" x14ac:dyDescent="0.25">
      <c r="A1591" s="23">
        <f t="shared" si="23"/>
        <v>43800</v>
      </c>
      <c r="B1591" s="5" t="s">
        <v>100</v>
      </c>
      <c r="C1591" s="5">
        <v>85823</v>
      </c>
    </row>
    <row r="1592" spans="1:3" x14ac:dyDescent="0.25">
      <c r="A1592" s="23">
        <f t="shared" si="23"/>
        <v>43800</v>
      </c>
      <c r="B1592" s="5" t="s">
        <v>101</v>
      </c>
      <c r="C1592" s="5">
        <v>240675</v>
      </c>
    </row>
    <row r="1593" spans="1:3" x14ac:dyDescent="0.25">
      <c r="A1593" s="23">
        <f t="shared" si="23"/>
        <v>43800</v>
      </c>
      <c r="B1593" s="5" t="s">
        <v>102</v>
      </c>
      <c r="C1593" s="5">
        <v>264343</v>
      </c>
    </row>
    <row r="1594" spans="1:3" x14ac:dyDescent="0.25">
      <c r="A1594" s="23">
        <f t="shared" si="23"/>
        <v>43800</v>
      </c>
      <c r="B1594" s="5" t="s">
        <v>103</v>
      </c>
      <c r="C1594" s="5">
        <v>268612</v>
      </c>
    </row>
    <row r="1595" spans="1:3" x14ac:dyDescent="0.25">
      <c r="A1595" s="23">
        <f t="shared" si="23"/>
        <v>43800</v>
      </c>
      <c r="B1595" s="5" t="s">
        <v>104</v>
      </c>
      <c r="C1595" s="5">
        <v>211971</v>
      </c>
    </row>
    <row r="1596" spans="1:3" x14ac:dyDescent="0.25">
      <c r="A1596" s="23">
        <f t="shared" si="23"/>
        <v>43800</v>
      </c>
      <c r="B1596" s="5" t="s">
        <v>105</v>
      </c>
      <c r="C1596" s="5">
        <v>287366</v>
      </c>
    </row>
    <row r="1597" spans="1:3" x14ac:dyDescent="0.25">
      <c r="A1597" s="23">
        <f t="shared" si="23"/>
        <v>43800</v>
      </c>
      <c r="B1597" s="5" t="s">
        <v>106</v>
      </c>
      <c r="C1597" s="5">
        <v>225630</v>
      </c>
    </row>
    <row r="1598" spans="1:3" x14ac:dyDescent="0.25">
      <c r="A1598" s="23">
        <f t="shared" si="23"/>
        <v>43800</v>
      </c>
      <c r="B1598" s="5" t="s">
        <v>107</v>
      </c>
      <c r="C1598" s="5">
        <v>222416</v>
      </c>
    </row>
    <row r="1599" spans="1:3" x14ac:dyDescent="0.25">
      <c r="A1599" s="23">
        <f t="shared" si="23"/>
        <v>43800</v>
      </c>
      <c r="B1599" s="5" t="s">
        <v>108</v>
      </c>
      <c r="C1599" s="5">
        <v>117953</v>
      </c>
    </row>
    <row r="1600" spans="1:3" x14ac:dyDescent="0.25">
      <c r="A1600" s="23">
        <f t="shared" si="23"/>
        <v>43800</v>
      </c>
      <c r="B1600" s="5" t="s">
        <v>109</v>
      </c>
      <c r="C1600" s="5">
        <v>211049</v>
      </c>
    </row>
    <row r="1601" spans="1:3" x14ac:dyDescent="0.25">
      <c r="A1601" s="23">
        <f t="shared" si="23"/>
        <v>43800</v>
      </c>
      <c r="B1601" s="5" t="s">
        <v>110</v>
      </c>
      <c r="C1601" s="5">
        <v>-8716</v>
      </c>
    </row>
    <row r="1602" spans="1:3" x14ac:dyDescent="0.25">
      <c r="A1602" s="23">
        <f t="shared" si="23"/>
        <v>43800</v>
      </c>
      <c r="B1602" s="5" t="s">
        <v>111</v>
      </c>
      <c r="C1602" s="5">
        <v>-5374</v>
      </c>
    </row>
    <row r="1603" spans="1:3" x14ac:dyDescent="0.25">
      <c r="A1603" s="23">
        <f t="shared" si="23"/>
        <v>43800</v>
      </c>
      <c r="B1603" s="5" t="s">
        <v>112</v>
      </c>
      <c r="C1603" s="5">
        <v>-5252</v>
      </c>
    </row>
    <row r="1604" spans="1:3" x14ac:dyDescent="0.25">
      <c r="A1604" s="23">
        <f t="shared" si="23"/>
        <v>43800</v>
      </c>
      <c r="B1604" s="5" t="s">
        <v>113</v>
      </c>
      <c r="C1604" s="5">
        <v>-5761</v>
      </c>
    </row>
    <row r="1605" spans="1:3" x14ac:dyDescent="0.25">
      <c r="A1605" s="23">
        <f t="shared" si="23"/>
        <v>43800</v>
      </c>
      <c r="B1605" s="5" t="s">
        <v>114</v>
      </c>
      <c r="C1605" s="5">
        <v>-7112</v>
      </c>
    </row>
    <row r="1606" spans="1:3" x14ac:dyDescent="0.25">
      <c r="A1606" s="23">
        <f t="shared" si="23"/>
        <v>43800</v>
      </c>
      <c r="B1606" s="5" t="s">
        <v>115</v>
      </c>
      <c r="C1606" s="5">
        <v>-7432</v>
      </c>
    </row>
    <row r="1607" spans="1:3" x14ac:dyDescent="0.25">
      <c r="A1607" s="23">
        <f t="shared" si="23"/>
        <v>43800</v>
      </c>
      <c r="B1607" s="5" t="s">
        <v>116</v>
      </c>
      <c r="C1607" s="5">
        <v>-5172</v>
      </c>
    </row>
    <row r="1608" spans="1:3" x14ac:dyDescent="0.25">
      <c r="A1608" s="23">
        <f t="shared" ref="A1608:A1671" si="24">EDATE(A1468,1)</f>
        <v>43800</v>
      </c>
      <c r="B1608" s="5" t="s">
        <v>117</v>
      </c>
      <c r="C1608" s="5">
        <v>-5533</v>
      </c>
    </row>
    <row r="1609" spans="1:3" x14ac:dyDescent="0.25">
      <c r="A1609" s="23">
        <f t="shared" si="24"/>
        <v>43800</v>
      </c>
      <c r="B1609" s="5" t="s">
        <v>118</v>
      </c>
      <c r="C1609" s="5">
        <v>-6529</v>
      </c>
    </row>
    <row r="1610" spans="1:3" x14ac:dyDescent="0.25">
      <c r="A1610" s="23">
        <f t="shared" si="24"/>
        <v>43800</v>
      </c>
      <c r="B1610" s="5" t="s">
        <v>119</v>
      </c>
      <c r="C1610" s="5">
        <v>-6465</v>
      </c>
    </row>
    <row r="1611" spans="1:3" x14ac:dyDescent="0.25">
      <c r="A1611" s="23">
        <f t="shared" si="24"/>
        <v>43800</v>
      </c>
      <c r="B1611" s="5" t="s">
        <v>120</v>
      </c>
      <c r="C1611" s="5">
        <v>-9728</v>
      </c>
    </row>
    <row r="1612" spans="1:3" x14ac:dyDescent="0.25">
      <c r="A1612" s="23">
        <f t="shared" si="24"/>
        <v>43800</v>
      </c>
      <c r="B1612" s="5" t="s">
        <v>121</v>
      </c>
      <c r="C1612" s="5">
        <v>-7802</v>
      </c>
    </row>
    <row r="1613" spans="1:3" x14ac:dyDescent="0.25">
      <c r="A1613" s="23">
        <f t="shared" si="24"/>
        <v>43800</v>
      </c>
      <c r="B1613" s="5" t="s">
        <v>122</v>
      </c>
      <c r="C1613" s="5">
        <v>-5568</v>
      </c>
    </row>
    <row r="1614" spans="1:3" x14ac:dyDescent="0.25">
      <c r="A1614" s="23">
        <f t="shared" si="24"/>
        <v>43800</v>
      </c>
      <c r="B1614" s="5" t="s">
        <v>123</v>
      </c>
      <c r="C1614" s="5">
        <v>-2966</v>
      </c>
    </row>
    <row r="1615" spans="1:3" x14ac:dyDescent="0.25">
      <c r="A1615" s="23">
        <f t="shared" si="24"/>
        <v>43800</v>
      </c>
      <c r="B1615" s="5" t="s">
        <v>124</v>
      </c>
      <c r="C1615" s="5">
        <v>-2945</v>
      </c>
    </row>
    <row r="1616" spans="1:3" x14ac:dyDescent="0.25">
      <c r="A1616" s="23">
        <f t="shared" si="24"/>
        <v>43800</v>
      </c>
      <c r="B1616" s="5" t="s">
        <v>125</v>
      </c>
      <c r="C1616" s="5">
        <v>-8295</v>
      </c>
    </row>
    <row r="1617" spans="1:3" x14ac:dyDescent="0.25">
      <c r="A1617" s="23">
        <f t="shared" si="24"/>
        <v>43800</v>
      </c>
      <c r="B1617" s="5" t="s">
        <v>126</v>
      </c>
      <c r="C1617" s="5">
        <v>-8017</v>
      </c>
    </row>
    <row r="1618" spans="1:3" x14ac:dyDescent="0.25">
      <c r="A1618" s="23">
        <f t="shared" si="24"/>
        <v>43800</v>
      </c>
      <c r="B1618" s="5" t="s">
        <v>127</v>
      </c>
      <c r="C1618" s="5">
        <v>-6774</v>
      </c>
    </row>
    <row r="1619" spans="1:3" x14ac:dyDescent="0.25">
      <c r="A1619" s="23">
        <f t="shared" si="24"/>
        <v>43800</v>
      </c>
      <c r="B1619" s="5" t="s">
        <v>128</v>
      </c>
      <c r="C1619" s="5">
        <v>-2151</v>
      </c>
    </row>
    <row r="1620" spans="1:3" x14ac:dyDescent="0.25">
      <c r="A1620" s="23">
        <f t="shared" si="24"/>
        <v>43800</v>
      </c>
      <c r="B1620" s="5" t="s">
        <v>129</v>
      </c>
      <c r="C1620" s="5">
        <v>-8357</v>
      </c>
    </row>
    <row r="1621" spans="1:3" x14ac:dyDescent="0.25">
      <c r="A1621" s="23">
        <f t="shared" si="24"/>
        <v>43800</v>
      </c>
      <c r="B1621" s="5" t="s">
        <v>130</v>
      </c>
      <c r="C1621" s="5">
        <v>-5091</v>
      </c>
    </row>
    <row r="1622" spans="1:3" x14ac:dyDescent="0.25">
      <c r="A1622" s="23">
        <f t="shared" si="24"/>
        <v>43800</v>
      </c>
      <c r="B1622" s="5" t="s">
        <v>131</v>
      </c>
      <c r="C1622" s="5">
        <v>-9136</v>
      </c>
    </row>
    <row r="1623" spans="1:3" x14ac:dyDescent="0.25">
      <c r="A1623" s="23">
        <f t="shared" si="24"/>
        <v>43800</v>
      </c>
      <c r="B1623" s="5" t="s">
        <v>132</v>
      </c>
      <c r="C1623" s="5">
        <v>-1759</v>
      </c>
    </row>
    <row r="1624" spans="1:3" x14ac:dyDescent="0.25">
      <c r="A1624" s="23">
        <f t="shared" si="24"/>
        <v>43800</v>
      </c>
      <c r="B1624" s="5" t="s">
        <v>133</v>
      </c>
      <c r="C1624" s="5">
        <v>-9899</v>
      </c>
    </row>
    <row r="1625" spans="1:3" x14ac:dyDescent="0.25">
      <c r="A1625" s="23">
        <f t="shared" si="24"/>
        <v>43800</v>
      </c>
      <c r="B1625" s="5" t="s">
        <v>134</v>
      </c>
      <c r="C1625" s="5">
        <v>-9841</v>
      </c>
    </row>
    <row r="1626" spans="1:3" x14ac:dyDescent="0.25">
      <c r="A1626" s="23">
        <f t="shared" si="24"/>
        <v>43800</v>
      </c>
      <c r="B1626" s="5" t="s">
        <v>135</v>
      </c>
      <c r="C1626" s="5">
        <v>-2684</v>
      </c>
    </row>
    <row r="1627" spans="1:3" x14ac:dyDescent="0.25">
      <c r="A1627" s="23">
        <f t="shared" si="24"/>
        <v>43800</v>
      </c>
      <c r="B1627" s="5" t="s">
        <v>136</v>
      </c>
      <c r="C1627" s="5">
        <v>-8947</v>
      </c>
    </row>
    <row r="1628" spans="1:3" x14ac:dyDescent="0.25">
      <c r="A1628" s="23">
        <f t="shared" si="24"/>
        <v>43800</v>
      </c>
      <c r="B1628" s="5" t="s">
        <v>137</v>
      </c>
      <c r="C1628" s="5">
        <v>-5163</v>
      </c>
    </row>
    <row r="1629" spans="1:3" x14ac:dyDescent="0.25">
      <c r="A1629" s="23">
        <f t="shared" si="24"/>
        <v>43800</v>
      </c>
      <c r="B1629" s="5" t="s">
        <v>138</v>
      </c>
      <c r="C1629" s="5">
        <v>-9104</v>
      </c>
    </row>
    <row r="1630" spans="1:3" x14ac:dyDescent="0.25">
      <c r="A1630" s="23">
        <f t="shared" si="24"/>
        <v>43800</v>
      </c>
      <c r="B1630" s="5" t="s">
        <v>139</v>
      </c>
      <c r="C1630" s="5">
        <v>-5770</v>
      </c>
    </row>
    <row r="1631" spans="1:3" x14ac:dyDescent="0.25">
      <c r="A1631" s="23">
        <f t="shared" si="24"/>
        <v>43800</v>
      </c>
      <c r="B1631" s="5" t="s">
        <v>140</v>
      </c>
      <c r="C1631" s="5">
        <v>-194541</v>
      </c>
    </row>
    <row r="1632" spans="1:3" x14ac:dyDescent="0.25">
      <c r="A1632" s="23">
        <f t="shared" si="24"/>
        <v>43800</v>
      </c>
      <c r="B1632" s="5" t="s">
        <v>141</v>
      </c>
      <c r="C1632" s="5">
        <v>-159913</v>
      </c>
    </row>
    <row r="1633" spans="1:3" x14ac:dyDescent="0.25">
      <c r="A1633" s="23">
        <f t="shared" si="24"/>
        <v>43800</v>
      </c>
      <c r="B1633" s="5" t="s">
        <v>142</v>
      </c>
      <c r="C1633" s="5">
        <v>-90548</v>
      </c>
    </row>
    <row r="1634" spans="1:3" x14ac:dyDescent="0.25">
      <c r="A1634" s="23">
        <f t="shared" si="24"/>
        <v>43800</v>
      </c>
      <c r="B1634" s="5" t="s">
        <v>143</v>
      </c>
      <c r="C1634" s="5">
        <v>-137477</v>
      </c>
    </row>
    <row r="1635" spans="1:3" x14ac:dyDescent="0.25">
      <c r="A1635" s="23">
        <f t="shared" si="24"/>
        <v>43800</v>
      </c>
      <c r="B1635" s="5" t="s">
        <v>144</v>
      </c>
      <c r="C1635" s="5">
        <v>-126428</v>
      </c>
    </row>
    <row r="1636" spans="1:3" x14ac:dyDescent="0.25">
      <c r="A1636" s="23">
        <f t="shared" si="24"/>
        <v>43800</v>
      </c>
      <c r="B1636" s="5" t="s">
        <v>145</v>
      </c>
      <c r="C1636" s="5">
        <v>-257865</v>
      </c>
    </row>
    <row r="1637" spans="1:3" x14ac:dyDescent="0.25">
      <c r="A1637" s="23">
        <f t="shared" si="24"/>
        <v>43800</v>
      </c>
      <c r="B1637" s="5" t="s">
        <v>146</v>
      </c>
      <c r="C1637" s="5">
        <v>-121586</v>
      </c>
    </row>
    <row r="1638" spans="1:3" x14ac:dyDescent="0.25">
      <c r="A1638" s="23">
        <f t="shared" si="24"/>
        <v>43800</v>
      </c>
      <c r="B1638" s="5" t="s">
        <v>147</v>
      </c>
      <c r="C1638" s="5">
        <v>-204079</v>
      </c>
    </row>
    <row r="1639" spans="1:3" x14ac:dyDescent="0.25">
      <c r="A1639" s="23">
        <f t="shared" si="24"/>
        <v>43800</v>
      </c>
      <c r="B1639" s="5" t="s">
        <v>148</v>
      </c>
      <c r="C1639" s="5">
        <v>-114008</v>
      </c>
    </row>
    <row r="1640" spans="1:3" x14ac:dyDescent="0.25">
      <c r="A1640" s="23">
        <f t="shared" si="24"/>
        <v>43800</v>
      </c>
      <c r="B1640" s="5" t="s">
        <v>149</v>
      </c>
      <c r="C1640" s="5">
        <v>-232272</v>
      </c>
    </row>
    <row r="1641" spans="1:3" x14ac:dyDescent="0.25">
      <c r="A1641" s="23">
        <f t="shared" si="24"/>
        <v>43800</v>
      </c>
      <c r="B1641" s="5" t="s">
        <v>150</v>
      </c>
      <c r="C1641" s="5">
        <v>-241221</v>
      </c>
    </row>
    <row r="1642" spans="1:3" x14ac:dyDescent="0.25">
      <c r="A1642" s="23">
        <f t="shared" si="24"/>
        <v>43800</v>
      </c>
      <c r="B1642" s="5" t="s">
        <v>151</v>
      </c>
      <c r="C1642" s="5">
        <v>-178868</v>
      </c>
    </row>
    <row r="1643" spans="1:3" x14ac:dyDescent="0.25">
      <c r="A1643" s="23">
        <f t="shared" si="24"/>
        <v>43800</v>
      </c>
      <c r="B1643" s="5" t="s">
        <v>152</v>
      </c>
      <c r="C1643" s="5">
        <v>-172605</v>
      </c>
    </row>
    <row r="1644" spans="1:3" x14ac:dyDescent="0.25">
      <c r="A1644" s="23">
        <f t="shared" si="24"/>
        <v>43800</v>
      </c>
      <c r="B1644" s="5" t="s">
        <v>153</v>
      </c>
      <c r="C1644" s="5">
        <v>-103253</v>
      </c>
    </row>
    <row r="1645" spans="1:3" x14ac:dyDescent="0.25">
      <c r="A1645" s="23">
        <f t="shared" si="24"/>
        <v>43800</v>
      </c>
      <c r="B1645" s="5" t="s">
        <v>154</v>
      </c>
      <c r="C1645" s="5">
        <v>-132234</v>
      </c>
    </row>
    <row r="1646" spans="1:3" x14ac:dyDescent="0.25">
      <c r="A1646" s="23">
        <f t="shared" si="24"/>
        <v>43800</v>
      </c>
      <c r="B1646" s="5" t="s">
        <v>155</v>
      </c>
      <c r="C1646" s="5">
        <v>-215084</v>
      </c>
    </row>
    <row r="1647" spans="1:3" x14ac:dyDescent="0.25">
      <c r="A1647" s="23">
        <f t="shared" si="24"/>
        <v>43800</v>
      </c>
      <c r="B1647" s="5" t="s">
        <v>156</v>
      </c>
      <c r="C1647" s="5">
        <v>-282698</v>
      </c>
    </row>
    <row r="1648" spans="1:3" x14ac:dyDescent="0.25">
      <c r="A1648" s="23">
        <f t="shared" si="24"/>
        <v>43800</v>
      </c>
      <c r="B1648" s="5" t="s">
        <v>157</v>
      </c>
      <c r="C1648" s="5">
        <v>-117234</v>
      </c>
    </row>
    <row r="1649" spans="1:3" x14ac:dyDescent="0.25">
      <c r="A1649" s="23">
        <f t="shared" si="24"/>
        <v>43800</v>
      </c>
      <c r="B1649" s="5" t="s">
        <v>158</v>
      </c>
      <c r="C1649" s="5">
        <v>-267331</v>
      </c>
    </row>
    <row r="1650" spans="1:3" x14ac:dyDescent="0.25">
      <c r="A1650" s="23">
        <f t="shared" si="24"/>
        <v>43800</v>
      </c>
      <c r="B1650" s="5" t="s">
        <v>159</v>
      </c>
      <c r="C1650" s="5">
        <v>-116248</v>
      </c>
    </row>
    <row r="1651" spans="1:3" x14ac:dyDescent="0.25">
      <c r="A1651" s="23">
        <f t="shared" si="24"/>
        <v>43800</v>
      </c>
      <c r="B1651" s="5" t="s">
        <v>160</v>
      </c>
      <c r="C1651" s="5">
        <v>-201801</v>
      </c>
    </row>
    <row r="1652" spans="1:3" x14ac:dyDescent="0.25">
      <c r="A1652" s="23">
        <f t="shared" si="24"/>
        <v>43800</v>
      </c>
      <c r="B1652" s="5" t="s">
        <v>161</v>
      </c>
      <c r="C1652" s="5">
        <v>-277253</v>
      </c>
    </row>
    <row r="1653" spans="1:3" x14ac:dyDescent="0.25">
      <c r="A1653" s="23">
        <f t="shared" si="24"/>
        <v>43800</v>
      </c>
      <c r="B1653" s="5" t="s">
        <v>162</v>
      </c>
      <c r="C1653" s="5">
        <v>-238933</v>
      </c>
    </row>
    <row r="1654" spans="1:3" x14ac:dyDescent="0.25">
      <c r="A1654" s="23">
        <f t="shared" si="24"/>
        <v>43800</v>
      </c>
      <c r="B1654" s="5" t="s">
        <v>163</v>
      </c>
      <c r="C1654" s="5">
        <v>-242643</v>
      </c>
    </row>
    <row r="1655" spans="1:3" x14ac:dyDescent="0.25">
      <c r="A1655" s="23">
        <f t="shared" si="24"/>
        <v>43800</v>
      </c>
      <c r="B1655" s="5" t="s">
        <v>164</v>
      </c>
      <c r="C1655" s="5">
        <v>-52213</v>
      </c>
    </row>
    <row r="1656" spans="1:3" x14ac:dyDescent="0.25">
      <c r="A1656" s="23">
        <f t="shared" si="24"/>
        <v>43800</v>
      </c>
      <c r="B1656" s="5" t="s">
        <v>165</v>
      </c>
      <c r="C1656" s="5">
        <v>-93584</v>
      </c>
    </row>
    <row r="1657" spans="1:3" x14ac:dyDescent="0.25">
      <c r="A1657" s="23">
        <f t="shared" si="24"/>
        <v>43800</v>
      </c>
      <c r="B1657" s="5" t="s">
        <v>166</v>
      </c>
      <c r="C1657" s="5">
        <v>-77912</v>
      </c>
    </row>
    <row r="1658" spans="1:3" x14ac:dyDescent="0.25">
      <c r="A1658" s="23">
        <f t="shared" si="24"/>
        <v>43800</v>
      </c>
      <c r="B1658" s="5" t="s">
        <v>167</v>
      </c>
      <c r="C1658" s="5">
        <v>-211780</v>
      </c>
    </row>
    <row r="1659" spans="1:3" x14ac:dyDescent="0.25">
      <c r="A1659" s="23">
        <f t="shared" si="24"/>
        <v>43800</v>
      </c>
      <c r="B1659" s="5" t="s">
        <v>168</v>
      </c>
      <c r="C1659" s="5">
        <v>-252396</v>
      </c>
    </row>
    <row r="1660" spans="1:3" x14ac:dyDescent="0.25">
      <c r="A1660" s="23">
        <f t="shared" si="24"/>
        <v>43800</v>
      </c>
      <c r="B1660" s="5" t="s">
        <v>169</v>
      </c>
      <c r="C1660" s="5">
        <v>-109146</v>
      </c>
    </row>
    <row r="1661" spans="1:3" x14ac:dyDescent="0.25">
      <c r="A1661" s="23">
        <f t="shared" si="24"/>
        <v>43800</v>
      </c>
      <c r="B1661" s="5" t="s">
        <v>170</v>
      </c>
      <c r="C1661" s="5">
        <v>-378933</v>
      </c>
    </row>
    <row r="1662" spans="1:3" x14ac:dyDescent="0.25">
      <c r="A1662" s="23">
        <f t="shared" si="24"/>
        <v>43800</v>
      </c>
      <c r="B1662" s="5" t="s">
        <v>171</v>
      </c>
      <c r="C1662" s="5">
        <v>-132393</v>
      </c>
    </row>
    <row r="1663" spans="1:3" x14ac:dyDescent="0.25">
      <c r="A1663" s="23">
        <f t="shared" si="24"/>
        <v>43800</v>
      </c>
      <c r="B1663" s="5" t="s">
        <v>172</v>
      </c>
      <c r="C1663" s="5">
        <v>-198059</v>
      </c>
    </row>
    <row r="1664" spans="1:3" x14ac:dyDescent="0.25">
      <c r="A1664" s="23">
        <f t="shared" si="24"/>
        <v>43800</v>
      </c>
      <c r="B1664" s="5" t="s">
        <v>173</v>
      </c>
      <c r="C1664" s="5">
        <v>-57593</v>
      </c>
    </row>
    <row r="1665" spans="1:3" x14ac:dyDescent="0.25">
      <c r="A1665" s="23">
        <f t="shared" si="24"/>
        <v>43800</v>
      </c>
      <c r="B1665" s="5" t="s">
        <v>174</v>
      </c>
      <c r="C1665" s="5">
        <v>-46144</v>
      </c>
    </row>
    <row r="1666" spans="1:3" x14ac:dyDescent="0.25">
      <c r="A1666" s="23">
        <f t="shared" si="24"/>
        <v>43800</v>
      </c>
      <c r="B1666" s="5" t="s">
        <v>175</v>
      </c>
      <c r="C1666" s="5">
        <v>-57283</v>
      </c>
    </row>
    <row r="1667" spans="1:3" x14ac:dyDescent="0.25">
      <c r="A1667" s="23">
        <f t="shared" si="24"/>
        <v>43800</v>
      </c>
      <c r="B1667" s="5" t="s">
        <v>176</v>
      </c>
      <c r="C1667" s="5">
        <v>-52640</v>
      </c>
    </row>
    <row r="1668" spans="1:3" x14ac:dyDescent="0.25">
      <c r="A1668" s="23">
        <f t="shared" si="24"/>
        <v>43800</v>
      </c>
      <c r="B1668" s="5" t="s">
        <v>177</v>
      </c>
      <c r="C1668" s="5">
        <v>-54741</v>
      </c>
    </row>
    <row r="1669" spans="1:3" x14ac:dyDescent="0.25">
      <c r="A1669" s="23">
        <f t="shared" si="24"/>
        <v>43800</v>
      </c>
      <c r="B1669" s="5" t="s">
        <v>178</v>
      </c>
      <c r="C1669" s="5">
        <v>-109633</v>
      </c>
    </row>
    <row r="1670" spans="1:3" x14ac:dyDescent="0.25">
      <c r="A1670" s="23">
        <f t="shared" si="24"/>
        <v>43800</v>
      </c>
      <c r="B1670" s="5" t="s">
        <v>179</v>
      </c>
      <c r="C1670" s="5">
        <v>-187314</v>
      </c>
    </row>
    <row r="1671" spans="1:3" x14ac:dyDescent="0.25">
      <c r="A1671" s="23">
        <f t="shared" si="24"/>
        <v>43800</v>
      </c>
      <c r="B1671" s="5" t="s">
        <v>180</v>
      </c>
      <c r="C1671" s="5">
        <v>-258972</v>
      </c>
    </row>
    <row r="1672" spans="1:3" x14ac:dyDescent="0.25">
      <c r="A1672" s="23">
        <f t="shared" ref="A1672:A1681" si="25">EDATE(A1532,1)</f>
        <v>43800</v>
      </c>
      <c r="B1672" s="5" t="s">
        <v>181</v>
      </c>
      <c r="C1672" s="5">
        <v>-74739</v>
      </c>
    </row>
    <row r="1673" spans="1:3" x14ac:dyDescent="0.25">
      <c r="A1673" s="23">
        <f t="shared" si="25"/>
        <v>43800</v>
      </c>
      <c r="B1673" s="5" t="s">
        <v>182</v>
      </c>
      <c r="C1673" s="5">
        <v>-71305</v>
      </c>
    </row>
    <row r="1674" spans="1:3" x14ac:dyDescent="0.25">
      <c r="A1674" s="23">
        <f t="shared" si="25"/>
        <v>43800</v>
      </c>
      <c r="B1674" s="5" t="s">
        <v>183</v>
      </c>
      <c r="C1674" s="5">
        <v>-67028</v>
      </c>
    </row>
    <row r="1675" spans="1:3" x14ac:dyDescent="0.25">
      <c r="A1675" s="23">
        <f t="shared" si="25"/>
        <v>43800</v>
      </c>
      <c r="B1675" s="5" t="s">
        <v>184</v>
      </c>
      <c r="C1675" s="5">
        <v>-63588</v>
      </c>
    </row>
    <row r="1676" spans="1:3" x14ac:dyDescent="0.25">
      <c r="A1676" s="23">
        <f t="shared" si="25"/>
        <v>43800</v>
      </c>
      <c r="B1676" s="5" t="s">
        <v>185</v>
      </c>
      <c r="C1676" s="5">
        <v>-81069</v>
      </c>
    </row>
    <row r="1677" spans="1:3" x14ac:dyDescent="0.25">
      <c r="A1677" s="23">
        <f t="shared" si="25"/>
        <v>43800</v>
      </c>
      <c r="B1677" s="5" t="s">
        <v>186</v>
      </c>
      <c r="C1677" s="5">
        <v>-107657</v>
      </c>
    </row>
    <row r="1678" spans="1:3" x14ac:dyDescent="0.25">
      <c r="A1678" s="23">
        <f t="shared" si="25"/>
        <v>43800</v>
      </c>
      <c r="B1678" s="5" t="s">
        <v>187</v>
      </c>
      <c r="C1678" s="5">
        <v>-191179</v>
      </c>
    </row>
    <row r="1679" spans="1:3" x14ac:dyDescent="0.25">
      <c r="A1679" s="23">
        <f t="shared" si="25"/>
        <v>43800</v>
      </c>
      <c r="B1679" s="5" t="s">
        <v>188</v>
      </c>
      <c r="C1679" s="5">
        <v>-193655</v>
      </c>
    </row>
    <row r="1680" spans="1:3" x14ac:dyDescent="0.25">
      <c r="A1680" s="23">
        <f t="shared" si="25"/>
        <v>43800</v>
      </c>
      <c r="B1680" s="5" t="s">
        <v>189</v>
      </c>
      <c r="C1680" s="5">
        <v>-10431</v>
      </c>
    </row>
    <row r="1681" spans="1:3" x14ac:dyDescent="0.25">
      <c r="A1681" s="23">
        <f t="shared" si="25"/>
        <v>43800</v>
      </c>
      <c r="B1681" s="5" t="s">
        <v>190</v>
      </c>
      <c r="C1681" s="5">
        <v>-24098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9998-8D0F-414B-9CE8-45A23A0970F8}">
  <dimension ref="A1:E1681"/>
  <sheetViews>
    <sheetView showGridLines="0" zoomScaleNormal="100" workbookViewId="0">
      <selection activeCell="H20" sqref="H20"/>
    </sheetView>
  </sheetViews>
  <sheetFormatPr defaultRowHeight="15" x14ac:dyDescent="0.25"/>
  <cols>
    <col min="1" max="1" width="11.42578125" style="5" customWidth="1"/>
    <col min="2" max="2" width="11" style="5" customWidth="1"/>
    <col min="3" max="3" width="18.28515625" style="5" customWidth="1"/>
    <col min="4" max="4" width="18" style="5" customWidth="1"/>
    <col min="5" max="5" width="24.42578125" style="5" customWidth="1"/>
    <col min="6" max="16384" width="9.140625" style="5"/>
  </cols>
  <sheetData>
    <row r="1" spans="1:5" x14ac:dyDescent="0.25">
      <c r="A1" s="5" t="s">
        <v>191</v>
      </c>
      <c r="B1" s="5" t="s">
        <v>6</v>
      </c>
      <c r="C1" s="5" t="s">
        <v>192</v>
      </c>
      <c r="D1" s="5" t="s">
        <v>8</v>
      </c>
      <c r="E1" s="5" t="s">
        <v>9</v>
      </c>
    </row>
    <row r="2" spans="1:5" x14ac:dyDescent="0.25">
      <c r="A2" s="23">
        <v>43466</v>
      </c>
      <c r="B2" s="5" t="s">
        <v>51</v>
      </c>
      <c r="C2" s="5">
        <v>924509</v>
      </c>
      <c r="D2" s="5" t="str">
        <f>_xlfn.XLOOKUP(fOrcado[[#This Row],[Conta]],'Plano de Contas'!A:A,'Plano de Contas'!C:C)</f>
        <v>(+) RECEITA BRUTA</v>
      </c>
      <c r="E2" s="5" t="str">
        <f>_xlfn.XLOOKUP(fOrcado[[#This Row],[Conta]],'Plano de Contas'!A:A,'Plano de Contas'!D:D)</f>
        <v>01 - Vendas de Produtos</v>
      </c>
    </row>
    <row r="3" spans="1:5" x14ac:dyDescent="0.25">
      <c r="A3" s="23">
        <v>43466</v>
      </c>
      <c r="B3" s="5" t="s">
        <v>52</v>
      </c>
      <c r="C3" s="5">
        <v>808117</v>
      </c>
      <c r="D3" s="5" t="str">
        <f>_xlfn.XLOOKUP(fOrcado[[#This Row],[Conta]],'Plano de Contas'!A:A,'Plano de Contas'!C:C)</f>
        <v>(+) RECEITA BRUTA</v>
      </c>
      <c r="E3" s="5" t="str">
        <f>_xlfn.XLOOKUP(fOrcado[[#This Row],[Conta]],'Plano de Contas'!A:A,'Plano de Contas'!D:D)</f>
        <v>01 - Vendas de Produtos</v>
      </c>
    </row>
    <row r="4" spans="1:5" x14ac:dyDescent="0.25">
      <c r="A4" s="23">
        <v>43466</v>
      </c>
      <c r="B4" s="5" t="s">
        <v>53</v>
      </c>
      <c r="C4" s="5">
        <v>380859</v>
      </c>
      <c r="D4" s="5" t="str">
        <f>_xlfn.XLOOKUP(fOrcado[[#This Row],[Conta]],'Plano de Contas'!A:A,'Plano de Contas'!C:C)</f>
        <v>(+) RECEITA BRUTA</v>
      </c>
      <c r="E4" s="5" t="str">
        <f>_xlfn.XLOOKUP(fOrcado[[#This Row],[Conta]],'Plano de Contas'!A:A,'Plano de Contas'!D:D)</f>
        <v>01 - Vendas de Produtos</v>
      </c>
    </row>
    <row r="5" spans="1:5" x14ac:dyDescent="0.25">
      <c r="A5" s="23">
        <v>43466</v>
      </c>
      <c r="B5" s="5" t="s">
        <v>54</v>
      </c>
      <c r="C5" s="5">
        <v>691242</v>
      </c>
      <c r="D5" s="5" t="str">
        <f>_xlfn.XLOOKUP(fOrcado[[#This Row],[Conta]],'Plano de Contas'!A:A,'Plano de Contas'!C:C)</f>
        <v>(+) RECEITA BRUTA</v>
      </c>
      <c r="E5" s="5" t="str">
        <f>_xlfn.XLOOKUP(fOrcado[[#This Row],[Conta]],'Plano de Contas'!A:A,'Plano de Contas'!D:D)</f>
        <v>01 - Vendas de Produtos</v>
      </c>
    </row>
    <row r="6" spans="1:5" x14ac:dyDescent="0.25">
      <c r="A6" s="23">
        <v>43466</v>
      </c>
      <c r="B6" s="5" t="s">
        <v>55</v>
      </c>
      <c r="C6" s="5">
        <v>585387</v>
      </c>
      <c r="D6" s="5" t="str">
        <f>_xlfn.XLOOKUP(fOrcado[[#This Row],[Conta]],'Plano de Contas'!A:A,'Plano de Contas'!C:C)</f>
        <v>(+) RECEITA BRUTA</v>
      </c>
      <c r="E6" s="5" t="str">
        <f>_xlfn.XLOOKUP(fOrcado[[#This Row],[Conta]],'Plano de Contas'!A:A,'Plano de Contas'!D:D)</f>
        <v>01 - Vendas de Produtos</v>
      </c>
    </row>
    <row r="7" spans="1:5" x14ac:dyDescent="0.25">
      <c r="A7" s="23">
        <v>43466</v>
      </c>
      <c r="B7" s="5" t="s">
        <v>56</v>
      </c>
      <c r="C7" s="5">
        <v>429430</v>
      </c>
      <c r="D7" s="5" t="str">
        <f>_xlfn.XLOOKUP(fOrcado[[#This Row],[Conta]],'Plano de Contas'!A:A,'Plano de Contas'!C:C)</f>
        <v>(+) RECEITA BRUTA</v>
      </c>
      <c r="E7" s="5" t="str">
        <f>_xlfn.XLOOKUP(fOrcado[[#This Row],[Conta]],'Plano de Contas'!A:A,'Plano de Contas'!D:D)</f>
        <v>01 - Vendas de Produtos</v>
      </c>
    </row>
    <row r="8" spans="1:5" x14ac:dyDescent="0.25">
      <c r="A8" s="23">
        <v>43466</v>
      </c>
      <c r="B8" s="5" t="s">
        <v>57</v>
      </c>
      <c r="C8" s="5">
        <v>403251</v>
      </c>
      <c r="D8" s="5" t="str">
        <f>_xlfn.XLOOKUP(fOrcado[[#This Row],[Conta]],'Plano de Contas'!A:A,'Plano de Contas'!C:C)</f>
        <v>(+) RECEITA BRUTA</v>
      </c>
      <c r="E8" s="5" t="str">
        <f>_xlfn.XLOOKUP(fOrcado[[#This Row],[Conta]],'Plano de Contas'!A:A,'Plano de Contas'!D:D)</f>
        <v>01 - Vendas de Produtos</v>
      </c>
    </row>
    <row r="9" spans="1:5" x14ac:dyDescent="0.25">
      <c r="A9" s="23">
        <v>43466</v>
      </c>
      <c r="B9" s="5" t="s">
        <v>58</v>
      </c>
      <c r="C9" s="5">
        <v>632394</v>
      </c>
      <c r="D9" s="5" t="str">
        <f>_xlfn.XLOOKUP(fOrcado[[#This Row],[Conta]],'Plano de Contas'!A:A,'Plano de Contas'!C:C)</f>
        <v>(+) RECEITA BRUTA</v>
      </c>
      <c r="E9" s="5" t="str">
        <f>_xlfn.XLOOKUP(fOrcado[[#This Row],[Conta]],'Plano de Contas'!A:A,'Plano de Contas'!D:D)</f>
        <v>01 - Vendas de Produtos</v>
      </c>
    </row>
    <row r="10" spans="1:5" x14ac:dyDescent="0.25">
      <c r="A10" s="23">
        <v>43466</v>
      </c>
      <c r="B10" s="5" t="s">
        <v>59</v>
      </c>
      <c r="C10" s="5">
        <v>826236</v>
      </c>
      <c r="D10" s="5" t="str">
        <f>_xlfn.XLOOKUP(fOrcado[[#This Row],[Conta]],'Plano de Contas'!A:A,'Plano de Contas'!C:C)</f>
        <v>(+) RECEITA BRUTA</v>
      </c>
      <c r="E10" s="5" t="str">
        <f>_xlfn.XLOOKUP(fOrcado[[#This Row],[Conta]],'Plano de Contas'!A:A,'Plano de Contas'!D:D)</f>
        <v>01 - Vendas de Produtos</v>
      </c>
    </row>
    <row r="11" spans="1:5" x14ac:dyDescent="0.25">
      <c r="A11" s="23">
        <v>43466</v>
      </c>
      <c r="B11" s="5" t="s">
        <v>60</v>
      </c>
      <c r="C11" s="5">
        <v>386199</v>
      </c>
      <c r="D11" s="5" t="str">
        <f>_xlfn.XLOOKUP(fOrcado[[#This Row],[Conta]],'Plano de Contas'!A:A,'Plano de Contas'!C:C)</f>
        <v>(+) RECEITA BRUTA</v>
      </c>
      <c r="E11" s="5" t="str">
        <f>_xlfn.XLOOKUP(fOrcado[[#This Row],[Conta]],'Plano de Contas'!A:A,'Plano de Contas'!D:D)</f>
        <v>01 - Vendas de Produtos</v>
      </c>
    </row>
    <row r="12" spans="1:5" x14ac:dyDescent="0.25">
      <c r="A12" s="23">
        <v>43466</v>
      </c>
      <c r="B12" s="5" t="s">
        <v>61</v>
      </c>
      <c r="C12" s="5">
        <v>878999</v>
      </c>
      <c r="D12" s="5" t="str">
        <f>_xlfn.XLOOKUP(fOrcado[[#This Row],[Conta]],'Plano de Contas'!A:A,'Plano de Contas'!C:C)</f>
        <v>(+) RECEITA BRUTA</v>
      </c>
      <c r="E12" s="5" t="str">
        <f>_xlfn.XLOOKUP(fOrcado[[#This Row],[Conta]],'Plano de Contas'!A:A,'Plano de Contas'!D:D)</f>
        <v>01 - Vendas de Produtos</v>
      </c>
    </row>
    <row r="13" spans="1:5" x14ac:dyDescent="0.25">
      <c r="A13" s="23">
        <v>43466</v>
      </c>
      <c r="B13" s="5" t="s">
        <v>62</v>
      </c>
      <c r="C13" s="5">
        <v>666733</v>
      </c>
      <c r="D13" s="5" t="str">
        <f>_xlfn.XLOOKUP(fOrcado[[#This Row],[Conta]],'Plano de Contas'!A:A,'Plano de Contas'!C:C)</f>
        <v>(+) RECEITA BRUTA</v>
      </c>
      <c r="E13" s="5" t="str">
        <f>_xlfn.XLOOKUP(fOrcado[[#This Row],[Conta]],'Plano de Contas'!A:A,'Plano de Contas'!D:D)</f>
        <v>01 - Vendas de Produtos</v>
      </c>
    </row>
    <row r="14" spans="1:5" x14ac:dyDescent="0.25">
      <c r="A14" s="23">
        <v>43466</v>
      </c>
      <c r="B14" s="5" t="s">
        <v>63</v>
      </c>
      <c r="C14" s="5">
        <v>422187</v>
      </c>
      <c r="D14" s="5" t="str">
        <f>_xlfn.XLOOKUP(fOrcado[[#This Row],[Conta]],'Plano de Contas'!A:A,'Plano de Contas'!C:C)</f>
        <v>(+) RECEITA BRUTA</v>
      </c>
      <c r="E14" s="5" t="str">
        <f>_xlfn.XLOOKUP(fOrcado[[#This Row],[Conta]],'Plano de Contas'!A:A,'Plano de Contas'!D:D)</f>
        <v>01 - Vendas de Produtos</v>
      </c>
    </row>
    <row r="15" spans="1:5" x14ac:dyDescent="0.25">
      <c r="A15" s="23">
        <v>43466</v>
      </c>
      <c r="B15" s="5" t="s">
        <v>64</v>
      </c>
      <c r="C15" s="5">
        <v>488250</v>
      </c>
      <c r="D15" s="5" t="str">
        <f>_xlfn.XLOOKUP(fOrcado[[#This Row],[Conta]],'Plano de Contas'!A:A,'Plano de Contas'!C:C)</f>
        <v>(+) RECEITA BRUTA</v>
      </c>
      <c r="E15" s="5" t="str">
        <f>_xlfn.XLOOKUP(fOrcado[[#This Row],[Conta]],'Plano de Contas'!A:A,'Plano de Contas'!D:D)</f>
        <v>01 - Vendas de Produtos</v>
      </c>
    </row>
    <row r="16" spans="1:5" x14ac:dyDescent="0.25">
      <c r="A16" s="23">
        <v>43466</v>
      </c>
      <c r="B16" s="5" t="s">
        <v>65</v>
      </c>
      <c r="C16" s="5">
        <v>788816</v>
      </c>
      <c r="D16" s="5" t="str">
        <f>_xlfn.XLOOKUP(fOrcado[[#This Row],[Conta]],'Plano de Contas'!A:A,'Plano de Contas'!C:C)</f>
        <v>(+) RECEITA BRUTA</v>
      </c>
      <c r="E16" s="5" t="str">
        <f>_xlfn.XLOOKUP(fOrcado[[#This Row],[Conta]],'Plano de Contas'!A:A,'Plano de Contas'!D:D)</f>
        <v>01 - Vendas de Produtos</v>
      </c>
    </row>
    <row r="17" spans="1:5" x14ac:dyDescent="0.25">
      <c r="A17" s="23">
        <v>43466</v>
      </c>
      <c r="B17" s="5" t="s">
        <v>66</v>
      </c>
      <c r="C17" s="5">
        <v>941936</v>
      </c>
      <c r="D17" s="5" t="str">
        <f>_xlfn.XLOOKUP(fOrcado[[#This Row],[Conta]],'Plano de Contas'!A:A,'Plano de Contas'!C:C)</f>
        <v>(+) RECEITA BRUTA</v>
      </c>
      <c r="E17" s="5" t="str">
        <f>_xlfn.XLOOKUP(fOrcado[[#This Row],[Conta]],'Plano de Contas'!A:A,'Plano de Contas'!D:D)</f>
        <v>01 - Vendas de Produtos</v>
      </c>
    </row>
    <row r="18" spans="1:5" x14ac:dyDescent="0.25">
      <c r="A18" s="23">
        <v>43466</v>
      </c>
      <c r="B18" s="5" t="s">
        <v>67</v>
      </c>
      <c r="C18" s="5">
        <v>834401</v>
      </c>
      <c r="D18" s="5" t="str">
        <f>_xlfn.XLOOKUP(fOrcado[[#This Row],[Conta]],'Plano de Contas'!A:A,'Plano de Contas'!C:C)</f>
        <v>(+) RECEITA BRUTA</v>
      </c>
      <c r="E18" s="5" t="str">
        <f>_xlfn.XLOOKUP(fOrcado[[#This Row],[Conta]],'Plano de Contas'!A:A,'Plano de Contas'!D:D)</f>
        <v>01 - Vendas de Produtos</v>
      </c>
    </row>
    <row r="19" spans="1:5" x14ac:dyDescent="0.25">
      <c r="A19" s="23">
        <v>43466</v>
      </c>
      <c r="B19" s="5" t="s">
        <v>68</v>
      </c>
      <c r="C19" s="5">
        <v>508791</v>
      </c>
      <c r="D19" s="5" t="str">
        <f>_xlfn.XLOOKUP(fOrcado[[#This Row],[Conta]],'Plano de Contas'!A:A,'Plano de Contas'!C:C)</f>
        <v>(+) RECEITA BRUTA</v>
      </c>
      <c r="E19" s="5" t="str">
        <f>_xlfn.XLOOKUP(fOrcado[[#This Row],[Conta]],'Plano de Contas'!A:A,'Plano de Contas'!D:D)</f>
        <v>01 - Vendas de Produtos</v>
      </c>
    </row>
    <row r="20" spans="1:5" x14ac:dyDescent="0.25">
      <c r="A20" s="23">
        <v>43466</v>
      </c>
      <c r="B20" s="5" t="s">
        <v>69</v>
      </c>
      <c r="C20" s="5">
        <v>818258</v>
      </c>
      <c r="D20" s="5" t="str">
        <f>_xlfn.XLOOKUP(fOrcado[[#This Row],[Conta]],'Plano de Contas'!A:A,'Plano de Contas'!C:C)</f>
        <v>(+) RECEITA BRUTA</v>
      </c>
      <c r="E20" s="5" t="str">
        <f>_xlfn.XLOOKUP(fOrcado[[#This Row],[Conta]],'Plano de Contas'!A:A,'Plano de Contas'!D:D)</f>
        <v>01 - Vendas de Produtos</v>
      </c>
    </row>
    <row r="21" spans="1:5" x14ac:dyDescent="0.25">
      <c r="A21" s="23">
        <v>43466</v>
      </c>
      <c r="B21" s="5" t="s">
        <v>70</v>
      </c>
      <c r="C21" s="5">
        <v>896885</v>
      </c>
      <c r="D21" s="5" t="str">
        <f>_xlfn.XLOOKUP(fOrcado[[#This Row],[Conta]],'Plano de Contas'!A:A,'Plano de Contas'!C:C)</f>
        <v>(+) RECEITA BRUTA</v>
      </c>
      <c r="E21" s="5" t="str">
        <f>_xlfn.XLOOKUP(fOrcado[[#This Row],[Conta]],'Plano de Contas'!A:A,'Plano de Contas'!D:D)</f>
        <v>01 - Vendas de Produtos</v>
      </c>
    </row>
    <row r="22" spans="1:5" x14ac:dyDescent="0.25">
      <c r="A22" s="23">
        <v>43466</v>
      </c>
      <c r="B22" s="5" t="s">
        <v>71</v>
      </c>
      <c r="C22" s="5">
        <v>688201</v>
      </c>
      <c r="D22" s="5" t="str">
        <f>_xlfn.XLOOKUP(fOrcado[[#This Row],[Conta]],'Plano de Contas'!A:A,'Plano de Contas'!C:C)</f>
        <v>(+) RECEITA BRUTA</v>
      </c>
      <c r="E22" s="5" t="str">
        <f>_xlfn.XLOOKUP(fOrcado[[#This Row],[Conta]],'Plano de Contas'!A:A,'Plano de Contas'!D:D)</f>
        <v>01 - Vendas de Produtos</v>
      </c>
    </row>
    <row r="23" spans="1:5" x14ac:dyDescent="0.25">
      <c r="A23" s="23">
        <v>43466</v>
      </c>
      <c r="B23" s="5" t="s">
        <v>72</v>
      </c>
      <c r="C23" s="5">
        <v>222641</v>
      </c>
      <c r="D23" s="5" t="str">
        <f>_xlfn.XLOOKUP(fOrcado[[#This Row],[Conta]],'Plano de Contas'!A:A,'Plano de Contas'!C:C)</f>
        <v>(+) RECEITA BRUTA</v>
      </c>
      <c r="E23" s="5" t="str">
        <f>_xlfn.XLOOKUP(fOrcado[[#This Row],[Conta]],'Plano de Contas'!A:A,'Plano de Contas'!D:D)</f>
        <v>01 - Vendas de Produtos</v>
      </c>
    </row>
    <row r="24" spans="1:5" x14ac:dyDescent="0.25">
      <c r="A24" s="23">
        <v>43466</v>
      </c>
      <c r="B24" s="5" t="s">
        <v>73</v>
      </c>
      <c r="C24" s="5">
        <v>293270</v>
      </c>
      <c r="D24" s="5" t="str">
        <f>_xlfn.XLOOKUP(fOrcado[[#This Row],[Conta]],'Plano de Contas'!A:A,'Plano de Contas'!C:C)</f>
        <v>(+) RECEITA BRUTA</v>
      </c>
      <c r="E24" s="5" t="str">
        <f>_xlfn.XLOOKUP(fOrcado[[#This Row],[Conta]],'Plano de Contas'!A:A,'Plano de Contas'!D:D)</f>
        <v>01 - Vendas de Produtos</v>
      </c>
    </row>
    <row r="25" spans="1:5" x14ac:dyDescent="0.25">
      <c r="A25" s="23">
        <v>43466</v>
      </c>
      <c r="B25" s="5" t="s">
        <v>74</v>
      </c>
      <c r="C25" s="5">
        <v>132652</v>
      </c>
      <c r="D25" s="5" t="str">
        <f>_xlfn.XLOOKUP(fOrcado[[#This Row],[Conta]],'Plano de Contas'!A:A,'Plano de Contas'!C:C)</f>
        <v>(+) RECEITA BRUTA</v>
      </c>
      <c r="E25" s="5" t="str">
        <f>_xlfn.XLOOKUP(fOrcado[[#This Row],[Conta]],'Plano de Contas'!A:A,'Plano de Contas'!D:D)</f>
        <v>01 - Vendas de Produtos</v>
      </c>
    </row>
    <row r="26" spans="1:5" x14ac:dyDescent="0.25">
      <c r="A26" s="23">
        <v>43466</v>
      </c>
      <c r="B26" s="5" t="s">
        <v>75</v>
      </c>
      <c r="C26" s="5">
        <v>158117</v>
      </c>
      <c r="D26" s="5" t="str">
        <f>_xlfn.XLOOKUP(fOrcado[[#This Row],[Conta]],'Plano de Contas'!A:A,'Plano de Contas'!C:C)</f>
        <v>(+) RECEITA BRUTA</v>
      </c>
      <c r="E26" s="5" t="str">
        <f>_xlfn.XLOOKUP(fOrcado[[#This Row],[Conta]],'Plano de Contas'!A:A,'Plano de Contas'!D:D)</f>
        <v>02 - Outras Receitas</v>
      </c>
    </row>
    <row r="27" spans="1:5" x14ac:dyDescent="0.25">
      <c r="A27" s="23">
        <v>43466</v>
      </c>
      <c r="B27" s="5" t="s">
        <v>76</v>
      </c>
      <c r="C27" s="5">
        <v>75114</v>
      </c>
      <c r="D27" s="5" t="str">
        <f>_xlfn.XLOOKUP(fOrcado[[#This Row],[Conta]],'Plano de Contas'!A:A,'Plano de Contas'!C:C)</f>
        <v>(+) RECEITA BRUTA</v>
      </c>
      <c r="E27" s="5" t="str">
        <f>_xlfn.XLOOKUP(fOrcado[[#This Row],[Conta]],'Plano de Contas'!A:A,'Plano de Contas'!D:D)</f>
        <v>02 - Outras Receitas</v>
      </c>
    </row>
    <row r="28" spans="1:5" x14ac:dyDescent="0.25">
      <c r="A28" s="23">
        <v>43466</v>
      </c>
      <c r="B28" s="5" t="s">
        <v>77</v>
      </c>
      <c r="C28" s="5">
        <v>50445</v>
      </c>
      <c r="D28" s="5" t="str">
        <f>_xlfn.XLOOKUP(fOrcado[[#This Row],[Conta]],'Plano de Contas'!A:A,'Plano de Contas'!C:C)</f>
        <v>(+) RECEITA BRUTA</v>
      </c>
      <c r="E28" s="5" t="str">
        <f>_xlfn.XLOOKUP(fOrcado[[#This Row],[Conta]],'Plano de Contas'!A:A,'Plano de Contas'!D:D)</f>
        <v>02 - Outras Receitas</v>
      </c>
    </row>
    <row r="29" spans="1:5" x14ac:dyDescent="0.25">
      <c r="A29" s="23">
        <v>43466</v>
      </c>
      <c r="B29" s="5" t="s">
        <v>78</v>
      </c>
      <c r="C29" s="5">
        <v>288091</v>
      </c>
      <c r="D29" s="5" t="str">
        <f>_xlfn.XLOOKUP(fOrcado[[#This Row],[Conta]],'Plano de Contas'!A:A,'Plano de Contas'!C:C)</f>
        <v>(+) RECEITA BRUTA</v>
      </c>
      <c r="E29" s="5" t="str">
        <f>_xlfn.XLOOKUP(fOrcado[[#This Row],[Conta]],'Plano de Contas'!A:A,'Plano de Contas'!D:D)</f>
        <v>02 - Outras Receitas</v>
      </c>
    </row>
    <row r="30" spans="1:5" x14ac:dyDescent="0.25">
      <c r="A30" s="23">
        <v>43466</v>
      </c>
      <c r="B30" s="5" t="s">
        <v>79</v>
      </c>
      <c r="C30" s="5">
        <v>150479</v>
      </c>
      <c r="D30" s="5" t="str">
        <f>_xlfn.XLOOKUP(fOrcado[[#This Row],[Conta]],'Plano de Contas'!A:A,'Plano de Contas'!C:C)</f>
        <v>(+) RECEITA BRUTA</v>
      </c>
      <c r="E30" s="5" t="str">
        <f>_xlfn.XLOOKUP(fOrcado[[#This Row],[Conta]],'Plano de Contas'!A:A,'Plano de Contas'!D:D)</f>
        <v>02 - Outras Receitas</v>
      </c>
    </row>
    <row r="31" spans="1:5" x14ac:dyDescent="0.25">
      <c r="A31" s="23">
        <v>43466</v>
      </c>
      <c r="B31" s="5" t="s">
        <v>80</v>
      </c>
      <c r="C31" s="5">
        <v>227263</v>
      </c>
      <c r="D31" s="5" t="str">
        <f>_xlfn.XLOOKUP(fOrcado[[#This Row],[Conta]],'Plano de Contas'!A:A,'Plano de Contas'!C:C)</f>
        <v>(+) RECEITA BRUTA</v>
      </c>
      <c r="E31" s="5" t="str">
        <f>_xlfn.XLOOKUP(fOrcado[[#This Row],[Conta]],'Plano de Contas'!A:A,'Plano de Contas'!D:D)</f>
        <v>02 - Outras Receitas</v>
      </c>
    </row>
    <row r="32" spans="1:5" x14ac:dyDescent="0.25">
      <c r="A32" s="23">
        <v>43466</v>
      </c>
      <c r="B32" s="5" t="s">
        <v>81</v>
      </c>
      <c r="C32" s="5">
        <v>204664</v>
      </c>
      <c r="D32" s="5" t="str">
        <f>_xlfn.XLOOKUP(fOrcado[[#This Row],[Conta]],'Plano de Contas'!A:A,'Plano de Contas'!C:C)</f>
        <v>(+) RECEITA BRUTA</v>
      </c>
      <c r="E32" s="5" t="str">
        <f>_xlfn.XLOOKUP(fOrcado[[#This Row],[Conta]],'Plano de Contas'!A:A,'Plano de Contas'!D:D)</f>
        <v>02 - Outras Receitas</v>
      </c>
    </row>
    <row r="33" spans="1:5" x14ac:dyDescent="0.25">
      <c r="A33" s="23">
        <v>43466</v>
      </c>
      <c r="B33" s="5" t="s">
        <v>82</v>
      </c>
      <c r="C33" s="5">
        <v>159890</v>
      </c>
      <c r="D33" s="5" t="str">
        <f>_xlfn.XLOOKUP(fOrcado[[#This Row],[Conta]],'Plano de Contas'!A:A,'Plano de Contas'!C:C)</f>
        <v>(+) RECEITA BRUTA</v>
      </c>
      <c r="E33" s="5" t="str">
        <f>_xlfn.XLOOKUP(fOrcado[[#This Row],[Conta]],'Plano de Contas'!A:A,'Plano de Contas'!D:D)</f>
        <v>02 - Outras Receitas</v>
      </c>
    </row>
    <row r="34" spans="1:5" x14ac:dyDescent="0.25">
      <c r="A34" s="23">
        <v>43466</v>
      </c>
      <c r="B34" s="5" t="s">
        <v>83</v>
      </c>
      <c r="C34" s="5">
        <v>251029</v>
      </c>
      <c r="D34" s="5" t="str">
        <f>_xlfn.XLOOKUP(fOrcado[[#This Row],[Conta]],'Plano de Contas'!A:A,'Plano de Contas'!C:C)</f>
        <v>(+) RECEITA BRUTA</v>
      </c>
      <c r="E34" s="5" t="str">
        <f>_xlfn.XLOOKUP(fOrcado[[#This Row],[Conta]],'Plano de Contas'!A:A,'Plano de Contas'!D:D)</f>
        <v>02 - Outras Receitas</v>
      </c>
    </row>
    <row r="35" spans="1:5" x14ac:dyDescent="0.25">
      <c r="A35" s="23">
        <v>43466</v>
      </c>
      <c r="B35" s="5" t="s">
        <v>84</v>
      </c>
      <c r="C35" s="5">
        <v>196894</v>
      </c>
      <c r="D35" s="5" t="str">
        <f>_xlfn.XLOOKUP(fOrcado[[#This Row],[Conta]],'Plano de Contas'!A:A,'Plano de Contas'!C:C)</f>
        <v>(+) RECEITA BRUTA</v>
      </c>
      <c r="E35" s="5" t="str">
        <f>_xlfn.XLOOKUP(fOrcado[[#This Row],[Conta]],'Plano de Contas'!A:A,'Plano de Contas'!D:D)</f>
        <v>02 - Outras Receitas</v>
      </c>
    </row>
    <row r="36" spans="1:5" x14ac:dyDescent="0.25">
      <c r="A36" s="23">
        <v>43466</v>
      </c>
      <c r="B36" s="5" t="s">
        <v>85</v>
      </c>
      <c r="C36" s="5">
        <v>182598</v>
      </c>
      <c r="D36" s="5" t="str">
        <f>_xlfn.XLOOKUP(fOrcado[[#This Row],[Conta]],'Plano de Contas'!A:A,'Plano de Contas'!C:C)</f>
        <v>(+) RECEITA BRUTA</v>
      </c>
      <c r="E36" s="5" t="str">
        <f>_xlfn.XLOOKUP(fOrcado[[#This Row],[Conta]],'Plano de Contas'!A:A,'Plano de Contas'!D:D)</f>
        <v>02 - Outras Receitas</v>
      </c>
    </row>
    <row r="37" spans="1:5" x14ac:dyDescent="0.25">
      <c r="A37" s="23">
        <v>43466</v>
      </c>
      <c r="B37" s="5" t="s">
        <v>86</v>
      </c>
      <c r="C37" s="5">
        <v>284183</v>
      </c>
      <c r="D37" s="5" t="str">
        <f>_xlfn.XLOOKUP(fOrcado[[#This Row],[Conta]],'Plano de Contas'!A:A,'Plano de Contas'!C:C)</f>
        <v>(+) RECEITA BRUTA</v>
      </c>
      <c r="E37" s="5" t="str">
        <f>_xlfn.XLOOKUP(fOrcado[[#This Row],[Conta]],'Plano de Contas'!A:A,'Plano de Contas'!D:D)</f>
        <v>02 - Outras Receitas</v>
      </c>
    </row>
    <row r="38" spans="1:5" x14ac:dyDescent="0.25">
      <c r="A38" s="23">
        <v>43466</v>
      </c>
      <c r="B38" s="5" t="s">
        <v>87</v>
      </c>
      <c r="C38" s="5">
        <v>254059</v>
      </c>
      <c r="D38" s="5" t="str">
        <f>_xlfn.XLOOKUP(fOrcado[[#This Row],[Conta]],'Plano de Contas'!A:A,'Plano de Contas'!C:C)</f>
        <v>(+) RECEITA BRUTA</v>
      </c>
      <c r="E38" s="5" t="str">
        <f>_xlfn.XLOOKUP(fOrcado[[#This Row],[Conta]],'Plano de Contas'!A:A,'Plano de Contas'!D:D)</f>
        <v>02 - Outras Receitas</v>
      </c>
    </row>
    <row r="39" spans="1:5" x14ac:dyDescent="0.25">
      <c r="A39" s="23">
        <v>43466</v>
      </c>
      <c r="B39" s="5" t="s">
        <v>88</v>
      </c>
      <c r="C39" s="5">
        <v>74285</v>
      </c>
      <c r="D39" s="5" t="str">
        <f>_xlfn.XLOOKUP(fOrcado[[#This Row],[Conta]],'Plano de Contas'!A:A,'Plano de Contas'!C:C)</f>
        <v>(+) RECEITA BRUTA</v>
      </c>
      <c r="E39" s="5" t="str">
        <f>_xlfn.XLOOKUP(fOrcado[[#This Row],[Conta]],'Plano de Contas'!A:A,'Plano de Contas'!D:D)</f>
        <v>02 - Outras Receitas</v>
      </c>
    </row>
    <row r="40" spans="1:5" x14ac:dyDescent="0.25">
      <c r="A40" s="23">
        <v>43466</v>
      </c>
      <c r="B40" s="5" t="s">
        <v>89</v>
      </c>
      <c r="C40" s="5">
        <v>139257</v>
      </c>
      <c r="D40" s="5" t="str">
        <f>_xlfn.XLOOKUP(fOrcado[[#This Row],[Conta]],'Plano de Contas'!A:A,'Plano de Contas'!C:C)</f>
        <v>(+) RECEITA BRUTA</v>
      </c>
      <c r="E40" s="5" t="str">
        <f>_xlfn.XLOOKUP(fOrcado[[#This Row],[Conta]],'Plano de Contas'!A:A,'Plano de Contas'!D:D)</f>
        <v>02 - Outras Receitas</v>
      </c>
    </row>
    <row r="41" spans="1:5" x14ac:dyDescent="0.25">
      <c r="A41" s="23">
        <v>43466</v>
      </c>
      <c r="B41" s="5" t="s">
        <v>90</v>
      </c>
      <c r="C41" s="5">
        <v>196946</v>
      </c>
      <c r="D41" s="5" t="str">
        <f>_xlfn.XLOOKUP(fOrcado[[#This Row],[Conta]],'Plano de Contas'!A:A,'Plano de Contas'!C:C)</f>
        <v>(+) RECEITA BRUTA</v>
      </c>
      <c r="E41" s="5" t="str">
        <f>_xlfn.XLOOKUP(fOrcado[[#This Row],[Conta]],'Plano de Contas'!A:A,'Plano de Contas'!D:D)</f>
        <v>02 - Outras Receitas</v>
      </c>
    </row>
    <row r="42" spans="1:5" x14ac:dyDescent="0.25">
      <c r="A42" s="23">
        <v>43466</v>
      </c>
      <c r="B42" s="5" t="s">
        <v>91</v>
      </c>
      <c r="C42" s="5">
        <v>230143</v>
      </c>
      <c r="D42" s="5" t="str">
        <f>_xlfn.XLOOKUP(fOrcado[[#This Row],[Conta]],'Plano de Contas'!A:A,'Plano de Contas'!C:C)</f>
        <v>(+) RECEITA BRUTA</v>
      </c>
      <c r="E42" s="5" t="str">
        <f>_xlfn.XLOOKUP(fOrcado[[#This Row],[Conta]],'Plano de Contas'!A:A,'Plano de Contas'!D:D)</f>
        <v>02 - Outras Receitas</v>
      </c>
    </row>
    <row r="43" spans="1:5" x14ac:dyDescent="0.25">
      <c r="A43" s="23">
        <v>43466</v>
      </c>
      <c r="B43" s="5" t="s">
        <v>92</v>
      </c>
      <c r="C43" s="5">
        <v>238779</v>
      </c>
      <c r="D43" s="5" t="str">
        <f>_xlfn.XLOOKUP(fOrcado[[#This Row],[Conta]],'Plano de Contas'!A:A,'Plano de Contas'!C:C)</f>
        <v>(+) RECEITA BRUTA</v>
      </c>
      <c r="E43" s="5" t="str">
        <f>_xlfn.XLOOKUP(fOrcado[[#This Row],[Conta]],'Plano de Contas'!A:A,'Plano de Contas'!D:D)</f>
        <v>02 - Outras Receitas</v>
      </c>
    </row>
    <row r="44" spans="1:5" x14ac:dyDescent="0.25">
      <c r="A44" s="23">
        <v>43466</v>
      </c>
      <c r="B44" s="5" t="s">
        <v>93</v>
      </c>
      <c r="C44" s="5">
        <v>90194</v>
      </c>
      <c r="D44" s="5" t="str">
        <f>_xlfn.XLOOKUP(fOrcado[[#This Row],[Conta]],'Plano de Contas'!A:A,'Plano de Contas'!C:C)</f>
        <v>(+) RECEITA BRUTA</v>
      </c>
      <c r="E44" s="5" t="str">
        <f>_xlfn.XLOOKUP(fOrcado[[#This Row],[Conta]],'Plano de Contas'!A:A,'Plano de Contas'!D:D)</f>
        <v>02 - Outras Receitas</v>
      </c>
    </row>
    <row r="45" spans="1:5" x14ac:dyDescent="0.25">
      <c r="A45" s="23">
        <v>43466</v>
      </c>
      <c r="B45" s="5" t="s">
        <v>94</v>
      </c>
      <c r="C45" s="5">
        <v>94792</v>
      </c>
      <c r="D45" s="5" t="str">
        <f>_xlfn.XLOOKUP(fOrcado[[#This Row],[Conta]],'Plano de Contas'!A:A,'Plano de Contas'!C:C)</f>
        <v>(+) RECEITA BRUTA</v>
      </c>
      <c r="E45" s="5" t="str">
        <f>_xlfn.XLOOKUP(fOrcado[[#This Row],[Conta]],'Plano de Contas'!A:A,'Plano de Contas'!D:D)</f>
        <v>02 - Outras Receitas</v>
      </c>
    </row>
    <row r="46" spans="1:5" x14ac:dyDescent="0.25">
      <c r="A46" s="23">
        <v>43466</v>
      </c>
      <c r="B46" s="5" t="s">
        <v>95</v>
      </c>
      <c r="C46" s="5">
        <v>284849</v>
      </c>
      <c r="D46" s="5" t="str">
        <f>_xlfn.XLOOKUP(fOrcado[[#This Row],[Conta]],'Plano de Contas'!A:A,'Plano de Contas'!C:C)</f>
        <v>(+) RECEITA BRUTA</v>
      </c>
      <c r="E46" s="5" t="str">
        <f>_xlfn.XLOOKUP(fOrcado[[#This Row],[Conta]],'Plano de Contas'!A:A,'Plano de Contas'!D:D)</f>
        <v>02 - Outras Receitas</v>
      </c>
    </row>
    <row r="47" spans="1:5" x14ac:dyDescent="0.25">
      <c r="A47" s="23">
        <v>43466</v>
      </c>
      <c r="B47" s="5" t="s">
        <v>96</v>
      </c>
      <c r="C47" s="5">
        <v>56085</v>
      </c>
      <c r="D47" s="5" t="str">
        <f>_xlfn.XLOOKUP(fOrcado[[#This Row],[Conta]],'Plano de Contas'!A:A,'Plano de Contas'!C:C)</f>
        <v>(+) RECEITA BRUTA</v>
      </c>
      <c r="E47" s="5" t="str">
        <f>_xlfn.XLOOKUP(fOrcado[[#This Row],[Conta]],'Plano de Contas'!A:A,'Plano de Contas'!D:D)</f>
        <v>02 - Outras Receitas</v>
      </c>
    </row>
    <row r="48" spans="1:5" x14ac:dyDescent="0.25">
      <c r="A48" s="23">
        <v>43466</v>
      </c>
      <c r="B48" s="5" t="s">
        <v>97</v>
      </c>
      <c r="C48" s="5">
        <v>145670</v>
      </c>
      <c r="D48" s="5" t="str">
        <f>_xlfn.XLOOKUP(fOrcado[[#This Row],[Conta]],'Plano de Contas'!A:A,'Plano de Contas'!C:C)</f>
        <v>(+) RECEITA BRUTA</v>
      </c>
      <c r="E48" s="5" t="str">
        <f>_xlfn.XLOOKUP(fOrcado[[#This Row],[Conta]],'Plano de Contas'!A:A,'Plano de Contas'!D:D)</f>
        <v>02 - Outras Receitas</v>
      </c>
    </row>
    <row r="49" spans="1:5" x14ac:dyDescent="0.25">
      <c r="A49" s="23">
        <v>43466</v>
      </c>
      <c r="B49" s="5" t="s">
        <v>98</v>
      </c>
      <c r="C49" s="5">
        <v>75705</v>
      </c>
      <c r="D49" s="5" t="str">
        <f>_xlfn.XLOOKUP(fOrcado[[#This Row],[Conta]],'Plano de Contas'!A:A,'Plano de Contas'!C:C)</f>
        <v>(+) RECEITA BRUTA</v>
      </c>
      <c r="E49" s="5" t="str">
        <f>_xlfn.XLOOKUP(fOrcado[[#This Row],[Conta]],'Plano de Contas'!A:A,'Plano de Contas'!D:D)</f>
        <v>02 - Outras Receitas</v>
      </c>
    </row>
    <row r="50" spans="1:5" x14ac:dyDescent="0.25">
      <c r="A50" s="23">
        <v>43466</v>
      </c>
      <c r="B50" s="5" t="s">
        <v>99</v>
      </c>
      <c r="C50" s="5">
        <v>225797</v>
      </c>
      <c r="D50" s="5" t="str">
        <f>_xlfn.XLOOKUP(fOrcado[[#This Row],[Conta]],'Plano de Contas'!A:A,'Plano de Contas'!C:C)</f>
        <v>(+) RECEITA BRUTA</v>
      </c>
      <c r="E50" s="5" t="str">
        <f>_xlfn.XLOOKUP(fOrcado[[#This Row],[Conta]],'Plano de Contas'!A:A,'Plano de Contas'!D:D)</f>
        <v>02 - Outras Receitas</v>
      </c>
    </row>
    <row r="51" spans="1:5" x14ac:dyDescent="0.25">
      <c r="A51" s="23">
        <v>43466</v>
      </c>
      <c r="B51" s="5" t="s">
        <v>100</v>
      </c>
      <c r="C51" s="5">
        <v>63192</v>
      </c>
      <c r="D51" s="5" t="str">
        <f>_xlfn.XLOOKUP(fOrcado[[#This Row],[Conta]],'Plano de Contas'!A:A,'Plano de Contas'!C:C)</f>
        <v>(+) RECEITA BRUTA</v>
      </c>
      <c r="E51" s="5" t="str">
        <f>_xlfn.XLOOKUP(fOrcado[[#This Row],[Conta]],'Plano de Contas'!A:A,'Plano de Contas'!D:D)</f>
        <v>02 - Outras Receitas</v>
      </c>
    </row>
    <row r="52" spans="1:5" x14ac:dyDescent="0.25">
      <c r="A52" s="23">
        <v>43466</v>
      </c>
      <c r="B52" s="5" t="s">
        <v>101</v>
      </c>
      <c r="C52" s="5">
        <v>204876</v>
      </c>
      <c r="D52" s="5" t="str">
        <f>_xlfn.XLOOKUP(fOrcado[[#This Row],[Conta]],'Plano de Contas'!A:A,'Plano de Contas'!C:C)</f>
        <v>(+) RECEITA BRUTA</v>
      </c>
      <c r="E52" s="5" t="str">
        <f>_xlfn.XLOOKUP(fOrcado[[#This Row],[Conta]],'Plano de Contas'!A:A,'Plano de Contas'!D:D)</f>
        <v>02 - Outras Receitas</v>
      </c>
    </row>
    <row r="53" spans="1:5" x14ac:dyDescent="0.25">
      <c r="A53" s="23">
        <v>43466</v>
      </c>
      <c r="B53" s="5" t="s">
        <v>102</v>
      </c>
      <c r="C53" s="5">
        <v>247327</v>
      </c>
      <c r="D53" s="5" t="str">
        <f>_xlfn.XLOOKUP(fOrcado[[#This Row],[Conta]],'Plano de Contas'!A:A,'Plano de Contas'!C:C)</f>
        <v>(+) RECEITA BRUTA</v>
      </c>
      <c r="E53" s="5" t="str">
        <f>_xlfn.XLOOKUP(fOrcado[[#This Row],[Conta]],'Plano de Contas'!A:A,'Plano de Contas'!D:D)</f>
        <v>02 - Outras Receitas</v>
      </c>
    </row>
    <row r="54" spans="1:5" x14ac:dyDescent="0.25">
      <c r="A54" s="23">
        <v>43466</v>
      </c>
      <c r="B54" s="5" t="s">
        <v>103</v>
      </c>
      <c r="C54" s="5">
        <v>74303</v>
      </c>
      <c r="D54" s="5" t="str">
        <f>_xlfn.XLOOKUP(fOrcado[[#This Row],[Conta]],'Plano de Contas'!A:A,'Plano de Contas'!C:C)</f>
        <v>(+) RECEITA BRUTA</v>
      </c>
      <c r="E54" s="5" t="str">
        <f>_xlfn.XLOOKUP(fOrcado[[#This Row],[Conta]],'Plano de Contas'!A:A,'Plano de Contas'!D:D)</f>
        <v>02 - Outras Receitas</v>
      </c>
    </row>
    <row r="55" spans="1:5" x14ac:dyDescent="0.25">
      <c r="A55" s="23">
        <v>43466</v>
      </c>
      <c r="B55" s="5" t="s">
        <v>104</v>
      </c>
      <c r="C55" s="5">
        <v>295521</v>
      </c>
      <c r="D55" s="5" t="str">
        <f>_xlfn.XLOOKUP(fOrcado[[#This Row],[Conta]],'Plano de Contas'!A:A,'Plano de Contas'!C:C)</f>
        <v>(+) RECEITA BRUTA</v>
      </c>
      <c r="E55" s="5" t="str">
        <f>_xlfn.XLOOKUP(fOrcado[[#This Row],[Conta]],'Plano de Contas'!A:A,'Plano de Contas'!D:D)</f>
        <v>02 - Outras Receitas</v>
      </c>
    </row>
    <row r="56" spans="1:5" x14ac:dyDescent="0.25">
      <c r="A56" s="23">
        <v>43466</v>
      </c>
      <c r="B56" s="5" t="s">
        <v>105</v>
      </c>
      <c r="C56" s="5">
        <v>250249</v>
      </c>
      <c r="D56" s="5" t="str">
        <f>_xlfn.XLOOKUP(fOrcado[[#This Row],[Conta]],'Plano de Contas'!A:A,'Plano de Contas'!C:C)</f>
        <v>(+) RECEITA BRUTA</v>
      </c>
      <c r="E56" s="5" t="str">
        <f>_xlfn.XLOOKUP(fOrcado[[#This Row],[Conta]],'Plano de Contas'!A:A,'Plano de Contas'!D:D)</f>
        <v>02 - Outras Receitas</v>
      </c>
    </row>
    <row r="57" spans="1:5" x14ac:dyDescent="0.25">
      <c r="A57" s="23">
        <v>43466</v>
      </c>
      <c r="B57" s="5" t="s">
        <v>106</v>
      </c>
      <c r="C57" s="5">
        <v>77062</v>
      </c>
      <c r="D57" s="5" t="str">
        <f>_xlfn.XLOOKUP(fOrcado[[#This Row],[Conta]],'Plano de Contas'!A:A,'Plano de Contas'!C:C)</f>
        <v>(+) RECEITA BRUTA</v>
      </c>
      <c r="E57" s="5" t="str">
        <f>_xlfn.XLOOKUP(fOrcado[[#This Row],[Conta]],'Plano de Contas'!A:A,'Plano de Contas'!D:D)</f>
        <v>02 - Outras Receitas</v>
      </c>
    </row>
    <row r="58" spans="1:5" x14ac:dyDescent="0.25">
      <c r="A58" s="23">
        <v>43466</v>
      </c>
      <c r="B58" s="5" t="s">
        <v>107</v>
      </c>
      <c r="C58" s="5">
        <v>143226</v>
      </c>
      <c r="D58" s="5" t="str">
        <f>_xlfn.XLOOKUP(fOrcado[[#This Row],[Conta]],'Plano de Contas'!A:A,'Plano de Contas'!C:C)</f>
        <v>(+) RECEITA BRUTA</v>
      </c>
      <c r="E58" s="5" t="str">
        <f>_xlfn.XLOOKUP(fOrcado[[#This Row],[Conta]],'Plano de Contas'!A:A,'Plano de Contas'!D:D)</f>
        <v>02 - Outras Receitas</v>
      </c>
    </row>
    <row r="59" spans="1:5" x14ac:dyDescent="0.25">
      <c r="A59" s="23">
        <v>43466</v>
      </c>
      <c r="B59" s="5" t="s">
        <v>108</v>
      </c>
      <c r="C59" s="5">
        <v>115877</v>
      </c>
      <c r="D59" s="5" t="str">
        <f>_xlfn.XLOOKUP(fOrcado[[#This Row],[Conta]],'Plano de Contas'!A:A,'Plano de Contas'!C:C)</f>
        <v>(+) RECEITA BRUTA</v>
      </c>
      <c r="E59" s="5" t="str">
        <f>_xlfn.XLOOKUP(fOrcado[[#This Row],[Conta]],'Plano de Contas'!A:A,'Plano de Contas'!D:D)</f>
        <v>02 - Outras Receitas</v>
      </c>
    </row>
    <row r="60" spans="1:5" x14ac:dyDescent="0.25">
      <c r="A60" s="23">
        <v>43466</v>
      </c>
      <c r="B60" s="5" t="s">
        <v>109</v>
      </c>
      <c r="C60" s="5">
        <v>196555</v>
      </c>
      <c r="D60" s="5" t="str">
        <f>_xlfn.XLOOKUP(fOrcado[[#This Row],[Conta]],'Plano de Contas'!A:A,'Plano de Contas'!C:C)</f>
        <v>(+) RECEITA BRUTA</v>
      </c>
      <c r="E60" s="5" t="str">
        <f>_xlfn.XLOOKUP(fOrcado[[#This Row],[Conta]],'Plano de Contas'!A:A,'Plano de Contas'!D:D)</f>
        <v>02 - Outras Receitas</v>
      </c>
    </row>
    <row r="61" spans="1:5" x14ac:dyDescent="0.25">
      <c r="A61" s="23">
        <v>43466</v>
      </c>
      <c r="B61" s="5" t="s">
        <v>110</v>
      </c>
      <c r="C61" s="5">
        <v>-3334</v>
      </c>
      <c r="D61" s="5" t="str">
        <f>_xlfn.XLOOKUP(fOrcado[[#This Row],[Conta]],'Plano de Contas'!A:A,'Plano de Contas'!C:C)</f>
        <v>(-) Deduções da Receita</v>
      </c>
      <c r="E61" s="5" t="str">
        <f>_xlfn.XLOOKUP(fOrcado[[#This Row],[Conta]],'Plano de Contas'!A:A,'Plano de Contas'!D:D)</f>
        <v>03 - Devoluções de Produtos</v>
      </c>
    </row>
    <row r="62" spans="1:5" x14ac:dyDescent="0.25">
      <c r="A62" s="23">
        <v>43466</v>
      </c>
      <c r="B62" s="5" t="s">
        <v>111</v>
      </c>
      <c r="C62" s="5">
        <v>-2458</v>
      </c>
      <c r="D62" s="5" t="str">
        <f>_xlfn.XLOOKUP(fOrcado[[#This Row],[Conta]],'Plano de Contas'!A:A,'Plano de Contas'!C:C)</f>
        <v>(-) Deduções da Receita</v>
      </c>
      <c r="E62" s="5" t="str">
        <f>_xlfn.XLOOKUP(fOrcado[[#This Row],[Conta]],'Plano de Contas'!A:A,'Plano de Contas'!D:D)</f>
        <v>03 - Devoluções de Produtos</v>
      </c>
    </row>
    <row r="63" spans="1:5" x14ac:dyDescent="0.25">
      <c r="A63" s="23">
        <v>43466</v>
      </c>
      <c r="B63" s="5" t="s">
        <v>112</v>
      </c>
      <c r="C63" s="5">
        <v>-9811</v>
      </c>
      <c r="D63" s="5" t="str">
        <f>_xlfn.XLOOKUP(fOrcado[[#This Row],[Conta]],'Plano de Contas'!A:A,'Plano de Contas'!C:C)</f>
        <v>(-) Deduções da Receita</v>
      </c>
      <c r="E63" s="5" t="str">
        <f>_xlfn.XLOOKUP(fOrcado[[#This Row],[Conta]],'Plano de Contas'!A:A,'Plano de Contas'!D:D)</f>
        <v>03 - Devoluções de Produtos</v>
      </c>
    </row>
    <row r="64" spans="1:5" x14ac:dyDescent="0.25">
      <c r="A64" s="23">
        <v>43466</v>
      </c>
      <c r="B64" s="5" t="s">
        <v>113</v>
      </c>
      <c r="C64" s="5">
        <v>-5031</v>
      </c>
      <c r="D64" s="5" t="str">
        <f>_xlfn.XLOOKUP(fOrcado[[#This Row],[Conta]],'Plano de Contas'!A:A,'Plano de Contas'!C:C)</f>
        <v>(-) Deduções da Receita</v>
      </c>
      <c r="E64" s="5" t="str">
        <f>_xlfn.XLOOKUP(fOrcado[[#This Row],[Conta]],'Plano de Contas'!A:A,'Plano de Contas'!D:D)</f>
        <v>03 - Devoluções de Produtos</v>
      </c>
    </row>
    <row r="65" spans="1:5" x14ac:dyDescent="0.25">
      <c r="A65" s="23">
        <v>43466</v>
      </c>
      <c r="B65" s="5" t="s">
        <v>114</v>
      </c>
      <c r="C65" s="5">
        <v>-2264</v>
      </c>
      <c r="D65" s="5" t="str">
        <f>_xlfn.XLOOKUP(fOrcado[[#This Row],[Conta]],'Plano de Contas'!A:A,'Plano de Contas'!C:C)</f>
        <v>(-) Deduções da Receita</v>
      </c>
      <c r="E65" s="5" t="str">
        <f>_xlfn.XLOOKUP(fOrcado[[#This Row],[Conta]],'Plano de Contas'!A:A,'Plano de Contas'!D:D)</f>
        <v>03 - Devoluções de Produtos</v>
      </c>
    </row>
    <row r="66" spans="1:5" x14ac:dyDescent="0.25">
      <c r="A66" s="23">
        <v>43466</v>
      </c>
      <c r="B66" s="5" t="s">
        <v>115</v>
      </c>
      <c r="C66" s="5">
        <v>-5540</v>
      </c>
      <c r="D66" s="5" t="str">
        <f>_xlfn.XLOOKUP(fOrcado[[#This Row],[Conta]],'Plano de Contas'!A:A,'Plano de Contas'!C:C)</f>
        <v>(-) Deduções da Receita</v>
      </c>
      <c r="E66" s="5" t="str">
        <f>_xlfn.XLOOKUP(fOrcado[[#This Row],[Conta]],'Plano de Contas'!A:A,'Plano de Contas'!D:D)</f>
        <v>03 - Devoluções de Produtos</v>
      </c>
    </row>
    <row r="67" spans="1:5" x14ac:dyDescent="0.25">
      <c r="A67" s="23">
        <v>43466</v>
      </c>
      <c r="B67" s="5" t="s">
        <v>116</v>
      </c>
      <c r="C67" s="5">
        <v>-3873</v>
      </c>
      <c r="D67" s="5" t="str">
        <f>_xlfn.XLOOKUP(fOrcado[[#This Row],[Conta]],'Plano de Contas'!A:A,'Plano de Contas'!C:C)</f>
        <v>(-) Deduções da Receita</v>
      </c>
      <c r="E67" s="5" t="str">
        <f>_xlfn.XLOOKUP(fOrcado[[#This Row],[Conta]],'Plano de Contas'!A:A,'Plano de Contas'!D:D)</f>
        <v>03 - Devoluções de Produtos</v>
      </c>
    </row>
    <row r="68" spans="1:5" x14ac:dyDescent="0.25">
      <c r="A68" s="23">
        <v>43466</v>
      </c>
      <c r="B68" s="5" t="s">
        <v>117</v>
      </c>
      <c r="C68" s="5">
        <v>-9159</v>
      </c>
      <c r="D68" s="5" t="str">
        <f>_xlfn.XLOOKUP(fOrcado[[#This Row],[Conta]],'Plano de Contas'!A:A,'Plano de Contas'!C:C)</f>
        <v>(-) Deduções da Receita</v>
      </c>
      <c r="E68" s="5" t="str">
        <f>_xlfn.XLOOKUP(fOrcado[[#This Row],[Conta]],'Plano de Contas'!A:A,'Plano de Contas'!D:D)</f>
        <v>03 - Devoluções de Produtos</v>
      </c>
    </row>
    <row r="69" spans="1:5" x14ac:dyDescent="0.25">
      <c r="A69" s="23">
        <v>43466</v>
      </c>
      <c r="B69" s="5" t="s">
        <v>118</v>
      </c>
      <c r="C69" s="5">
        <v>-9212</v>
      </c>
      <c r="D69" s="5" t="str">
        <f>_xlfn.XLOOKUP(fOrcado[[#This Row],[Conta]],'Plano de Contas'!A:A,'Plano de Contas'!C:C)</f>
        <v>(-) Deduções da Receita</v>
      </c>
      <c r="E69" s="5" t="str">
        <f>_xlfn.XLOOKUP(fOrcado[[#This Row],[Conta]],'Plano de Contas'!A:A,'Plano de Contas'!D:D)</f>
        <v>03 - Devoluções de Produtos</v>
      </c>
    </row>
    <row r="70" spans="1:5" x14ac:dyDescent="0.25">
      <c r="A70" s="23">
        <v>43466</v>
      </c>
      <c r="B70" s="5" t="s">
        <v>119</v>
      </c>
      <c r="C70" s="5">
        <v>-6157</v>
      </c>
      <c r="D70" s="5" t="str">
        <f>_xlfn.XLOOKUP(fOrcado[[#This Row],[Conta]],'Plano de Contas'!A:A,'Plano de Contas'!C:C)</f>
        <v>(-) Deduções da Receita</v>
      </c>
      <c r="E70" s="5" t="str">
        <f>_xlfn.XLOOKUP(fOrcado[[#This Row],[Conta]],'Plano de Contas'!A:A,'Plano de Contas'!D:D)</f>
        <v>03 - Devoluções de Produtos</v>
      </c>
    </row>
    <row r="71" spans="1:5" x14ac:dyDescent="0.25">
      <c r="A71" s="23">
        <v>43466</v>
      </c>
      <c r="B71" s="5" t="s">
        <v>120</v>
      </c>
      <c r="C71" s="5">
        <v>-4978</v>
      </c>
      <c r="D71" s="5" t="str">
        <f>_xlfn.XLOOKUP(fOrcado[[#This Row],[Conta]],'Plano de Contas'!A:A,'Plano de Contas'!C:C)</f>
        <v>(-) Deduções da Receita</v>
      </c>
      <c r="E71" s="5" t="str">
        <f>_xlfn.XLOOKUP(fOrcado[[#This Row],[Conta]],'Plano de Contas'!A:A,'Plano de Contas'!D:D)</f>
        <v>03 - Devoluções de Produtos</v>
      </c>
    </row>
    <row r="72" spans="1:5" x14ac:dyDescent="0.25">
      <c r="A72" s="23">
        <v>43466</v>
      </c>
      <c r="B72" s="5" t="s">
        <v>121</v>
      </c>
      <c r="C72" s="5">
        <v>-1141</v>
      </c>
      <c r="D72" s="5" t="str">
        <f>_xlfn.XLOOKUP(fOrcado[[#This Row],[Conta]],'Plano de Contas'!A:A,'Plano de Contas'!C:C)</f>
        <v>(-) Deduções da Receita</v>
      </c>
      <c r="E72" s="5" t="str">
        <f>_xlfn.XLOOKUP(fOrcado[[#This Row],[Conta]],'Plano de Contas'!A:A,'Plano de Contas'!D:D)</f>
        <v>03 - Devoluções de Produtos</v>
      </c>
    </row>
    <row r="73" spans="1:5" x14ac:dyDescent="0.25">
      <c r="A73" s="23">
        <v>43466</v>
      </c>
      <c r="B73" s="5" t="s">
        <v>122</v>
      </c>
      <c r="C73" s="5">
        <v>-9371</v>
      </c>
      <c r="D73" s="5" t="str">
        <f>_xlfn.XLOOKUP(fOrcado[[#This Row],[Conta]],'Plano de Contas'!A:A,'Plano de Contas'!C:C)</f>
        <v>(-) Deduções da Receita</v>
      </c>
      <c r="E73" s="5" t="str">
        <f>_xlfn.XLOOKUP(fOrcado[[#This Row],[Conta]],'Plano de Contas'!A:A,'Plano de Contas'!D:D)</f>
        <v>03 - Devoluções de Produtos</v>
      </c>
    </row>
    <row r="74" spans="1:5" x14ac:dyDescent="0.25">
      <c r="A74" s="23">
        <v>43466</v>
      </c>
      <c r="B74" s="5" t="s">
        <v>123</v>
      </c>
      <c r="C74" s="5">
        <v>-7676</v>
      </c>
      <c r="D74" s="5" t="str">
        <f>_xlfn.XLOOKUP(fOrcado[[#This Row],[Conta]],'Plano de Contas'!A:A,'Plano de Contas'!C:C)</f>
        <v>(-) Deduções da Receita</v>
      </c>
      <c r="E74" s="5" t="str">
        <f>_xlfn.XLOOKUP(fOrcado[[#This Row],[Conta]],'Plano de Contas'!A:A,'Plano de Contas'!D:D)</f>
        <v>03 - Devoluções de Produtos</v>
      </c>
    </row>
    <row r="75" spans="1:5" x14ac:dyDescent="0.25">
      <c r="A75" s="23">
        <v>43466</v>
      </c>
      <c r="B75" s="5" t="s">
        <v>124</v>
      </c>
      <c r="C75" s="5">
        <v>-8315</v>
      </c>
      <c r="D75" s="5" t="str">
        <f>_xlfn.XLOOKUP(fOrcado[[#This Row],[Conta]],'Plano de Contas'!A:A,'Plano de Contas'!C:C)</f>
        <v>(-) Deduções da Receita</v>
      </c>
      <c r="E75" s="5" t="str">
        <f>_xlfn.XLOOKUP(fOrcado[[#This Row],[Conta]],'Plano de Contas'!A:A,'Plano de Contas'!D:D)</f>
        <v>03 - Devoluções de Produtos</v>
      </c>
    </row>
    <row r="76" spans="1:5" x14ac:dyDescent="0.25">
      <c r="A76" s="23">
        <v>43466</v>
      </c>
      <c r="B76" s="5" t="s">
        <v>125</v>
      </c>
      <c r="C76" s="5">
        <v>-5463</v>
      </c>
      <c r="D76" s="5" t="str">
        <f>_xlfn.XLOOKUP(fOrcado[[#This Row],[Conta]],'Plano de Contas'!A:A,'Plano de Contas'!C:C)</f>
        <v>(-) Deduções da Receita</v>
      </c>
      <c r="E76" s="5" t="str">
        <f>_xlfn.XLOOKUP(fOrcado[[#This Row],[Conta]],'Plano de Contas'!A:A,'Plano de Contas'!D:D)</f>
        <v>03 - Devoluções de Produtos</v>
      </c>
    </row>
    <row r="77" spans="1:5" x14ac:dyDescent="0.25">
      <c r="A77" s="23">
        <v>43466</v>
      </c>
      <c r="B77" s="5" t="s">
        <v>126</v>
      </c>
      <c r="C77" s="5">
        <v>-5316</v>
      </c>
      <c r="D77" s="5" t="str">
        <f>_xlfn.XLOOKUP(fOrcado[[#This Row],[Conta]],'Plano de Contas'!A:A,'Plano de Contas'!C:C)</f>
        <v>(-) Deduções da Receita</v>
      </c>
      <c r="E77" s="5" t="str">
        <f>_xlfn.XLOOKUP(fOrcado[[#This Row],[Conta]],'Plano de Contas'!A:A,'Plano de Contas'!D:D)</f>
        <v>03 - Devoluções de Produtos</v>
      </c>
    </row>
    <row r="78" spans="1:5" x14ac:dyDescent="0.25">
      <c r="A78" s="23">
        <v>43466</v>
      </c>
      <c r="B78" s="5" t="s">
        <v>127</v>
      </c>
      <c r="C78" s="5">
        <v>-6405</v>
      </c>
      <c r="D78" s="5" t="str">
        <f>_xlfn.XLOOKUP(fOrcado[[#This Row],[Conta]],'Plano de Contas'!A:A,'Plano de Contas'!C:C)</f>
        <v>(-) Deduções da Receita</v>
      </c>
      <c r="E78" s="5" t="str">
        <f>_xlfn.XLOOKUP(fOrcado[[#This Row],[Conta]],'Plano de Contas'!A:A,'Plano de Contas'!D:D)</f>
        <v>03 - Devoluções de Produtos</v>
      </c>
    </row>
    <row r="79" spans="1:5" x14ac:dyDescent="0.25">
      <c r="A79" s="23">
        <v>43466</v>
      </c>
      <c r="B79" s="5" t="s">
        <v>128</v>
      </c>
      <c r="C79" s="5">
        <v>-7821</v>
      </c>
      <c r="D79" s="5" t="str">
        <f>_xlfn.XLOOKUP(fOrcado[[#This Row],[Conta]],'Plano de Contas'!A:A,'Plano de Contas'!C:C)</f>
        <v>(-) Deduções da Receita</v>
      </c>
      <c r="E79" s="5" t="str">
        <f>_xlfn.XLOOKUP(fOrcado[[#This Row],[Conta]],'Plano de Contas'!A:A,'Plano de Contas'!D:D)</f>
        <v>03 - Devoluções de Produtos</v>
      </c>
    </row>
    <row r="80" spans="1:5" x14ac:dyDescent="0.25">
      <c r="A80" s="23">
        <v>43466</v>
      </c>
      <c r="B80" s="5" t="s">
        <v>129</v>
      </c>
      <c r="C80" s="5">
        <v>-5510</v>
      </c>
      <c r="D80" s="5" t="str">
        <f>_xlfn.XLOOKUP(fOrcado[[#This Row],[Conta]],'Plano de Contas'!A:A,'Plano de Contas'!C:C)</f>
        <v>(-) Deduções da Receita</v>
      </c>
      <c r="E80" s="5" t="str">
        <f>_xlfn.XLOOKUP(fOrcado[[#This Row],[Conta]],'Plano de Contas'!A:A,'Plano de Contas'!D:D)</f>
        <v>03 - Devoluções de Produtos</v>
      </c>
    </row>
    <row r="81" spans="1:5" x14ac:dyDescent="0.25">
      <c r="A81" s="23">
        <v>43466</v>
      </c>
      <c r="B81" s="5" t="s">
        <v>130</v>
      </c>
      <c r="C81" s="5">
        <v>-4341</v>
      </c>
      <c r="D81" s="5" t="str">
        <f>_xlfn.XLOOKUP(fOrcado[[#This Row],[Conta]],'Plano de Contas'!A:A,'Plano de Contas'!C:C)</f>
        <v>(-) Deduções da Receita</v>
      </c>
      <c r="E81" s="5" t="str">
        <f>_xlfn.XLOOKUP(fOrcado[[#This Row],[Conta]],'Plano de Contas'!A:A,'Plano de Contas'!D:D)</f>
        <v>03 - Devoluções de Produtos</v>
      </c>
    </row>
    <row r="82" spans="1:5" x14ac:dyDescent="0.25">
      <c r="A82" s="23">
        <v>43466</v>
      </c>
      <c r="B82" s="5" t="s">
        <v>131</v>
      </c>
      <c r="C82" s="5">
        <v>-1925</v>
      </c>
      <c r="D82" s="5" t="str">
        <f>_xlfn.XLOOKUP(fOrcado[[#This Row],[Conta]],'Plano de Contas'!A:A,'Plano de Contas'!C:C)</f>
        <v>(-) Deduções da Receita</v>
      </c>
      <c r="E82" s="5" t="str">
        <f>_xlfn.XLOOKUP(fOrcado[[#This Row],[Conta]],'Plano de Contas'!A:A,'Plano de Contas'!D:D)</f>
        <v>03 - Devoluções de Produtos</v>
      </c>
    </row>
    <row r="83" spans="1:5" x14ac:dyDescent="0.25">
      <c r="A83" s="23">
        <v>43466</v>
      </c>
      <c r="B83" s="5" t="s">
        <v>132</v>
      </c>
      <c r="C83" s="5">
        <v>-4467</v>
      </c>
      <c r="D83" s="5" t="str">
        <f>_xlfn.XLOOKUP(fOrcado[[#This Row],[Conta]],'Plano de Contas'!A:A,'Plano de Contas'!C:C)</f>
        <v>(-) Deduções da Receita</v>
      </c>
      <c r="E83" s="5" t="str">
        <f>_xlfn.XLOOKUP(fOrcado[[#This Row],[Conta]],'Plano de Contas'!A:A,'Plano de Contas'!D:D)</f>
        <v>03 - Devoluções de Produtos</v>
      </c>
    </row>
    <row r="84" spans="1:5" x14ac:dyDescent="0.25">
      <c r="A84" s="23">
        <v>43466</v>
      </c>
      <c r="B84" s="5" t="s">
        <v>133</v>
      </c>
      <c r="C84" s="5">
        <v>-2122</v>
      </c>
      <c r="D84" s="5" t="str">
        <f>_xlfn.XLOOKUP(fOrcado[[#This Row],[Conta]],'Plano de Contas'!A:A,'Plano de Contas'!C:C)</f>
        <v>(-) Deduções da Receita</v>
      </c>
      <c r="E84" s="5" t="str">
        <f>_xlfn.XLOOKUP(fOrcado[[#This Row],[Conta]],'Plano de Contas'!A:A,'Plano de Contas'!D:D)</f>
        <v>03 - Devoluções de Produtos</v>
      </c>
    </row>
    <row r="85" spans="1:5" x14ac:dyDescent="0.25">
      <c r="A85" s="23">
        <v>43466</v>
      </c>
      <c r="B85" s="5" t="s">
        <v>134</v>
      </c>
      <c r="C85" s="5">
        <v>-2743</v>
      </c>
      <c r="D85" s="5" t="str">
        <f>_xlfn.XLOOKUP(fOrcado[[#This Row],[Conta]],'Plano de Contas'!A:A,'Plano de Contas'!C:C)</f>
        <v>(-) Deduções da Receita</v>
      </c>
      <c r="E85" s="5" t="str">
        <f>_xlfn.XLOOKUP(fOrcado[[#This Row],[Conta]],'Plano de Contas'!A:A,'Plano de Contas'!D:D)</f>
        <v>03 - Devoluções de Produtos</v>
      </c>
    </row>
    <row r="86" spans="1:5" x14ac:dyDescent="0.25">
      <c r="A86" s="23">
        <v>43466</v>
      </c>
      <c r="B86" s="5" t="s">
        <v>135</v>
      </c>
      <c r="C86" s="5">
        <v>-6506</v>
      </c>
      <c r="D86" s="5" t="str">
        <f>_xlfn.XLOOKUP(fOrcado[[#This Row],[Conta]],'Plano de Contas'!A:A,'Plano de Contas'!C:C)</f>
        <v>(-) Deduções da Receita</v>
      </c>
      <c r="E86" s="5" t="str">
        <f>_xlfn.XLOOKUP(fOrcado[[#This Row],[Conta]],'Plano de Contas'!A:A,'Plano de Contas'!D:D)</f>
        <v>03 - Devoluções de Produtos</v>
      </c>
    </row>
    <row r="87" spans="1:5" x14ac:dyDescent="0.25">
      <c r="A87" s="23">
        <v>43466</v>
      </c>
      <c r="B87" s="5" t="s">
        <v>136</v>
      </c>
      <c r="C87" s="5">
        <v>-7029</v>
      </c>
      <c r="D87" s="5" t="str">
        <f>_xlfn.XLOOKUP(fOrcado[[#This Row],[Conta]],'Plano de Contas'!A:A,'Plano de Contas'!C:C)</f>
        <v>(-) Deduções da Receita</v>
      </c>
      <c r="E87" s="5" t="str">
        <f>_xlfn.XLOOKUP(fOrcado[[#This Row],[Conta]],'Plano de Contas'!A:A,'Plano de Contas'!D:D)</f>
        <v>04 - Taxas de Serviço</v>
      </c>
    </row>
    <row r="88" spans="1:5" x14ac:dyDescent="0.25">
      <c r="A88" s="23">
        <v>43466</v>
      </c>
      <c r="B88" s="5" t="s">
        <v>137</v>
      </c>
      <c r="C88" s="5">
        <v>-5484</v>
      </c>
      <c r="D88" s="5" t="str">
        <f>_xlfn.XLOOKUP(fOrcado[[#This Row],[Conta]],'Plano de Contas'!A:A,'Plano de Contas'!C:C)</f>
        <v>(-) Deduções da Receita</v>
      </c>
      <c r="E88" s="5" t="str">
        <f>_xlfn.XLOOKUP(fOrcado[[#This Row],[Conta]],'Plano de Contas'!A:A,'Plano de Contas'!D:D)</f>
        <v>04 - Taxas de Serviço</v>
      </c>
    </row>
    <row r="89" spans="1:5" x14ac:dyDescent="0.25">
      <c r="A89" s="23">
        <v>43466</v>
      </c>
      <c r="B89" s="5" t="s">
        <v>138</v>
      </c>
      <c r="C89" s="5">
        <v>-6689</v>
      </c>
      <c r="D89" s="5" t="str">
        <f>_xlfn.XLOOKUP(fOrcado[[#This Row],[Conta]],'Plano de Contas'!A:A,'Plano de Contas'!C:C)</f>
        <v>(-) Deduções da Receita</v>
      </c>
      <c r="E89" s="5" t="str">
        <f>_xlfn.XLOOKUP(fOrcado[[#This Row],[Conta]],'Plano de Contas'!A:A,'Plano de Contas'!D:D)</f>
        <v>04 - Taxas de Serviço</v>
      </c>
    </row>
    <row r="90" spans="1:5" x14ac:dyDescent="0.25">
      <c r="A90" s="23">
        <v>43466</v>
      </c>
      <c r="B90" s="5" t="s">
        <v>139</v>
      </c>
      <c r="C90" s="5">
        <v>-7049</v>
      </c>
      <c r="D90" s="5" t="str">
        <f>_xlfn.XLOOKUP(fOrcado[[#This Row],[Conta]],'Plano de Contas'!A:A,'Plano de Contas'!C:C)</f>
        <v>(-) Deduções da Receita</v>
      </c>
      <c r="E90" s="5" t="str">
        <f>_xlfn.XLOOKUP(fOrcado[[#This Row],[Conta]],'Plano de Contas'!A:A,'Plano de Contas'!D:D)</f>
        <v>04 - Taxas de Serviço</v>
      </c>
    </row>
    <row r="91" spans="1:5" x14ac:dyDescent="0.25">
      <c r="A91" s="23">
        <v>43466</v>
      </c>
      <c r="B91" s="5" t="s">
        <v>140</v>
      </c>
      <c r="C91" s="5">
        <v>-90972</v>
      </c>
      <c r="D91" s="5" t="str">
        <f>_xlfn.XLOOKUP(fOrcado[[#This Row],[Conta]],'Plano de Contas'!A:A,'Plano de Contas'!C:C)</f>
        <v>(-) Custos de Vendas</v>
      </c>
      <c r="E91" s="5" t="str">
        <f>_xlfn.XLOOKUP(fOrcado[[#This Row],[Conta]],'Plano de Contas'!A:A,'Plano de Contas'!D:D)</f>
        <v>05 - Custo do Produto</v>
      </c>
    </row>
    <row r="92" spans="1:5" x14ac:dyDescent="0.25">
      <c r="A92" s="23">
        <v>43466</v>
      </c>
      <c r="B92" s="5" t="s">
        <v>141</v>
      </c>
      <c r="C92" s="5">
        <v>-127110</v>
      </c>
      <c r="D92" s="5" t="str">
        <f>_xlfn.XLOOKUP(fOrcado[[#This Row],[Conta]],'Plano de Contas'!A:A,'Plano de Contas'!C:C)</f>
        <v>(-) Custos de Vendas</v>
      </c>
      <c r="E92" s="5" t="str">
        <f>_xlfn.XLOOKUP(fOrcado[[#This Row],[Conta]],'Plano de Contas'!A:A,'Plano de Contas'!D:D)</f>
        <v>05 - Custo do Produto</v>
      </c>
    </row>
    <row r="93" spans="1:5" x14ac:dyDescent="0.25">
      <c r="A93" s="23">
        <v>43466</v>
      </c>
      <c r="B93" s="5" t="s">
        <v>142</v>
      </c>
      <c r="C93" s="5">
        <v>-245495</v>
      </c>
      <c r="D93" s="5" t="str">
        <f>_xlfn.XLOOKUP(fOrcado[[#This Row],[Conta]],'Plano de Contas'!A:A,'Plano de Contas'!C:C)</f>
        <v>(-) Custos de Vendas</v>
      </c>
      <c r="E93" s="5" t="str">
        <f>_xlfn.XLOOKUP(fOrcado[[#This Row],[Conta]],'Plano de Contas'!A:A,'Plano de Contas'!D:D)</f>
        <v>05 - Custo do Produto</v>
      </c>
    </row>
    <row r="94" spans="1:5" x14ac:dyDescent="0.25">
      <c r="A94" s="23">
        <v>43466</v>
      </c>
      <c r="B94" s="5" t="s">
        <v>143</v>
      </c>
      <c r="C94" s="5">
        <v>-186455</v>
      </c>
      <c r="D94" s="5" t="str">
        <f>_xlfn.XLOOKUP(fOrcado[[#This Row],[Conta]],'Plano de Contas'!A:A,'Plano de Contas'!C:C)</f>
        <v>(-) Custos de Vendas</v>
      </c>
      <c r="E94" s="5" t="str">
        <f>_xlfn.XLOOKUP(fOrcado[[#This Row],[Conta]],'Plano de Contas'!A:A,'Plano de Contas'!D:D)</f>
        <v>05 - Custo do Produto</v>
      </c>
    </row>
    <row r="95" spans="1:5" x14ac:dyDescent="0.25">
      <c r="A95" s="23">
        <v>43466</v>
      </c>
      <c r="B95" s="5" t="s">
        <v>144</v>
      </c>
      <c r="C95" s="5">
        <v>-190602</v>
      </c>
      <c r="D95" s="5" t="str">
        <f>_xlfn.XLOOKUP(fOrcado[[#This Row],[Conta]],'Plano de Contas'!A:A,'Plano de Contas'!C:C)</f>
        <v>(-) Custos de Vendas</v>
      </c>
      <c r="E95" s="5" t="str">
        <f>_xlfn.XLOOKUP(fOrcado[[#This Row],[Conta]],'Plano de Contas'!A:A,'Plano de Contas'!D:D)</f>
        <v>05 - Custo do Produto</v>
      </c>
    </row>
    <row r="96" spans="1:5" x14ac:dyDescent="0.25">
      <c r="A96" s="23">
        <v>43466</v>
      </c>
      <c r="B96" s="5" t="s">
        <v>145</v>
      </c>
      <c r="C96" s="5">
        <v>-242942</v>
      </c>
      <c r="D96" s="5" t="str">
        <f>_xlfn.XLOOKUP(fOrcado[[#This Row],[Conta]],'Plano de Contas'!A:A,'Plano de Contas'!C:C)</f>
        <v>(-) Custos de Vendas</v>
      </c>
      <c r="E96" s="5" t="str">
        <f>_xlfn.XLOOKUP(fOrcado[[#This Row],[Conta]],'Plano de Contas'!A:A,'Plano de Contas'!D:D)</f>
        <v>05 - Custo do Produto</v>
      </c>
    </row>
    <row r="97" spans="1:5" x14ac:dyDescent="0.25">
      <c r="A97" s="23">
        <v>43466</v>
      </c>
      <c r="B97" s="5" t="s">
        <v>146</v>
      </c>
      <c r="C97" s="5">
        <v>-277942</v>
      </c>
      <c r="D97" s="5" t="str">
        <f>_xlfn.XLOOKUP(fOrcado[[#This Row],[Conta]],'Plano de Contas'!A:A,'Plano de Contas'!C:C)</f>
        <v>(-) Custos de Vendas</v>
      </c>
      <c r="E97" s="5" t="str">
        <f>_xlfn.XLOOKUP(fOrcado[[#This Row],[Conta]],'Plano de Contas'!A:A,'Plano de Contas'!D:D)</f>
        <v>05 - Custo do Produto</v>
      </c>
    </row>
    <row r="98" spans="1:5" x14ac:dyDescent="0.25">
      <c r="A98" s="23">
        <v>43466</v>
      </c>
      <c r="B98" s="5" t="s">
        <v>147</v>
      </c>
      <c r="C98" s="5">
        <v>-111230</v>
      </c>
      <c r="D98" s="5" t="str">
        <f>_xlfn.XLOOKUP(fOrcado[[#This Row],[Conta]],'Plano de Contas'!A:A,'Plano de Contas'!C:C)</f>
        <v>(-) Custos de Vendas</v>
      </c>
      <c r="E98" s="5" t="str">
        <f>_xlfn.XLOOKUP(fOrcado[[#This Row],[Conta]],'Plano de Contas'!A:A,'Plano de Contas'!D:D)</f>
        <v>05 - Custo do Produto</v>
      </c>
    </row>
    <row r="99" spans="1:5" x14ac:dyDescent="0.25">
      <c r="A99" s="23">
        <v>43466</v>
      </c>
      <c r="B99" s="5" t="s">
        <v>148</v>
      </c>
      <c r="C99" s="5">
        <v>-245701</v>
      </c>
      <c r="D99" s="5" t="str">
        <f>_xlfn.XLOOKUP(fOrcado[[#This Row],[Conta]],'Plano de Contas'!A:A,'Plano de Contas'!C:C)</f>
        <v>(-) Custos de Vendas</v>
      </c>
      <c r="E99" s="5" t="str">
        <f>_xlfn.XLOOKUP(fOrcado[[#This Row],[Conta]],'Plano de Contas'!A:A,'Plano de Contas'!D:D)</f>
        <v>05 - Custo do Produto</v>
      </c>
    </row>
    <row r="100" spans="1:5" x14ac:dyDescent="0.25">
      <c r="A100" s="23">
        <v>43466</v>
      </c>
      <c r="B100" s="5" t="s">
        <v>149</v>
      </c>
      <c r="C100" s="5">
        <v>-79186</v>
      </c>
      <c r="D100" s="5" t="str">
        <f>_xlfn.XLOOKUP(fOrcado[[#This Row],[Conta]],'Plano de Contas'!A:A,'Plano de Contas'!C:C)</f>
        <v>(-) Custos de Vendas</v>
      </c>
      <c r="E100" s="5" t="str">
        <f>_xlfn.XLOOKUP(fOrcado[[#This Row],[Conta]],'Plano de Contas'!A:A,'Plano de Contas'!D:D)</f>
        <v>05 - Custo do Produto</v>
      </c>
    </row>
    <row r="101" spans="1:5" x14ac:dyDescent="0.25">
      <c r="A101" s="23">
        <v>43466</v>
      </c>
      <c r="B101" s="5" t="s">
        <v>150</v>
      </c>
      <c r="C101" s="5">
        <v>-220853</v>
      </c>
      <c r="D101" s="5" t="str">
        <f>_xlfn.XLOOKUP(fOrcado[[#This Row],[Conta]],'Plano de Contas'!A:A,'Plano de Contas'!C:C)</f>
        <v>(-) Custos de Vendas</v>
      </c>
      <c r="E101" s="5" t="str">
        <f>_xlfn.XLOOKUP(fOrcado[[#This Row],[Conta]],'Plano de Contas'!A:A,'Plano de Contas'!D:D)</f>
        <v>05 - Custo do Produto</v>
      </c>
    </row>
    <row r="102" spans="1:5" x14ac:dyDescent="0.25">
      <c r="A102" s="23">
        <v>43466</v>
      </c>
      <c r="B102" s="5" t="s">
        <v>151</v>
      </c>
      <c r="C102" s="5">
        <v>-244114</v>
      </c>
      <c r="D102" s="5" t="str">
        <f>_xlfn.XLOOKUP(fOrcado[[#This Row],[Conta]],'Plano de Contas'!A:A,'Plano de Contas'!C:C)</f>
        <v>(-) Custos de Vendas</v>
      </c>
      <c r="E102" s="5" t="str">
        <f>_xlfn.XLOOKUP(fOrcado[[#This Row],[Conta]],'Plano de Contas'!A:A,'Plano de Contas'!D:D)</f>
        <v>05 - Custo do Produto</v>
      </c>
    </row>
    <row r="103" spans="1:5" x14ac:dyDescent="0.25">
      <c r="A103" s="23">
        <v>43466</v>
      </c>
      <c r="B103" s="5" t="s">
        <v>152</v>
      </c>
      <c r="C103" s="5">
        <v>-132682</v>
      </c>
      <c r="D103" s="5" t="str">
        <f>_xlfn.XLOOKUP(fOrcado[[#This Row],[Conta]],'Plano de Contas'!A:A,'Plano de Contas'!C:C)</f>
        <v>(-) Custos de Vendas</v>
      </c>
      <c r="E103" s="5" t="str">
        <f>_xlfn.XLOOKUP(fOrcado[[#This Row],[Conta]],'Plano de Contas'!A:A,'Plano de Contas'!D:D)</f>
        <v>05 - Custo do Produto</v>
      </c>
    </row>
    <row r="104" spans="1:5" x14ac:dyDescent="0.25">
      <c r="A104" s="23">
        <v>43466</v>
      </c>
      <c r="B104" s="5" t="s">
        <v>153</v>
      </c>
      <c r="C104" s="5">
        <v>-286430</v>
      </c>
      <c r="D104" s="5" t="str">
        <f>_xlfn.XLOOKUP(fOrcado[[#This Row],[Conta]],'Plano de Contas'!A:A,'Plano de Contas'!C:C)</f>
        <v>(-) Custos de Vendas</v>
      </c>
      <c r="E104" s="5" t="str">
        <f>_xlfn.XLOOKUP(fOrcado[[#This Row],[Conta]],'Plano de Contas'!A:A,'Plano de Contas'!D:D)</f>
        <v>05 - Custo do Produto</v>
      </c>
    </row>
    <row r="105" spans="1:5" x14ac:dyDescent="0.25">
      <c r="A105" s="23">
        <v>43466</v>
      </c>
      <c r="B105" s="5" t="s">
        <v>154</v>
      </c>
      <c r="C105" s="5">
        <v>-234883</v>
      </c>
      <c r="D105" s="5" t="str">
        <f>_xlfn.XLOOKUP(fOrcado[[#This Row],[Conta]],'Plano de Contas'!A:A,'Plano de Contas'!C:C)</f>
        <v>(-) Custos de Vendas</v>
      </c>
      <c r="E105" s="5" t="str">
        <f>_xlfn.XLOOKUP(fOrcado[[#This Row],[Conta]],'Plano de Contas'!A:A,'Plano de Contas'!D:D)</f>
        <v>05 - Custo do Produto</v>
      </c>
    </row>
    <row r="106" spans="1:5" x14ac:dyDescent="0.25">
      <c r="A106" s="23">
        <v>43466</v>
      </c>
      <c r="B106" s="5" t="s">
        <v>155</v>
      </c>
      <c r="C106" s="5">
        <v>-127209</v>
      </c>
      <c r="D106" s="5" t="str">
        <f>_xlfn.XLOOKUP(fOrcado[[#This Row],[Conta]],'Plano de Contas'!A:A,'Plano de Contas'!C:C)</f>
        <v>(-) Custos de Vendas</v>
      </c>
      <c r="E106" s="5" t="str">
        <f>_xlfn.XLOOKUP(fOrcado[[#This Row],[Conta]],'Plano de Contas'!A:A,'Plano de Contas'!D:D)</f>
        <v>05 - Custo do Produto</v>
      </c>
    </row>
    <row r="107" spans="1:5" x14ac:dyDescent="0.25">
      <c r="A107" s="23">
        <v>43466</v>
      </c>
      <c r="B107" s="5" t="s">
        <v>156</v>
      </c>
      <c r="C107" s="5">
        <v>-127067</v>
      </c>
      <c r="D107" s="5" t="str">
        <f>_xlfn.XLOOKUP(fOrcado[[#This Row],[Conta]],'Plano de Contas'!A:A,'Plano de Contas'!C:C)</f>
        <v>(-) Custos de Vendas</v>
      </c>
      <c r="E107" s="5" t="str">
        <f>_xlfn.XLOOKUP(fOrcado[[#This Row],[Conta]],'Plano de Contas'!A:A,'Plano de Contas'!D:D)</f>
        <v>05 - Custo do Produto</v>
      </c>
    </row>
    <row r="108" spans="1:5" x14ac:dyDescent="0.25">
      <c r="A108" s="23">
        <v>43466</v>
      </c>
      <c r="B108" s="5" t="s">
        <v>157</v>
      </c>
      <c r="C108" s="5">
        <v>-191796</v>
      </c>
      <c r="D108" s="5" t="str">
        <f>_xlfn.XLOOKUP(fOrcado[[#This Row],[Conta]],'Plano de Contas'!A:A,'Plano de Contas'!C:C)</f>
        <v>(-) Custos de Vendas</v>
      </c>
      <c r="E108" s="5" t="str">
        <f>_xlfn.XLOOKUP(fOrcado[[#This Row],[Conta]],'Plano de Contas'!A:A,'Plano de Contas'!D:D)</f>
        <v>05 - Custo do Produto</v>
      </c>
    </row>
    <row r="109" spans="1:5" x14ac:dyDescent="0.25">
      <c r="A109" s="23">
        <v>43466</v>
      </c>
      <c r="B109" s="5" t="s">
        <v>158</v>
      </c>
      <c r="C109" s="5">
        <v>-234291</v>
      </c>
      <c r="D109" s="5" t="str">
        <f>_xlfn.XLOOKUP(fOrcado[[#This Row],[Conta]],'Plano de Contas'!A:A,'Plano de Contas'!C:C)</f>
        <v>(-) Custos de Vendas</v>
      </c>
      <c r="E109" s="5" t="str">
        <f>_xlfn.XLOOKUP(fOrcado[[#This Row],[Conta]],'Plano de Contas'!A:A,'Plano de Contas'!D:D)</f>
        <v>05 - Custo do Produto</v>
      </c>
    </row>
    <row r="110" spans="1:5" x14ac:dyDescent="0.25">
      <c r="A110" s="23">
        <v>43466</v>
      </c>
      <c r="B110" s="5" t="s">
        <v>159</v>
      </c>
      <c r="C110" s="5">
        <v>-212642</v>
      </c>
      <c r="D110" s="5" t="str">
        <f>_xlfn.XLOOKUP(fOrcado[[#This Row],[Conta]],'Plano de Contas'!A:A,'Plano de Contas'!C:C)</f>
        <v>(-) Custos de Vendas</v>
      </c>
      <c r="E110" s="5" t="str">
        <f>_xlfn.XLOOKUP(fOrcado[[#This Row],[Conta]],'Plano de Contas'!A:A,'Plano de Contas'!D:D)</f>
        <v>05 - Custo do Produto</v>
      </c>
    </row>
    <row r="111" spans="1:5" x14ac:dyDescent="0.25">
      <c r="A111" s="23">
        <v>43466</v>
      </c>
      <c r="B111" s="5" t="s">
        <v>160</v>
      </c>
      <c r="C111" s="5">
        <v>-182346</v>
      </c>
      <c r="D111" s="5" t="str">
        <f>_xlfn.XLOOKUP(fOrcado[[#This Row],[Conta]],'Plano de Contas'!A:A,'Plano de Contas'!C:C)</f>
        <v>(-) Custos de Vendas</v>
      </c>
      <c r="E111" s="5" t="str">
        <f>_xlfn.XLOOKUP(fOrcado[[#This Row],[Conta]],'Plano de Contas'!A:A,'Plano de Contas'!D:D)</f>
        <v>05 - Custo do Produto</v>
      </c>
    </row>
    <row r="112" spans="1:5" x14ac:dyDescent="0.25">
      <c r="A112" s="23">
        <v>43466</v>
      </c>
      <c r="B112" s="5" t="s">
        <v>161</v>
      </c>
      <c r="C112" s="5">
        <v>-103677</v>
      </c>
      <c r="D112" s="5" t="str">
        <f>_xlfn.XLOOKUP(fOrcado[[#This Row],[Conta]],'Plano de Contas'!A:A,'Plano de Contas'!C:C)</f>
        <v>(-) Custos de Vendas</v>
      </c>
      <c r="E112" s="5" t="str">
        <f>_xlfn.XLOOKUP(fOrcado[[#This Row],[Conta]],'Plano de Contas'!A:A,'Plano de Contas'!D:D)</f>
        <v>05 - Custo do Produto</v>
      </c>
    </row>
    <row r="113" spans="1:5" x14ac:dyDescent="0.25">
      <c r="A113" s="23">
        <v>43466</v>
      </c>
      <c r="B113" s="5" t="s">
        <v>162</v>
      </c>
      <c r="C113" s="5">
        <v>-170130</v>
      </c>
      <c r="D113" s="5" t="str">
        <f>_xlfn.XLOOKUP(fOrcado[[#This Row],[Conta]],'Plano de Contas'!A:A,'Plano de Contas'!C:C)</f>
        <v>(-) Custos de Vendas</v>
      </c>
      <c r="E113" s="5" t="str">
        <f>_xlfn.XLOOKUP(fOrcado[[#This Row],[Conta]],'Plano de Contas'!A:A,'Plano de Contas'!D:D)</f>
        <v>05 - Custo do Produto</v>
      </c>
    </row>
    <row r="114" spans="1:5" x14ac:dyDescent="0.25">
      <c r="A114" s="23">
        <v>43466</v>
      </c>
      <c r="B114" s="5" t="s">
        <v>163</v>
      </c>
      <c r="C114" s="5">
        <v>-179172</v>
      </c>
      <c r="D114" s="5" t="str">
        <f>_xlfn.XLOOKUP(fOrcado[[#This Row],[Conta]],'Plano de Contas'!A:A,'Plano de Contas'!C:C)</f>
        <v>(-) Custos de Vendas</v>
      </c>
      <c r="E114" s="5" t="str">
        <f>_xlfn.XLOOKUP(fOrcado[[#This Row],[Conta]],'Plano de Contas'!A:A,'Plano de Contas'!D:D)</f>
        <v>05 - Custo do Produto</v>
      </c>
    </row>
    <row r="115" spans="1:5" x14ac:dyDescent="0.25">
      <c r="A115" s="23">
        <v>43466</v>
      </c>
      <c r="B115" s="5" t="s">
        <v>164</v>
      </c>
      <c r="C115" s="5">
        <v>-96375</v>
      </c>
      <c r="D115" s="5" t="str">
        <f>_xlfn.XLOOKUP(fOrcado[[#This Row],[Conta]],'Plano de Contas'!A:A,'Plano de Contas'!C:C)</f>
        <v>(-) Custos de Vendas</v>
      </c>
      <c r="E115" s="5" t="str">
        <f>_xlfn.XLOOKUP(fOrcado[[#This Row],[Conta]],'Plano de Contas'!A:A,'Plano de Contas'!D:D)</f>
        <v>06 - Outros Custos</v>
      </c>
    </row>
    <row r="116" spans="1:5" x14ac:dyDescent="0.25">
      <c r="A116" s="23">
        <v>43466</v>
      </c>
      <c r="B116" s="5" t="s">
        <v>165</v>
      </c>
      <c r="C116" s="5">
        <v>-67073</v>
      </c>
      <c r="D116" s="5" t="str">
        <f>_xlfn.XLOOKUP(fOrcado[[#This Row],[Conta]],'Plano de Contas'!A:A,'Plano de Contas'!C:C)</f>
        <v>(-) Custos de Vendas</v>
      </c>
      <c r="E116" s="5" t="str">
        <f>_xlfn.XLOOKUP(fOrcado[[#This Row],[Conta]],'Plano de Contas'!A:A,'Plano de Contas'!D:D)</f>
        <v>06 - Outros Custos</v>
      </c>
    </row>
    <row r="117" spans="1:5" x14ac:dyDescent="0.25">
      <c r="A117" s="23">
        <v>43466</v>
      </c>
      <c r="B117" s="5" t="s">
        <v>166</v>
      </c>
      <c r="C117" s="5">
        <v>-98436</v>
      </c>
      <c r="D117" s="5" t="str">
        <f>_xlfn.XLOOKUP(fOrcado[[#This Row],[Conta]],'Plano de Contas'!A:A,'Plano de Contas'!C:C)</f>
        <v>(-) Custos de Vendas</v>
      </c>
      <c r="E117" s="5" t="str">
        <f>_xlfn.XLOOKUP(fOrcado[[#This Row],[Conta]],'Plano de Contas'!A:A,'Plano de Contas'!D:D)</f>
        <v>06 - Outros Custos</v>
      </c>
    </row>
    <row r="118" spans="1:5" x14ac:dyDescent="0.25">
      <c r="A118" s="23">
        <v>43466</v>
      </c>
      <c r="B118" s="5" t="s">
        <v>167</v>
      </c>
      <c r="C118" s="5">
        <v>-312710</v>
      </c>
      <c r="D118" s="5" t="str">
        <f>_xlfn.XLOOKUP(fOrcado[[#This Row],[Conta]],'Plano de Contas'!A:A,'Plano de Contas'!C:C)</f>
        <v>(-) Despesas Gerais</v>
      </c>
      <c r="E118" s="5" t="str">
        <f>_xlfn.XLOOKUP(fOrcado[[#This Row],[Conta]],'Plano de Contas'!A:A,'Plano de Contas'!D:D)</f>
        <v>07 - Despesas Administrativas</v>
      </c>
    </row>
    <row r="119" spans="1:5" x14ac:dyDescent="0.25">
      <c r="A119" s="23">
        <v>43466</v>
      </c>
      <c r="B119" s="5" t="s">
        <v>168</v>
      </c>
      <c r="C119" s="5">
        <v>-151577</v>
      </c>
      <c r="D119" s="5" t="str">
        <f>_xlfn.XLOOKUP(fOrcado[[#This Row],[Conta]],'Plano de Contas'!A:A,'Plano de Contas'!C:C)</f>
        <v>(-) Despesas Gerais</v>
      </c>
      <c r="E119" s="5" t="str">
        <f>_xlfn.XLOOKUP(fOrcado[[#This Row],[Conta]],'Plano de Contas'!A:A,'Plano de Contas'!D:D)</f>
        <v>07 - Despesas Administrativas</v>
      </c>
    </row>
    <row r="120" spans="1:5" x14ac:dyDescent="0.25">
      <c r="A120" s="23">
        <v>43466</v>
      </c>
      <c r="B120" s="5" t="s">
        <v>169</v>
      </c>
      <c r="C120" s="5">
        <v>-171885</v>
      </c>
      <c r="D120" s="5" t="str">
        <f>_xlfn.XLOOKUP(fOrcado[[#This Row],[Conta]],'Plano de Contas'!A:A,'Plano de Contas'!C:C)</f>
        <v>(-) Despesas Gerais</v>
      </c>
      <c r="E120" s="5" t="str">
        <f>_xlfn.XLOOKUP(fOrcado[[#This Row],[Conta]],'Plano de Contas'!A:A,'Plano de Contas'!D:D)</f>
        <v>07 - Despesas Administrativas</v>
      </c>
    </row>
    <row r="121" spans="1:5" x14ac:dyDescent="0.25">
      <c r="A121" s="23">
        <v>43466</v>
      </c>
      <c r="B121" s="5" t="s">
        <v>170</v>
      </c>
      <c r="C121" s="5">
        <v>-301372</v>
      </c>
      <c r="D121" s="5" t="str">
        <f>_xlfn.XLOOKUP(fOrcado[[#This Row],[Conta]],'Plano de Contas'!A:A,'Plano de Contas'!C:C)</f>
        <v>(-) Despesas Gerais</v>
      </c>
      <c r="E121" s="5" t="str">
        <f>_xlfn.XLOOKUP(fOrcado[[#This Row],[Conta]],'Plano de Contas'!A:A,'Plano de Contas'!D:D)</f>
        <v>07 - Despesas Administrativas</v>
      </c>
    </row>
    <row r="122" spans="1:5" x14ac:dyDescent="0.25">
      <c r="A122" s="23">
        <v>43466</v>
      </c>
      <c r="B122" s="5" t="s">
        <v>171</v>
      </c>
      <c r="C122" s="5">
        <v>-244109</v>
      </c>
      <c r="D122" s="5" t="str">
        <f>_xlfn.XLOOKUP(fOrcado[[#This Row],[Conta]],'Plano de Contas'!A:A,'Plano de Contas'!C:C)</f>
        <v>(-) Despesas Gerais</v>
      </c>
      <c r="E122" s="5" t="str">
        <f>_xlfn.XLOOKUP(fOrcado[[#This Row],[Conta]],'Plano de Contas'!A:A,'Plano de Contas'!D:D)</f>
        <v>07 - Despesas Administrativas</v>
      </c>
    </row>
    <row r="123" spans="1:5" x14ac:dyDescent="0.25">
      <c r="A123" s="23">
        <v>43466</v>
      </c>
      <c r="B123" s="5" t="s">
        <v>172</v>
      </c>
      <c r="C123" s="5">
        <v>-224598</v>
      </c>
      <c r="D123" s="5" t="str">
        <f>_xlfn.XLOOKUP(fOrcado[[#This Row],[Conta]],'Plano de Contas'!A:A,'Plano de Contas'!C:C)</f>
        <v>(-) Despesas Gerais</v>
      </c>
      <c r="E123" s="5" t="str">
        <f>_xlfn.XLOOKUP(fOrcado[[#This Row],[Conta]],'Plano de Contas'!A:A,'Plano de Contas'!D:D)</f>
        <v>07 - Despesas Administrativas</v>
      </c>
    </row>
    <row r="124" spans="1:5" x14ac:dyDescent="0.25">
      <c r="A124" s="23">
        <v>43466</v>
      </c>
      <c r="B124" s="5" t="s">
        <v>173</v>
      </c>
      <c r="C124" s="5">
        <v>-50976</v>
      </c>
      <c r="D124" s="5" t="str">
        <f>_xlfn.XLOOKUP(fOrcado[[#This Row],[Conta]],'Plano de Contas'!A:A,'Plano de Contas'!C:C)</f>
        <v>(-) Despesas Gerais</v>
      </c>
      <c r="E124" s="5" t="str">
        <f>_xlfn.XLOOKUP(fOrcado[[#This Row],[Conta]],'Plano de Contas'!A:A,'Plano de Contas'!D:D)</f>
        <v>08 - Despesas Financeiras</v>
      </c>
    </row>
    <row r="125" spans="1:5" x14ac:dyDescent="0.25">
      <c r="A125" s="23">
        <v>43466</v>
      </c>
      <c r="B125" s="5" t="s">
        <v>174</v>
      </c>
      <c r="C125" s="5">
        <v>-54881</v>
      </c>
      <c r="D125" s="5" t="str">
        <f>_xlfn.XLOOKUP(fOrcado[[#This Row],[Conta]],'Plano de Contas'!A:A,'Plano de Contas'!C:C)</f>
        <v>(-) Despesas Gerais</v>
      </c>
      <c r="E125" s="5" t="str">
        <f>_xlfn.XLOOKUP(fOrcado[[#This Row],[Conta]],'Plano de Contas'!A:A,'Plano de Contas'!D:D)</f>
        <v>08 - Despesas Financeiras</v>
      </c>
    </row>
    <row r="126" spans="1:5" x14ac:dyDescent="0.25">
      <c r="A126" s="23">
        <v>43466</v>
      </c>
      <c r="B126" s="5" t="s">
        <v>175</v>
      </c>
      <c r="C126" s="5">
        <v>-42609</v>
      </c>
      <c r="D126" s="5" t="str">
        <f>_xlfn.XLOOKUP(fOrcado[[#This Row],[Conta]],'Plano de Contas'!A:A,'Plano de Contas'!C:C)</f>
        <v>(-) Despesas Gerais</v>
      </c>
      <c r="E126" s="5" t="str">
        <f>_xlfn.XLOOKUP(fOrcado[[#This Row],[Conta]],'Plano de Contas'!A:A,'Plano de Contas'!D:D)</f>
        <v>08 - Despesas Financeiras</v>
      </c>
    </row>
    <row r="127" spans="1:5" x14ac:dyDescent="0.25">
      <c r="A127" s="23">
        <v>43466</v>
      </c>
      <c r="B127" s="5" t="s">
        <v>176</v>
      </c>
      <c r="C127" s="5">
        <v>-44950</v>
      </c>
      <c r="D127" s="5" t="str">
        <f>_xlfn.XLOOKUP(fOrcado[[#This Row],[Conta]],'Plano de Contas'!A:A,'Plano de Contas'!C:C)</f>
        <v>(-) Despesas Gerais</v>
      </c>
      <c r="E127" s="5" t="str">
        <f>_xlfn.XLOOKUP(fOrcado[[#This Row],[Conta]],'Plano de Contas'!A:A,'Plano de Contas'!D:D)</f>
        <v>08 - Despesas Financeiras</v>
      </c>
    </row>
    <row r="128" spans="1:5" x14ac:dyDescent="0.25">
      <c r="A128" s="23">
        <v>43466</v>
      </c>
      <c r="B128" s="5" t="s">
        <v>177</v>
      </c>
      <c r="C128" s="5">
        <v>-57778</v>
      </c>
      <c r="D128" s="5" t="str">
        <f>_xlfn.XLOOKUP(fOrcado[[#This Row],[Conta]],'Plano de Contas'!A:A,'Plano de Contas'!C:C)</f>
        <v>(-) Despesas Gerais</v>
      </c>
      <c r="E128" s="5" t="str">
        <f>_xlfn.XLOOKUP(fOrcado[[#This Row],[Conta]],'Plano de Contas'!A:A,'Plano de Contas'!D:D)</f>
        <v>08 - Despesas Financeiras</v>
      </c>
    </row>
    <row r="129" spans="1:5" x14ac:dyDescent="0.25">
      <c r="A129" s="23">
        <v>43466</v>
      </c>
      <c r="B129" s="5" t="s">
        <v>178</v>
      </c>
      <c r="C129" s="5">
        <v>-168875</v>
      </c>
      <c r="D129" s="5" t="str">
        <f>_xlfn.XLOOKUP(fOrcado[[#This Row],[Conta]],'Plano de Contas'!A:A,'Plano de Contas'!C:C)</f>
        <v>(-) Despesas Gerais</v>
      </c>
      <c r="E129" s="5" t="str">
        <f>_xlfn.XLOOKUP(fOrcado[[#This Row],[Conta]],'Plano de Contas'!A:A,'Plano de Contas'!D:D)</f>
        <v>09 - Tecnologia da Informação</v>
      </c>
    </row>
    <row r="130" spans="1:5" x14ac:dyDescent="0.25">
      <c r="A130" s="23">
        <v>43466</v>
      </c>
      <c r="B130" s="5" t="s">
        <v>179</v>
      </c>
      <c r="C130" s="5">
        <v>-188927</v>
      </c>
      <c r="D130" s="5" t="str">
        <f>_xlfn.XLOOKUP(fOrcado[[#This Row],[Conta]],'Plano de Contas'!A:A,'Plano de Contas'!C:C)</f>
        <v>(-) Despesas Gerais</v>
      </c>
      <c r="E130" s="5" t="str">
        <f>_xlfn.XLOOKUP(fOrcado[[#This Row],[Conta]],'Plano de Contas'!A:A,'Plano de Contas'!D:D)</f>
        <v>09 - Tecnologia da Informação</v>
      </c>
    </row>
    <row r="131" spans="1:5" x14ac:dyDescent="0.25">
      <c r="A131" s="23">
        <v>43466</v>
      </c>
      <c r="B131" s="5" t="s">
        <v>180</v>
      </c>
      <c r="C131" s="5">
        <v>-265340</v>
      </c>
      <c r="D131" s="5" t="str">
        <f>_xlfn.XLOOKUP(fOrcado[[#This Row],[Conta]],'Plano de Contas'!A:A,'Plano de Contas'!C:C)</f>
        <v>(-) Despesas Gerais</v>
      </c>
      <c r="E131" s="5" t="str">
        <f>_xlfn.XLOOKUP(fOrcado[[#This Row],[Conta]],'Plano de Contas'!A:A,'Plano de Contas'!D:D)</f>
        <v>09 - Tecnologia da Informação</v>
      </c>
    </row>
    <row r="132" spans="1:5" x14ac:dyDescent="0.25">
      <c r="A132" s="23">
        <v>43466</v>
      </c>
      <c r="B132" s="5" t="s">
        <v>181</v>
      </c>
      <c r="C132" s="5">
        <v>-82747</v>
      </c>
      <c r="D132" s="5" t="str">
        <f>_xlfn.XLOOKUP(fOrcado[[#This Row],[Conta]],'Plano de Contas'!A:A,'Plano de Contas'!C:C)</f>
        <v>(-) Despesas Gerais</v>
      </c>
      <c r="E132" s="5" t="str">
        <f>_xlfn.XLOOKUP(fOrcado[[#This Row],[Conta]],'Plano de Contas'!A:A,'Plano de Contas'!D:D)</f>
        <v>10 - Recursos Humanos</v>
      </c>
    </row>
    <row r="133" spans="1:5" x14ac:dyDescent="0.25">
      <c r="A133" s="23">
        <v>43466</v>
      </c>
      <c r="B133" s="5" t="s">
        <v>182</v>
      </c>
      <c r="C133" s="5">
        <v>-66694</v>
      </c>
      <c r="D133" s="5" t="str">
        <f>_xlfn.XLOOKUP(fOrcado[[#This Row],[Conta]],'Plano de Contas'!A:A,'Plano de Contas'!C:C)</f>
        <v>(-) Despesas Gerais</v>
      </c>
      <c r="E133" s="5" t="str">
        <f>_xlfn.XLOOKUP(fOrcado[[#This Row],[Conta]],'Plano de Contas'!A:A,'Plano de Contas'!D:D)</f>
        <v>10 - Recursos Humanos</v>
      </c>
    </row>
    <row r="134" spans="1:5" x14ac:dyDescent="0.25">
      <c r="A134" s="23">
        <v>43466</v>
      </c>
      <c r="B134" s="5" t="s">
        <v>183</v>
      </c>
      <c r="C134" s="5">
        <v>-80058</v>
      </c>
      <c r="D134" s="5" t="str">
        <f>_xlfn.XLOOKUP(fOrcado[[#This Row],[Conta]],'Plano de Contas'!A:A,'Plano de Contas'!C:C)</f>
        <v>(-) Despesas Gerais</v>
      </c>
      <c r="E134" s="5" t="str">
        <f>_xlfn.XLOOKUP(fOrcado[[#This Row],[Conta]],'Plano de Contas'!A:A,'Plano de Contas'!D:D)</f>
        <v>10 - Recursos Humanos</v>
      </c>
    </row>
    <row r="135" spans="1:5" x14ac:dyDescent="0.25">
      <c r="A135" s="23">
        <v>43466</v>
      </c>
      <c r="B135" s="5" t="s">
        <v>184</v>
      </c>
      <c r="C135" s="5">
        <v>-81562</v>
      </c>
      <c r="D135" s="5" t="str">
        <f>_xlfn.XLOOKUP(fOrcado[[#This Row],[Conta]],'Plano de Contas'!A:A,'Plano de Contas'!C:C)</f>
        <v>(-) Despesas Gerais</v>
      </c>
      <c r="E135" s="5" t="str">
        <f>_xlfn.XLOOKUP(fOrcado[[#This Row],[Conta]],'Plano de Contas'!A:A,'Plano de Contas'!D:D)</f>
        <v>10 - Recursos Humanos</v>
      </c>
    </row>
    <row r="136" spans="1:5" x14ac:dyDescent="0.25">
      <c r="A136" s="23">
        <v>43466</v>
      </c>
      <c r="B136" s="5" t="s">
        <v>185</v>
      </c>
      <c r="C136" s="5">
        <v>-119562</v>
      </c>
      <c r="D136" s="5" t="str">
        <f>_xlfn.XLOOKUP(fOrcado[[#This Row],[Conta]],'Plano de Contas'!A:A,'Plano de Contas'!C:C)</f>
        <v>(-) Despesas Gerais</v>
      </c>
      <c r="E136" s="5" t="str">
        <f>_xlfn.XLOOKUP(fOrcado[[#This Row],[Conta]],'Plano de Contas'!A:A,'Plano de Contas'!D:D)</f>
        <v>11 - Relacionamento com Cliente</v>
      </c>
    </row>
    <row r="137" spans="1:5" x14ac:dyDescent="0.25">
      <c r="A137" s="23">
        <v>43466</v>
      </c>
      <c r="B137" s="5" t="s">
        <v>186</v>
      </c>
      <c r="C137" s="5">
        <v>-89295</v>
      </c>
      <c r="D137" s="5" t="str">
        <f>_xlfn.XLOOKUP(fOrcado[[#This Row],[Conta]],'Plano de Contas'!A:A,'Plano de Contas'!C:C)</f>
        <v>(-) Despesas Gerais</v>
      </c>
      <c r="E137" s="5" t="str">
        <f>_xlfn.XLOOKUP(fOrcado[[#This Row],[Conta]],'Plano de Contas'!A:A,'Plano de Contas'!D:D)</f>
        <v>11 - Relacionamento com Cliente</v>
      </c>
    </row>
    <row r="138" spans="1:5" x14ac:dyDescent="0.25">
      <c r="A138" s="23">
        <v>43466</v>
      </c>
      <c r="B138" s="5" t="s">
        <v>187</v>
      </c>
      <c r="C138" s="5">
        <v>-171245</v>
      </c>
      <c r="D138" s="5" t="str">
        <f>_xlfn.XLOOKUP(fOrcado[[#This Row],[Conta]],'Plano de Contas'!A:A,'Plano de Contas'!C:C)</f>
        <v>(-) Despesas Gerais</v>
      </c>
      <c r="E138" s="5" t="str">
        <f>_xlfn.XLOOKUP(fOrcado[[#This Row],[Conta]],'Plano de Contas'!A:A,'Plano de Contas'!D:D)</f>
        <v>12 - Marketing e Divulgação</v>
      </c>
    </row>
    <row r="139" spans="1:5" x14ac:dyDescent="0.25">
      <c r="A139" s="23">
        <v>43466</v>
      </c>
      <c r="B139" s="5" t="s">
        <v>188</v>
      </c>
      <c r="C139" s="5">
        <v>-143147</v>
      </c>
      <c r="D139" s="5" t="str">
        <f>_xlfn.XLOOKUP(fOrcado[[#This Row],[Conta]],'Plano de Contas'!A:A,'Plano de Contas'!C:C)</f>
        <v>(-) Despesas Gerais</v>
      </c>
      <c r="E139" s="5" t="str">
        <f>_xlfn.XLOOKUP(fOrcado[[#This Row],[Conta]],'Plano de Contas'!A:A,'Plano de Contas'!D:D)</f>
        <v>12 - Marketing e Divulgação</v>
      </c>
    </row>
    <row r="140" spans="1:5" x14ac:dyDescent="0.25">
      <c r="A140" s="23">
        <v>43466</v>
      </c>
      <c r="B140" s="5" t="s">
        <v>189</v>
      </c>
      <c r="C140" s="5">
        <v>-8074</v>
      </c>
      <c r="D140" s="5" t="str">
        <f>_xlfn.XLOOKUP(fOrcado[[#This Row],[Conta]],'Plano de Contas'!A:A,'Plano de Contas'!C:C)</f>
        <v>(-) Impostos</v>
      </c>
      <c r="E140" s="5" t="str">
        <f>_xlfn.XLOOKUP(fOrcado[[#This Row],[Conta]],'Plano de Contas'!A:A,'Plano de Contas'!D:D)</f>
        <v>13 - Impostos Estaduais</v>
      </c>
    </row>
    <row r="141" spans="1:5" x14ac:dyDescent="0.25">
      <c r="A141" s="23">
        <v>43466</v>
      </c>
      <c r="B141" s="5" t="s">
        <v>190</v>
      </c>
      <c r="C141" s="5">
        <v>-27846</v>
      </c>
      <c r="D141" s="5" t="str">
        <f>_xlfn.XLOOKUP(fOrcado[[#This Row],[Conta]],'Plano de Contas'!A:A,'Plano de Contas'!C:C)</f>
        <v>(-) Impostos</v>
      </c>
      <c r="E141" s="5" t="str">
        <f>_xlfn.XLOOKUP(fOrcado[[#This Row],[Conta]],'Plano de Contas'!A:A,'Plano de Contas'!D:D)</f>
        <v>14 - Impostos Federais</v>
      </c>
    </row>
    <row r="142" spans="1:5" x14ac:dyDescent="0.25">
      <c r="A142" s="23">
        <f>EDATE(A2,1)</f>
        <v>43497</v>
      </c>
      <c r="B142" s="5" t="s">
        <v>51</v>
      </c>
      <c r="C142" s="5">
        <v>980743</v>
      </c>
      <c r="D142" s="5" t="str">
        <f>_xlfn.XLOOKUP(fOrcado[[#This Row],[Conta]],'Plano de Contas'!A:A,'Plano de Contas'!C:C)</f>
        <v>(+) RECEITA BRUTA</v>
      </c>
      <c r="E142" s="5" t="str">
        <f>_xlfn.XLOOKUP(fOrcado[[#This Row],[Conta]],'Plano de Contas'!A:A,'Plano de Contas'!D:D)</f>
        <v>01 - Vendas de Produtos</v>
      </c>
    </row>
    <row r="143" spans="1:5" x14ac:dyDescent="0.25">
      <c r="A143" s="23">
        <f t="shared" ref="A143:A206" si="0">EDATE(A3,1)</f>
        <v>43497</v>
      </c>
      <c r="B143" s="5" t="s">
        <v>52</v>
      </c>
      <c r="C143" s="5">
        <v>224468</v>
      </c>
      <c r="D143" s="5" t="str">
        <f>_xlfn.XLOOKUP(fOrcado[[#This Row],[Conta]],'Plano de Contas'!A:A,'Plano de Contas'!C:C)</f>
        <v>(+) RECEITA BRUTA</v>
      </c>
      <c r="E143" s="5" t="str">
        <f>_xlfn.XLOOKUP(fOrcado[[#This Row],[Conta]],'Plano de Contas'!A:A,'Plano de Contas'!D:D)</f>
        <v>01 - Vendas de Produtos</v>
      </c>
    </row>
    <row r="144" spans="1:5" x14ac:dyDescent="0.25">
      <c r="A144" s="23">
        <f t="shared" si="0"/>
        <v>43497</v>
      </c>
      <c r="B144" s="5" t="s">
        <v>53</v>
      </c>
      <c r="C144" s="5">
        <v>207530</v>
      </c>
      <c r="D144" s="5" t="str">
        <f>_xlfn.XLOOKUP(fOrcado[[#This Row],[Conta]],'Plano de Contas'!A:A,'Plano de Contas'!C:C)</f>
        <v>(+) RECEITA BRUTA</v>
      </c>
      <c r="E144" s="5" t="str">
        <f>_xlfn.XLOOKUP(fOrcado[[#This Row],[Conta]],'Plano de Contas'!A:A,'Plano de Contas'!D:D)</f>
        <v>01 - Vendas de Produtos</v>
      </c>
    </row>
    <row r="145" spans="1:5" x14ac:dyDescent="0.25">
      <c r="A145" s="23">
        <f t="shared" si="0"/>
        <v>43497</v>
      </c>
      <c r="B145" s="5" t="s">
        <v>54</v>
      </c>
      <c r="C145" s="5">
        <v>481795</v>
      </c>
      <c r="D145" s="5" t="str">
        <f>_xlfn.XLOOKUP(fOrcado[[#This Row],[Conta]],'Plano de Contas'!A:A,'Plano de Contas'!C:C)</f>
        <v>(+) RECEITA BRUTA</v>
      </c>
      <c r="E145" s="5" t="str">
        <f>_xlfn.XLOOKUP(fOrcado[[#This Row],[Conta]],'Plano de Contas'!A:A,'Plano de Contas'!D:D)</f>
        <v>01 - Vendas de Produtos</v>
      </c>
    </row>
    <row r="146" spans="1:5" x14ac:dyDescent="0.25">
      <c r="A146" s="23">
        <f t="shared" si="0"/>
        <v>43497</v>
      </c>
      <c r="B146" s="5" t="s">
        <v>55</v>
      </c>
      <c r="C146" s="5">
        <v>887669</v>
      </c>
      <c r="D146" s="5" t="str">
        <f>_xlfn.XLOOKUP(fOrcado[[#This Row],[Conta]],'Plano de Contas'!A:A,'Plano de Contas'!C:C)</f>
        <v>(+) RECEITA BRUTA</v>
      </c>
      <c r="E146" s="5" t="str">
        <f>_xlfn.XLOOKUP(fOrcado[[#This Row],[Conta]],'Plano de Contas'!A:A,'Plano de Contas'!D:D)</f>
        <v>01 - Vendas de Produtos</v>
      </c>
    </row>
    <row r="147" spans="1:5" x14ac:dyDescent="0.25">
      <c r="A147" s="23">
        <f t="shared" si="0"/>
        <v>43497</v>
      </c>
      <c r="B147" s="5" t="s">
        <v>56</v>
      </c>
      <c r="C147" s="5">
        <v>989570</v>
      </c>
      <c r="D147" s="5" t="str">
        <f>_xlfn.XLOOKUP(fOrcado[[#This Row],[Conta]],'Plano de Contas'!A:A,'Plano de Contas'!C:C)</f>
        <v>(+) RECEITA BRUTA</v>
      </c>
      <c r="E147" s="5" t="str">
        <f>_xlfn.XLOOKUP(fOrcado[[#This Row],[Conta]],'Plano de Contas'!A:A,'Plano de Contas'!D:D)</f>
        <v>01 - Vendas de Produtos</v>
      </c>
    </row>
    <row r="148" spans="1:5" x14ac:dyDescent="0.25">
      <c r="A148" s="23">
        <f t="shared" si="0"/>
        <v>43497</v>
      </c>
      <c r="B148" s="5" t="s">
        <v>57</v>
      </c>
      <c r="C148" s="5">
        <v>944968</v>
      </c>
      <c r="D148" s="5" t="str">
        <f>_xlfn.XLOOKUP(fOrcado[[#This Row],[Conta]],'Plano de Contas'!A:A,'Plano de Contas'!C:C)</f>
        <v>(+) RECEITA BRUTA</v>
      </c>
      <c r="E148" s="5" t="str">
        <f>_xlfn.XLOOKUP(fOrcado[[#This Row],[Conta]],'Plano de Contas'!A:A,'Plano de Contas'!D:D)</f>
        <v>01 - Vendas de Produtos</v>
      </c>
    </row>
    <row r="149" spans="1:5" x14ac:dyDescent="0.25">
      <c r="A149" s="23">
        <f t="shared" si="0"/>
        <v>43497</v>
      </c>
      <c r="B149" s="5" t="s">
        <v>58</v>
      </c>
      <c r="C149" s="5">
        <v>909395</v>
      </c>
      <c r="D149" s="5" t="str">
        <f>_xlfn.XLOOKUP(fOrcado[[#This Row],[Conta]],'Plano de Contas'!A:A,'Plano de Contas'!C:C)</f>
        <v>(+) RECEITA BRUTA</v>
      </c>
      <c r="E149" s="5" t="str">
        <f>_xlfn.XLOOKUP(fOrcado[[#This Row],[Conta]],'Plano de Contas'!A:A,'Plano de Contas'!D:D)</f>
        <v>01 - Vendas de Produtos</v>
      </c>
    </row>
    <row r="150" spans="1:5" x14ac:dyDescent="0.25">
      <c r="A150" s="23">
        <f t="shared" si="0"/>
        <v>43497</v>
      </c>
      <c r="B150" s="5" t="s">
        <v>59</v>
      </c>
      <c r="C150" s="5">
        <v>772824</v>
      </c>
      <c r="D150" s="5" t="str">
        <f>_xlfn.XLOOKUP(fOrcado[[#This Row],[Conta]],'Plano de Contas'!A:A,'Plano de Contas'!C:C)</f>
        <v>(+) RECEITA BRUTA</v>
      </c>
      <c r="E150" s="5" t="str">
        <f>_xlfn.XLOOKUP(fOrcado[[#This Row],[Conta]],'Plano de Contas'!A:A,'Plano de Contas'!D:D)</f>
        <v>01 - Vendas de Produtos</v>
      </c>
    </row>
    <row r="151" spans="1:5" x14ac:dyDescent="0.25">
      <c r="A151" s="23">
        <f t="shared" si="0"/>
        <v>43497</v>
      </c>
      <c r="B151" s="5" t="s">
        <v>60</v>
      </c>
      <c r="C151" s="5">
        <v>303480</v>
      </c>
      <c r="D151" s="5" t="str">
        <f>_xlfn.XLOOKUP(fOrcado[[#This Row],[Conta]],'Plano de Contas'!A:A,'Plano de Contas'!C:C)</f>
        <v>(+) RECEITA BRUTA</v>
      </c>
      <c r="E151" s="5" t="str">
        <f>_xlfn.XLOOKUP(fOrcado[[#This Row],[Conta]],'Plano de Contas'!A:A,'Plano de Contas'!D:D)</f>
        <v>01 - Vendas de Produtos</v>
      </c>
    </row>
    <row r="152" spans="1:5" x14ac:dyDescent="0.25">
      <c r="A152" s="23">
        <f t="shared" si="0"/>
        <v>43497</v>
      </c>
      <c r="B152" s="5" t="s">
        <v>61</v>
      </c>
      <c r="C152" s="5">
        <v>921437</v>
      </c>
      <c r="D152" s="5" t="str">
        <f>_xlfn.XLOOKUP(fOrcado[[#This Row],[Conta]],'Plano de Contas'!A:A,'Plano de Contas'!C:C)</f>
        <v>(+) RECEITA BRUTA</v>
      </c>
      <c r="E152" s="5" t="str">
        <f>_xlfn.XLOOKUP(fOrcado[[#This Row],[Conta]],'Plano de Contas'!A:A,'Plano de Contas'!D:D)</f>
        <v>01 - Vendas de Produtos</v>
      </c>
    </row>
    <row r="153" spans="1:5" x14ac:dyDescent="0.25">
      <c r="A153" s="23">
        <f t="shared" si="0"/>
        <v>43497</v>
      </c>
      <c r="B153" s="5" t="s">
        <v>62</v>
      </c>
      <c r="C153" s="5">
        <v>413068</v>
      </c>
      <c r="D153" s="5" t="str">
        <f>_xlfn.XLOOKUP(fOrcado[[#This Row],[Conta]],'Plano de Contas'!A:A,'Plano de Contas'!C:C)</f>
        <v>(+) RECEITA BRUTA</v>
      </c>
      <c r="E153" s="5" t="str">
        <f>_xlfn.XLOOKUP(fOrcado[[#This Row],[Conta]],'Plano de Contas'!A:A,'Plano de Contas'!D:D)</f>
        <v>01 - Vendas de Produtos</v>
      </c>
    </row>
    <row r="154" spans="1:5" x14ac:dyDescent="0.25">
      <c r="A154" s="23">
        <f t="shared" si="0"/>
        <v>43497</v>
      </c>
      <c r="B154" s="5" t="s">
        <v>63</v>
      </c>
      <c r="C154" s="5">
        <v>420600</v>
      </c>
      <c r="D154" s="5" t="str">
        <f>_xlfn.XLOOKUP(fOrcado[[#This Row],[Conta]],'Plano de Contas'!A:A,'Plano de Contas'!C:C)</f>
        <v>(+) RECEITA BRUTA</v>
      </c>
      <c r="E154" s="5" t="str">
        <f>_xlfn.XLOOKUP(fOrcado[[#This Row],[Conta]],'Plano de Contas'!A:A,'Plano de Contas'!D:D)</f>
        <v>01 - Vendas de Produtos</v>
      </c>
    </row>
    <row r="155" spans="1:5" x14ac:dyDescent="0.25">
      <c r="A155" s="23">
        <f t="shared" si="0"/>
        <v>43497</v>
      </c>
      <c r="B155" s="5" t="s">
        <v>64</v>
      </c>
      <c r="C155" s="5">
        <v>797404</v>
      </c>
      <c r="D155" s="5" t="str">
        <f>_xlfn.XLOOKUP(fOrcado[[#This Row],[Conta]],'Plano de Contas'!A:A,'Plano de Contas'!C:C)</f>
        <v>(+) RECEITA BRUTA</v>
      </c>
      <c r="E155" s="5" t="str">
        <f>_xlfn.XLOOKUP(fOrcado[[#This Row],[Conta]],'Plano de Contas'!A:A,'Plano de Contas'!D:D)</f>
        <v>01 - Vendas de Produtos</v>
      </c>
    </row>
    <row r="156" spans="1:5" x14ac:dyDescent="0.25">
      <c r="A156" s="23">
        <f t="shared" si="0"/>
        <v>43497</v>
      </c>
      <c r="B156" s="5" t="s">
        <v>65</v>
      </c>
      <c r="C156" s="5">
        <v>662156</v>
      </c>
      <c r="D156" s="5" t="str">
        <f>_xlfn.XLOOKUP(fOrcado[[#This Row],[Conta]],'Plano de Contas'!A:A,'Plano de Contas'!C:C)</f>
        <v>(+) RECEITA BRUTA</v>
      </c>
      <c r="E156" s="5" t="str">
        <f>_xlfn.XLOOKUP(fOrcado[[#This Row],[Conta]],'Plano de Contas'!A:A,'Plano de Contas'!D:D)</f>
        <v>01 - Vendas de Produtos</v>
      </c>
    </row>
    <row r="157" spans="1:5" x14ac:dyDescent="0.25">
      <c r="A157" s="23">
        <f t="shared" si="0"/>
        <v>43497</v>
      </c>
      <c r="B157" s="5" t="s">
        <v>66</v>
      </c>
      <c r="C157" s="5">
        <v>349416</v>
      </c>
      <c r="D157" s="5" t="str">
        <f>_xlfn.XLOOKUP(fOrcado[[#This Row],[Conta]],'Plano de Contas'!A:A,'Plano de Contas'!C:C)</f>
        <v>(+) RECEITA BRUTA</v>
      </c>
      <c r="E157" s="5" t="str">
        <f>_xlfn.XLOOKUP(fOrcado[[#This Row],[Conta]],'Plano de Contas'!A:A,'Plano de Contas'!D:D)</f>
        <v>01 - Vendas de Produtos</v>
      </c>
    </row>
    <row r="158" spans="1:5" x14ac:dyDescent="0.25">
      <c r="A158" s="23">
        <f t="shared" si="0"/>
        <v>43497</v>
      </c>
      <c r="B158" s="5" t="s">
        <v>67</v>
      </c>
      <c r="C158" s="5">
        <v>541155</v>
      </c>
      <c r="D158" s="5" t="str">
        <f>_xlfn.XLOOKUP(fOrcado[[#This Row],[Conta]],'Plano de Contas'!A:A,'Plano de Contas'!C:C)</f>
        <v>(+) RECEITA BRUTA</v>
      </c>
      <c r="E158" s="5" t="str">
        <f>_xlfn.XLOOKUP(fOrcado[[#This Row],[Conta]],'Plano de Contas'!A:A,'Plano de Contas'!D:D)</f>
        <v>01 - Vendas de Produtos</v>
      </c>
    </row>
    <row r="159" spans="1:5" x14ac:dyDescent="0.25">
      <c r="A159" s="23">
        <f t="shared" si="0"/>
        <v>43497</v>
      </c>
      <c r="B159" s="5" t="s">
        <v>68</v>
      </c>
      <c r="C159" s="5">
        <v>794464</v>
      </c>
      <c r="D159" s="5" t="str">
        <f>_xlfn.XLOOKUP(fOrcado[[#This Row],[Conta]],'Plano de Contas'!A:A,'Plano de Contas'!C:C)</f>
        <v>(+) RECEITA BRUTA</v>
      </c>
      <c r="E159" s="5" t="str">
        <f>_xlfn.XLOOKUP(fOrcado[[#This Row],[Conta]],'Plano de Contas'!A:A,'Plano de Contas'!D:D)</f>
        <v>01 - Vendas de Produtos</v>
      </c>
    </row>
    <row r="160" spans="1:5" x14ac:dyDescent="0.25">
      <c r="A160" s="23">
        <f t="shared" si="0"/>
        <v>43497</v>
      </c>
      <c r="B160" s="5" t="s">
        <v>69</v>
      </c>
      <c r="C160" s="5">
        <v>315398</v>
      </c>
      <c r="D160" s="5" t="str">
        <f>_xlfn.XLOOKUP(fOrcado[[#This Row],[Conta]],'Plano de Contas'!A:A,'Plano de Contas'!C:C)</f>
        <v>(+) RECEITA BRUTA</v>
      </c>
      <c r="E160" s="5" t="str">
        <f>_xlfn.XLOOKUP(fOrcado[[#This Row],[Conta]],'Plano de Contas'!A:A,'Plano de Contas'!D:D)</f>
        <v>01 - Vendas de Produtos</v>
      </c>
    </row>
    <row r="161" spans="1:5" x14ac:dyDescent="0.25">
      <c r="A161" s="23">
        <f t="shared" si="0"/>
        <v>43497</v>
      </c>
      <c r="B161" s="5" t="s">
        <v>70</v>
      </c>
      <c r="C161" s="5">
        <v>575082</v>
      </c>
      <c r="D161" s="5" t="str">
        <f>_xlfn.XLOOKUP(fOrcado[[#This Row],[Conta]],'Plano de Contas'!A:A,'Plano de Contas'!C:C)</f>
        <v>(+) RECEITA BRUTA</v>
      </c>
      <c r="E161" s="5" t="str">
        <f>_xlfn.XLOOKUP(fOrcado[[#This Row],[Conta]],'Plano de Contas'!A:A,'Plano de Contas'!D:D)</f>
        <v>01 - Vendas de Produtos</v>
      </c>
    </row>
    <row r="162" spans="1:5" x14ac:dyDescent="0.25">
      <c r="A162" s="23">
        <f t="shared" si="0"/>
        <v>43497</v>
      </c>
      <c r="B162" s="5" t="s">
        <v>71</v>
      </c>
      <c r="C162" s="5">
        <v>565026</v>
      </c>
      <c r="D162" s="5" t="str">
        <f>_xlfn.XLOOKUP(fOrcado[[#This Row],[Conta]],'Plano de Contas'!A:A,'Plano de Contas'!C:C)</f>
        <v>(+) RECEITA BRUTA</v>
      </c>
      <c r="E162" s="5" t="str">
        <f>_xlfn.XLOOKUP(fOrcado[[#This Row],[Conta]],'Plano de Contas'!A:A,'Plano de Contas'!D:D)</f>
        <v>01 - Vendas de Produtos</v>
      </c>
    </row>
    <row r="163" spans="1:5" x14ac:dyDescent="0.25">
      <c r="A163" s="23">
        <f t="shared" si="0"/>
        <v>43497</v>
      </c>
      <c r="B163" s="5" t="s">
        <v>72</v>
      </c>
      <c r="C163" s="5">
        <v>583435</v>
      </c>
      <c r="D163" s="5" t="str">
        <f>_xlfn.XLOOKUP(fOrcado[[#This Row],[Conta]],'Plano de Contas'!A:A,'Plano de Contas'!C:C)</f>
        <v>(+) RECEITA BRUTA</v>
      </c>
      <c r="E163" s="5" t="str">
        <f>_xlfn.XLOOKUP(fOrcado[[#This Row],[Conta]],'Plano de Contas'!A:A,'Plano de Contas'!D:D)</f>
        <v>01 - Vendas de Produtos</v>
      </c>
    </row>
    <row r="164" spans="1:5" x14ac:dyDescent="0.25">
      <c r="A164" s="23">
        <f t="shared" si="0"/>
        <v>43497</v>
      </c>
      <c r="B164" s="5" t="s">
        <v>73</v>
      </c>
      <c r="C164" s="5">
        <v>55321</v>
      </c>
      <c r="D164" s="5" t="str">
        <f>_xlfn.XLOOKUP(fOrcado[[#This Row],[Conta]],'Plano de Contas'!A:A,'Plano de Contas'!C:C)</f>
        <v>(+) RECEITA BRUTA</v>
      </c>
      <c r="E164" s="5" t="str">
        <f>_xlfn.XLOOKUP(fOrcado[[#This Row],[Conta]],'Plano de Contas'!A:A,'Plano de Contas'!D:D)</f>
        <v>01 - Vendas de Produtos</v>
      </c>
    </row>
    <row r="165" spans="1:5" x14ac:dyDescent="0.25">
      <c r="A165" s="23">
        <f t="shared" si="0"/>
        <v>43497</v>
      </c>
      <c r="B165" s="5" t="s">
        <v>74</v>
      </c>
      <c r="C165" s="5">
        <v>175413</v>
      </c>
      <c r="D165" s="5" t="str">
        <f>_xlfn.XLOOKUP(fOrcado[[#This Row],[Conta]],'Plano de Contas'!A:A,'Plano de Contas'!C:C)</f>
        <v>(+) RECEITA BRUTA</v>
      </c>
      <c r="E165" s="5" t="str">
        <f>_xlfn.XLOOKUP(fOrcado[[#This Row],[Conta]],'Plano de Contas'!A:A,'Plano de Contas'!D:D)</f>
        <v>01 - Vendas de Produtos</v>
      </c>
    </row>
    <row r="166" spans="1:5" x14ac:dyDescent="0.25">
      <c r="A166" s="23">
        <f t="shared" si="0"/>
        <v>43497</v>
      </c>
      <c r="B166" s="5" t="s">
        <v>75</v>
      </c>
      <c r="C166" s="5">
        <v>281759</v>
      </c>
      <c r="D166" s="5" t="str">
        <f>_xlfn.XLOOKUP(fOrcado[[#This Row],[Conta]],'Plano de Contas'!A:A,'Plano de Contas'!C:C)</f>
        <v>(+) RECEITA BRUTA</v>
      </c>
      <c r="E166" s="5" t="str">
        <f>_xlfn.XLOOKUP(fOrcado[[#This Row],[Conta]],'Plano de Contas'!A:A,'Plano de Contas'!D:D)</f>
        <v>02 - Outras Receitas</v>
      </c>
    </row>
    <row r="167" spans="1:5" x14ac:dyDescent="0.25">
      <c r="A167" s="23">
        <f t="shared" si="0"/>
        <v>43497</v>
      </c>
      <c r="B167" s="5" t="s">
        <v>76</v>
      </c>
      <c r="C167" s="5">
        <v>273305</v>
      </c>
      <c r="D167" s="5" t="str">
        <f>_xlfn.XLOOKUP(fOrcado[[#This Row],[Conta]],'Plano de Contas'!A:A,'Plano de Contas'!C:C)</f>
        <v>(+) RECEITA BRUTA</v>
      </c>
      <c r="E167" s="5" t="str">
        <f>_xlfn.XLOOKUP(fOrcado[[#This Row],[Conta]],'Plano de Contas'!A:A,'Plano de Contas'!D:D)</f>
        <v>02 - Outras Receitas</v>
      </c>
    </row>
    <row r="168" spans="1:5" x14ac:dyDescent="0.25">
      <c r="A168" s="23">
        <f t="shared" si="0"/>
        <v>43497</v>
      </c>
      <c r="B168" s="5" t="s">
        <v>77</v>
      </c>
      <c r="C168" s="5">
        <v>272436</v>
      </c>
      <c r="D168" s="5" t="str">
        <f>_xlfn.XLOOKUP(fOrcado[[#This Row],[Conta]],'Plano de Contas'!A:A,'Plano de Contas'!C:C)</f>
        <v>(+) RECEITA BRUTA</v>
      </c>
      <c r="E168" s="5" t="str">
        <f>_xlfn.XLOOKUP(fOrcado[[#This Row],[Conta]],'Plano de Contas'!A:A,'Plano de Contas'!D:D)</f>
        <v>02 - Outras Receitas</v>
      </c>
    </row>
    <row r="169" spans="1:5" x14ac:dyDescent="0.25">
      <c r="A169" s="23">
        <f t="shared" si="0"/>
        <v>43497</v>
      </c>
      <c r="B169" s="5" t="s">
        <v>78</v>
      </c>
      <c r="C169" s="5">
        <v>148056</v>
      </c>
      <c r="D169" s="5" t="str">
        <f>_xlfn.XLOOKUP(fOrcado[[#This Row],[Conta]],'Plano de Contas'!A:A,'Plano de Contas'!C:C)</f>
        <v>(+) RECEITA BRUTA</v>
      </c>
      <c r="E169" s="5" t="str">
        <f>_xlfn.XLOOKUP(fOrcado[[#This Row],[Conta]],'Plano de Contas'!A:A,'Plano de Contas'!D:D)</f>
        <v>02 - Outras Receitas</v>
      </c>
    </row>
    <row r="170" spans="1:5" x14ac:dyDescent="0.25">
      <c r="A170" s="23">
        <f t="shared" si="0"/>
        <v>43497</v>
      </c>
      <c r="B170" s="5" t="s">
        <v>79</v>
      </c>
      <c r="C170" s="5">
        <v>159706</v>
      </c>
      <c r="D170" s="5" t="str">
        <f>_xlfn.XLOOKUP(fOrcado[[#This Row],[Conta]],'Plano de Contas'!A:A,'Plano de Contas'!C:C)</f>
        <v>(+) RECEITA BRUTA</v>
      </c>
      <c r="E170" s="5" t="str">
        <f>_xlfn.XLOOKUP(fOrcado[[#This Row],[Conta]],'Plano de Contas'!A:A,'Plano de Contas'!D:D)</f>
        <v>02 - Outras Receitas</v>
      </c>
    </row>
    <row r="171" spans="1:5" x14ac:dyDescent="0.25">
      <c r="A171" s="23">
        <f t="shared" si="0"/>
        <v>43497</v>
      </c>
      <c r="B171" s="5" t="s">
        <v>80</v>
      </c>
      <c r="C171" s="5">
        <v>54052</v>
      </c>
      <c r="D171" s="5" t="str">
        <f>_xlfn.XLOOKUP(fOrcado[[#This Row],[Conta]],'Plano de Contas'!A:A,'Plano de Contas'!C:C)</f>
        <v>(+) RECEITA BRUTA</v>
      </c>
      <c r="E171" s="5" t="str">
        <f>_xlfn.XLOOKUP(fOrcado[[#This Row],[Conta]],'Plano de Contas'!A:A,'Plano de Contas'!D:D)</f>
        <v>02 - Outras Receitas</v>
      </c>
    </row>
    <row r="172" spans="1:5" x14ac:dyDescent="0.25">
      <c r="A172" s="23">
        <f t="shared" si="0"/>
        <v>43497</v>
      </c>
      <c r="B172" s="5" t="s">
        <v>81</v>
      </c>
      <c r="C172" s="5">
        <v>121569</v>
      </c>
      <c r="D172" s="5" t="str">
        <f>_xlfn.XLOOKUP(fOrcado[[#This Row],[Conta]],'Plano de Contas'!A:A,'Plano de Contas'!C:C)</f>
        <v>(+) RECEITA BRUTA</v>
      </c>
      <c r="E172" s="5" t="str">
        <f>_xlfn.XLOOKUP(fOrcado[[#This Row],[Conta]],'Plano de Contas'!A:A,'Plano de Contas'!D:D)</f>
        <v>02 - Outras Receitas</v>
      </c>
    </row>
    <row r="173" spans="1:5" x14ac:dyDescent="0.25">
      <c r="A173" s="23">
        <f t="shared" si="0"/>
        <v>43497</v>
      </c>
      <c r="B173" s="5" t="s">
        <v>82</v>
      </c>
      <c r="C173" s="5">
        <v>161749</v>
      </c>
      <c r="D173" s="5" t="str">
        <f>_xlfn.XLOOKUP(fOrcado[[#This Row],[Conta]],'Plano de Contas'!A:A,'Plano de Contas'!C:C)</f>
        <v>(+) RECEITA BRUTA</v>
      </c>
      <c r="E173" s="5" t="str">
        <f>_xlfn.XLOOKUP(fOrcado[[#This Row],[Conta]],'Plano de Contas'!A:A,'Plano de Contas'!D:D)</f>
        <v>02 - Outras Receitas</v>
      </c>
    </row>
    <row r="174" spans="1:5" x14ac:dyDescent="0.25">
      <c r="A174" s="23">
        <f t="shared" si="0"/>
        <v>43497</v>
      </c>
      <c r="B174" s="5" t="s">
        <v>83</v>
      </c>
      <c r="C174" s="5">
        <v>61716</v>
      </c>
      <c r="D174" s="5" t="str">
        <f>_xlfn.XLOOKUP(fOrcado[[#This Row],[Conta]],'Plano de Contas'!A:A,'Plano de Contas'!C:C)</f>
        <v>(+) RECEITA BRUTA</v>
      </c>
      <c r="E174" s="5" t="str">
        <f>_xlfn.XLOOKUP(fOrcado[[#This Row],[Conta]],'Plano de Contas'!A:A,'Plano de Contas'!D:D)</f>
        <v>02 - Outras Receitas</v>
      </c>
    </row>
    <row r="175" spans="1:5" x14ac:dyDescent="0.25">
      <c r="A175" s="23">
        <f t="shared" si="0"/>
        <v>43497</v>
      </c>
      <c r="B175" s="5" t="s">
        <v>84</v>
      </c>
      <c r="C175" s="5">
        <v>275826</v>
      </c>
      <c r="D175" s="5" t="str">
        <f>_xlfn.XLOOKUP(fOrcado[[#This Row],[Conta]],'Plano de Contas'!A:A,'Plano de Contas'!C:C)</f>
        <v>(+) RECEITA BRUTA</v>
      </c>
      <c r="E175" s="5" t="str">
        <f>_xlfn.XLOOKUP(fOrcado[[#This Row],[Conta]],'Plano de Contas'!A:A,'Plano de Contas'!D:D)</f>
        <v>02 - Outras Receitas</v>
      </c>
    </row>
    <row r="176" spans="1:5" x14ac:dyDescent="0.25">
      <c r="A176" s="23">
        <f t="shared" si="0"/>
        <v>43497</v>
      </c>
      <c r="B176" s="5" t="s">
        <v>85</v>
      </c>
      <c r="C176" s="5">
        <v>130197</v>
      </c>
      <c r="D176" s="5" t="str">
        <f>_xlfn.XLOOKUP(fOrcado[[#This Row],[Conta]],'Plano de Contas'!A:A,'Plano de Contas'!C:C)</f>
        <v>(+) RECEITA BRUTA</v>
      </c>
      <c r="E176" s="5" t="str">
        <f>_xlfn.XLOOKUP(fOrcado[[#This Row],[Conta]],'Plano de Contas'!A:A,'Plano de Contas'!D:D)</f>
        <v>02 - Outras Receitas</v>
      </c>
    </row>
    <row r="177" spans="1:5" x14ac:dyDescent="0.25">
      <c r="A177" s="23">
        <f t="shared" si="0"/>
        <v>43497</v>
      </c>
      <c r="B177" s="5" t="s">
        <v>86</v>
      </c>
      <c r="C177" s="5">
        <v>93232</v>
      </c>
      <c r="D177" s="5" t="str">
        <f>_xlfn.XLOOKUP(fOrcado[[#This Row],[Conta]],'Plano de Contas'!A:A,'Plano de Contas'!C:C)</f>
        <v>(+) RECEITA BRUTA</v>
      </c>
      <c r="E177" s="5" t="str">
        <f>_xlfn.XLOOKUP(fOrcado[[#This Row],[Conta]],'Plano de Contas'!A:A,'Plano de Contas'!D:D)</f>
        <v>02 - Outras Receitas</v>
      </c>
    </row>
    <row r="178" spans="1:5" x14ac:dyDescent="0.25">
      <c r="A178" s="23">
        <f t="shared" si="0"/>
        <v>43497</v>
      </c>
      <c r="B178" s="5" t="s">
        <v>87</v>
      </c>
      <c r="C178" s="5">
        <v>196486</v>
      </c>
      <c r="D178" s="5" t="str">
        <f>_xlfn.XLOOKUP(fOrcado[[#This Row],[Conta]],'Plano de Contas'!A:A,'Plano de Contas'!C:C)</f>
        <v>(+) RECEITA BRUTA</v>
      </c>
      <c r="E178" s="5" t="str">
        <f>_xlfn.XLOOKUP(fOrcado[[#This Row],[Conta]],'Plano de Contas'!A:A,'Plano de Contas'!D:D)</f>
        <v>02 - Outras Receitas</v>
      </c>
    </row>
    <row r="179" spans="1:5" x14ac:dyDescent="0.25">
      <c r="A179" s="23">
        <f t="shared" si="0"/>
        <v>43497</v>
      </c>
      <c r="B179" s="5" t="s">
        <v>88</v>
      </c>
      <c r="C179" s="5">
        <v>159626</v>
      </c>
      <c r="D179" s="5" t="str">
        <f>_xlfn.XLOOKUP(fOrcado[[#This Row],[Conta]],'Plano de Contas'!A:A,'Plano de Contas'!C:C)</f>
        <v>(+) RECEITA BRUTA</v>
      </c>
      <c r="E179" s="5" t="str">
        <f>_xlfn.XLOOKUP(fOrcado[[#This Row],[Conta]],'Plano de Contas'!A:A,'Plano de Contas'!D:D)</f>
        <v>02 - Outras Receitas</v>
      </c>
    </row>
    <row r="180" spans="1:5" x14ac:dyDescent="0.25">
      <c r="A180" s="23">
        <f t="shared" si="0"/>
        <v>43497</v>
      </c>
      <c r="B180" s="5" t="s">
        <v>89</v>
      </c>
      <c r="C180" s="5">
        <v>62417</v>
      </c>
      <c r="D180" s="5" t="str">
        <f>_xlfn.XLOOKUP(fOrcado[[#This Row],[Conta]],'Plano de Contas'!A:A,'Plano de Contas'!C:C)</f>
        <v>(+) RECEITA BRUTA</v>
      </c>
      <c r="E180" s="5" t="str">
        <f>_xlfn.XLOOKUP(fOrcado[[#This Row],[Conta]],'Plano de Contas'!A:A,'Plano de Contas'!D:D)</f>
        <v>02 - Outras Receitas</v>
      </c>
    </row>
    <row r="181" spans="1:5" x14ac:dyDescent="0.25">
      <c r="A181" s="23">
        <f t="shared" si="0"/>
        <v>43497</v>
      </c>
      <c r="B181" s="5" t="s">
        <v>90</v>
      </c>
      <c r="C181" s="5">
        <v>110631</v>
      </c>
      <c r="D181" s="5" t="str">
        <f>_xlfn.XLOOKUP(fOrcado[[#This Row],[Conta]],'Plano de Contas'!A:A,'Plano de Contas'!C:C)</f>
        <v>(+) RECEITA BRUTA</v>
      </c>
      <c r="E181" s="5" t="str">
        <f>_xlfn.XLOOKUP(fOrcado[[#This Row],[Conta]],'Plano de Contas'!A:A,'Plano de Contas'!D:D)</f>
        <v>02 - Outras Receitas</v>
      </c>
    </row>
    <row r="182" spans="1:5" x14ac:dyDescent="0.25">
      <c r="A182" s="23">
        <f t="shared" si="0"/>
        <v>43497</v>
      </c>
      <c r="B182" s="5" t="s">
        <v>91</v>
      </c>
      <c r="C182" s="5">
        <v>240691</v>
      </c>
      <c r="D182" s="5" t="str">
        <f>_xlfn.XLOOKUP(fOrcado[[#This Row],[Conta]],'Plano de Contas'!A:A,'Plano de Contas'!C:C)</f>
        <v>(+) RECEITA BRUTA</v>
      </c>
      <c r="E182" s="5" t="str">
        <f>_xlfn.XLOOKUP(fOrcado[[#This Row],[Conta]],'Plano de Contas'!A:A,'Plano de Contas'!D:D)</f>
        <v>02 - Outras Receitas</v>
      </c>
    </row>
    <row r="183" spans="1:5" x14ac:dyDescent="0.25">
      <c r="A183" s="23">
        <f t="shared" si="0"/>
        <v>43497</v>
      </c>
      <c r="B183" s="5" t="s">
        <v>92</v>
      </c>
      <c r="C183" s="5">
        <v>132842</v>
      </c>
      <c r="D183" s="5" t="str">
        <f>_xlfn.XLOOKUP(fOrcado[[#This Row],[Conta]],'Plano de Contas'!A:A,'Plano de Contas'!C:C)</f>
        <v>(+) RECEITA BRUTA</v>
      </c>
      <c r="E183" s="5" t="str">
        <f>_xlfn.XLOOKUP(fOrcado[[#This Row],[Conta]],'Plano de Contas'!A:A,'Plano de Contas'!D:D)</f>
        <v>02 - Outras Receitas</v>
      </c>
    </row>
    <row r="184" spans="1:5" x14ac:dyDescent="0.25">
      <c r="A184" s="23">
        <f t="shared" si="0"/>
        <v>43497</v>
      </c>
      <c r="B184" s="5" t="s">
        <v>93</v>
      </c>
      <c r="C184" s="5">
        <v>84884</v>
      </c>
      <c r="D184" s="5" t="str">
        <f>_xlfn.XLOOKUP(fOrcado[[#This Row],[Conta]],'Plano de Contas'!A:A,'Plano de Contas'!C:C)</f>
        <v>(+) RECEITA BRUTA</v>
      </c>
      <c r="E184" s="5" t="str">
        <f>_xlfn.XLOOKUP(fOrcado[[#This Row],[Conta]],'Plano de Contas'!A:A,'Plano de Contas'!D:D)</f>
        <v>02 - Outras Receitas</v>
      </c>
    </row>
    <row r="185" spans="1:5" x14ac:dyDescent="0.25">
      <c r="A185" s="23">
        <f t="shared" si="0"/>
        <v>43497</v>
      </c>
      <c r="B185" s="5" t="s">
        <v>94</v>
      </c>
      <c r="C185" s="5">
        <v>249172</v>
      </c>
      <c r="D185" s="5" t="str">
        <f>_xlfn.XLOOKUP(fOrcado[[#This Row],[Conta]],'Plano de Contas'!A:A,'Plano de Contas'!C:C)</f>
        <v>(+) RECEITA BRUTA</v>
      </c>
      <c r="E185" s="5" t="str">
        <f>_xlfn.XLOOKUP(fOrcado[[#This Row],[Conta]],'Plano de Contas'!A:A,'Plano de Contas'!D:D)</f>
        <v>02 - Outras Receitas</v>
      </c>
    </row>
    <row r="186" spans="1:5" x14ac:dyDescent="0.25">
      <c r="A186" s="23">
        <f t="shared" si="0"/>
        <v>43497</v>
      </c>
      <c r="B186" s="5" t="s">
        <v>95</v>
      </c>
      <c r="C186" s="5">
        <v>281591</v>
      </c>
      <c r="D186" s="5" t="str">
        <f>_xlfn.XLOOKUP(fOrcado[[#This Row],[Conta]],'Plano de Contas'!A:A,'Plano de Contas'!C:C)</f>
        <v>(+) RECEITA BRUTA</v>
      </c>
      <c r="E186" s="5" t="str">
        <f>_xlfn.XLOOKUP(fOrcado[[#This Row],[Conta]],'Plano de Contas'!A:A,'Plano de Contas'!D:D)</f>
        <v>02 - Outras Receitas</v>
      </c>
    </row>
    <row r="187" spans="1:5" x14ac:dyDescent="0.25">
      <c r="A187" s="23">
        <f t="shared" si="0"/>
        <v>43497</v>
      </c>
      <c r="B187" s="5" t="s">
        <v>96</v>
      </c>
      <c r="C187" s="5">
        <v>294288</v>
      </c>
      <c r="D187" s="5" t="str">
        <f>_xlfn.XLOOKUP(fOrcado[[#This Row],[Conta]],'Plano de Contas'!A:A,'Plano de Contas'!C:C)</f>
        <v>(+) RECEITA BRUTA</v>
      </c>
      <c r="E187" s="5" t="str">
        <f>_xlfn.XLOOKUP(fOrcado[[#This Row],[Conta]],'Plano de Contas'!A:A,'Plano de Contas'!D:D)</f>
        <v>02 - Outras Receitas</v>
      </c>
    </row>
    <row r="188" spans="1:5" x14ac:dyDescent="0.25">
      <c r="A188" s="23">
        <f t="shared" si="0"/>
        <v>43497</v>
      </c>
      <c r="B188" s="5" t="s">
        <v>97</v>
      </c>
      <c r="C188" s="5">
        <v>147994</v>
      </c>
      <c r="D188" s="5" t="str">
        <f>_xlfn.XLOOKUP(fOrcado[[#This Row],[Conta]],'Plano de Contas'!A:A,'Plano de Contas'!C:C)</f>
        <v>(+) RECEITA BRUTA</v>
      </c>
      <c r="E188" s="5" t="str">
        <f>_xlfn.XLOOKUP(fOrcado[[#This Row],[Conta]],'Plano de Contas'!A:A,'Plano de Contas'!D:D)</f>
        <v>02 - Outras Receitas</v>
      </c>
    </row>
    <row r="189" spans="1:5" x14ac:dyDescent="0.25">
      <c r="A189" s="23">
        <f t="shared" si="0"/>
        <v>43497</v>
      </c>
      <c r="B189" s="5" t="s">
        <v>98</v>
      </c>
      <c r="C189" s="5">
        <v>235516</v>
      </c>
      <c r="D189" s="5" t="str">
        <f>_xlfn.XLOOKUP(fOrcado[[#This Row],[Conta]],'Plano de Contas'!A:A,'Plano de Contas'!C:C)</f>
        <v>(+) RECEITA BRUTA</v>
      </c>
      <c r="E189" s="5" t="str">
        <f>_xlfn.XLOOKUP(fOrcado[[#This Row],[Conta]],'Plano de Contas'!A:A,'Plano de Contas'!D:D)</f>
        <v>02 - Outras Receitas</v>
      </c>
    </row>
    <row r="190" spans="1:5" x14ac:dyDescent="0.25">
      <c r="A190" s="23">
        <f t="shared" si="0"/>
        <v>43497</v>
      </c>
      <c r="B190" s="5" t="s">
        <v>99</v>
      </c>
      <c r="C190" s="5">
        <v>87609</v>
      </c>
      <c r="D190" s="5" t="str">
        <f>_xlfn.XLOOKUP(fOrcado[[#This Row],[Conta]],'Plano de Contas'!A:A,'Plano de Contas'!C:C)</f>
        <v>(+) RECEITA BRUTA</v>
      </c>
      <c r="E190" s="5" t="str">
        <f>_xlfn.XLOOKUP(fOrcado[[#This Row],[Conta]],'Plano de Contas'!A:A,'Plano de Contas'!D:D)</f>
        <v>02 - Outras Receitas</v>
      </c>
    </row>
    <row r="191" spans="1:5" x14ac:dyDescent="0.25">
      <c r="A191" s="23">
        <f t="shared" si="0"/>
        <v>43497</v>
      </c>
      <c r="B191" s="5" t="s">
        <v>100</v>
      </c>
      <c r="C191" s="5">
        <v>71054</v>
      </c>
      <c r="D191" s="5" t="str">
        <f>_xlfn.XLOOKUP(fOrcado[[#This Row],[Conta]],'Plano de Contas'!A:A,'Plano de Contas'!C:C)</f>
        <v>(+) RECEITA BRUTA</v>
      </c>
      <c r="E191" s="5" t="str">
        <f>_xlfn.XLOOKUP(fOrcado[[#This Row],[Conta]],'Plano de Contas'!A:A,'Plano de Contas'!D:D)</f>
        <v>02 - Outras Receitas</v>
      </c>
    </row>
    <row r="192" spans="1:5" x14ac:dyDescent="0.25">
      <c r="A192" s="23">
        <f t="shared" si="0"/>
        <v>43497</v>
      </c>
      <c r="B192" s="5" t="s">
        <v>101</v>
      </c>
      <c r="C192" s="5">
        <v>57874</v>
      </c>
      <c r="D192" s="5" t="str">
        <f>_xlfn.XLOOKUP(fOrcado[[#This Row],[Conta]],'Plano de Contas'!A:A,'Plano de Contas'!C:C)</f>
        <v>(+) RECEITA BRUTA</v>
      </c>
      <c r="E192" s="5" t="str">
        <f>_xlfn.XLOOKUP(fOrcado[[#This Row],[Conta]],'Plano de Contas'!A:A,'Plano de Contas'!D:D)</f>
        <v>02 - Outras Receitas</v>
      </c>
    </row>
    <row r="193" spans="1:5" x14ac:dyDescent="0.25">
      <c r="A193" s="23">
        <f t="shared" si="0"/>
        <v>43497</v>
      </c>
      <c r="B193" s="5" t="s">
        <v>102</v>
      </c>
      <c r="C193" s="5">
        <v>160095</v>
      </c>
      <c r="D193" s="5" t="str">
        <f>_xlfn.XLOOKUP(fOrcado[[#This Row],[Conta]],'Plano de Contas'!A:A,'Plano de Contas'!C:C)</f>
        <v>(+) RECEITA BRUTA</v>
      </c>
      <c r="E193" s="5" t="str">
        <f>_xlfn.XLOOKUP(fOrcado[[#This Row],[Conta]],'Plano de Contas'!A:A,'Plano de Contas'!D:D)</f>
        <v>02 - Outras Receitas</v>
      </c>
    </row>
    <row r="194" spans="1:5" x14ac:dyDescent="0.25">
      <c r="A194" s="23">
        <f t="shared" si="0"/>
        <v>43497</v>
      </c>
      <c r="B194" s="5" t="s">
        <v>103</v>
      </c>
      <c r="C194" s="5">
        <v>154898</v>
      </c>
      <c r="D194" s="5" t="str">
        <f>_xlfn.XLOOKUP(fOrcado[[#This Row],[Conta]],'Plano de Contas'!A:A,'Plano de Contas'!C:C)</f>
        <v>(+) RECEITA BRUTA</v>
      </c>
      <c r="E194" s="5" t="str">
        <f>_xlfn.XLOOKUP(fOrcado[[#This Row],[Conta]],'Plano de Contas'!A:A,'Plano de Contas'!D:D)</f>
        <v>02 - Outras Receitas</v>
      </c>
    </row>
    <row r="195" spans="1:5" x14ac:dyDescent="0.25">
      <c r="A195" s="23">
        <f t="shared" si="0"/>
        <v>43497</v>
      </c>
      <c r="B195" s="5" t="s">
        <v>104</v>
      </c>
      <c r="C195" s="5">
        <v>145659</v>
      </c>
      <c r="D195" s="5" t="str">
        <f>_xlfn.XLOOKUP(fOrcado[[#This Row],[Conta]],'Plano de Contas'!A:A,'Plano de Contas'!C:C)</f>
        <v>(+) RECEITA BRUTA</v>
      </c>
      <c r="E195" s="5" t="str">
        <f>_xlfn.XLOOKUP(fOrcado[[#This Row],[Conta]],'Plano de Contas'!A:A,'Plano de Contas'!D:D)</f>
        <v>02 - Outras Receitas</v>
      </c>
    </row>
    <row r="196" spans="1:5" x14ac:dyDescent="0.25">
      <c r="A196" s="23">
        <f t="shared" si="0"/>
        <v>43497</v>
      </c>
      <c r="B196" s="5" t="s">
        <v>105</v>
      </c>
      <c r="C196" s="5">
        <v>136535</v>
      </c>
      <c r="D196" s="5" t="str">
        <f>_xlfn.XLOOKUP(fOrcado[[#This Row],[Conta]],'Plano de Contas'!A:A,'Plano de Contas'!C:C)</f>
        <v>(+) RECEITA BRUTA</v>
      </c>
      <c r="E196" s="5" t="str">
        <f>_xlfn.XLOOKUP(fOrcado[[#This Row],[Conta]],'Plano de Contas'!A:A,'Plano de Contas'!D:D)</f>
        <v>02 - Outras Receitas</v>
      </c>
    </row>
    <row r="197" spans="1:5" x14ac:dyDescent="0.25">
      <c r="A197" s="23">
        <f t="shared" si="0"/>
        <v>43497</v>
      </c>
      <c r="B197" s="5" t="s">
        <v>106</v>
      </c>
      <c r="C197" s="5">
        <v>269728</v>
      </c>
      <c r="D197" s="5" t="str">
        <f>_xlfn.XLOOKUP(fOrcado[[#This Row],[Conta]],'Plano de Contas'!A:A,'Plano de Contas'!C:C)</f>
        <v>(+) RECEITA BRUTA</v>
      </c>
      <c r="E197" s="5" t="str">
        <f>_xlfn.XLOOKUP(fOrcado[[#This Row],[Conta]],'Plano de Contas'!A:A,'Plano de Contas'!D:D)</f>
        <v>02 - Outras Receitas</v>
      </c>
    </row>
    <row r="198" spans="1:5" x14ac:dyDescent="0.25">
      <c r="A198" s="23">
        <f t="shared" si="0"/>
        <v>43497</v>
      </c>
      <c r="B198" s="5" t="s">
        <v>107</v>
      </c>
      <c r="C198" s="5">
        <v>230381</v>
      </c>
      <c r="D198" s="5" t="str">
        <f>_xlfn.XLOOKUP(fOrcado[[#This Row],[Conta]],'Plano de Contas'!A:A,'Plano de Contas'!C:C)</f>
        <v>(+) RECEITA BRUTA</v>
      </c>
      <c r="E198" s="5" t="str">
        <f>_xlfn.XLOOKUP(fOrcado[[#This Row],[Conta]],'Plano de Contas'!A:A,'Plano de Contas'!D:D)</f>
        <v>02 - Outras Receitas</v>
      </c>
    </row>
    <row r="199" spans="1:5" x14ac:dyDescent="0.25">
      <c r="A199" s="23">
        <f t="shared" si="0"/>
        <v>43497</v>
      </c>
      <c r="B199" s="5" t="s">
        <v>108</v>
      </c>
      <c r="C199" s="5">
        <v>232210</v>
      </c>
      <c r="D199" s="5" t="str">
        <f>_xlfn.XLOOKUP(fOrcado[[#This Row],[Conta]],'Plano de Contas'!A:A,'Plano de Contas'!C:C)</f>
        <v>(+) RECEITA BRUTA</v>
      </c>
      <c r="E199" s="5" t="str">
        <f>_xlfn.XLOOKUP(fOrcado[[#This Row],[Conta]],'Plano de Contas'!A:A,'Plano de Contas'!D:D)</f>
        <v>02 - Outras Receitas</v>
      </c>
    </row>
    <row r="200" spans="1:5" x14ac:dyDescent="0.25">
      <c r="A200" s="23">
        <f t="shared" si="0"/>
        <v>43497</v>
      </c>
      <c r="B200" s="5" t="s">
        <v>109</v>
      </c>
      <c r="C200" s="5">
        <v>69289</v>
      </c>
      <c r="D200" s="5" t="str">
        <f>_xlfn.XLOOKUP(fOrcado[[#This Row],[Conta]],'Plano de Contas'!A:A,'Plano de Contas'!C:C)</f>
        <v>(+) RECEITA BRUTA</v>
      </c>
      <c r="E200" s="5" t="str">
        <f>_xlfn.XLOOKUP(fOrcado[[#This Row],[Conta]],'Plano de Contas'!A:A,'Plano de Contas'!D:D)</f>
        <v>02 - Outras Receitas</v>
      </c>
    </row>
    <row r="201" spans="1:5" x14ac:dyDescent="0.25">
      <c r="A201" s="23">
        <f t="shared" si="0"/>
        <v>43497</v>
      </c>
      <c r="B201" s="5" t="s">
        <v>110</v>
      </c>
      <c r="C201" s="5">
        <v>-1023</v>
      </c>
      <c r="D201" s="5" t="str">
        <f>_xlfn.XLOOKUP(fOrcado[[#This Row],[Conta]],'Plano de Contas'!A:A,'Plano de Contas'!C:C)</f>
        <v>(-) Deduções da Receita</v>
      </c>
      <c r="E201" s="5" t="str">
        <f>_xlfn.XLOOKUP(fOrcado[[#This Row],[Conta]],'Plano de Contas'!A:A,'Plano de Contas'!D:D)</f>
        <v>03 - Devoluções de Produtos</v>
      </c>
    </row>
    <row r="202" spans="1:5" x14ac:dyDescent="0.25">
      <c r="A202" s="23">
        <f t="shared" si="0"/>
        <v>43497</v>
      </c>
      <c r="B202" s="5" t="s">
        <v>111</v>
      </c>
      <c r="C202" s="5">
        <v>-7570</v>
      </c>
      <c r="D202" s="5" t="str">
        <f>_xlfn.XLOOKUP(fOrcado[[#This Row],[Conta]],'Plano de Contas'!A:A,'Plano de Contas'!C:C)</f>
        <v>(-) Deduções da Receita</v>
      </c>
      <c r="E202" s="5" t="str">
        <f>_xlfn.XLOOKUP(fOrcado[[#This Row],[Conta]],'Plano de Contas'!A:A,'Plano de Contas'!D:D)</f>
        <v>03 - Devoluções de Produtos</v>
      </c>
    </row>
    <row r="203" spans="1:5" x14ac:dyDescent="0.25">
      <c r="A203" s="23">
        <f t="shared" si="0"/>
        <v>43497</v>
      </c>
      <c r="B203" s="5" t="s">
        <v>112</v>
      </c>
      <c r="C203" s="5">
        <v>-3666</v>
      </c>
      <c r="D203" s="5" t="str">
        <f>_xlfn.XLOOKUP(fOrcado[[#This Row],[Conta]],'Plano de Contas'!A:A,'Plano de Contas'!C:C)</f>
        <v>(-) Deduções da Receita</v>
      </c>
      <c r="E203" s="5" t="str">
        <f>_xlfn.XLOOKUP(fOrcado[[#This Row],[Conta]],'Plano de Contas'!A:A,'Plano de Contas'!D:D)</f>
        <v>03 - Devoluções de Produtos</v>
      </c>
    </row>
    <row r="204" spans="1:5" x14ac:dyDescent="0.25">
      <c r="A204" s="23">
        <f t="shared" si="0"/>
        <v>43497</v>
      </c>
      <c r="B204" s="5" t="s">
        <v>113</v>
      </c>
      <c r="C204" s="5">
        <v>-9374</v>
      </c>
      <c r="D204" s="5" t="str">
        <f>_xlfn.XLOOKUP(fOrcado[[#This Row],[Conta]],'Plano de Contas'!A:A,'Plano de Contas'!C:C)</f>
        <v>(-) Deduções da Receita</v>
      </c>
      <c r="E204" s="5" t="str">
        <f>_xlfn.XLOOKUP(fOrcado[[#This Row],[Conta]],'Plano de Contas'!A:A,'Plano de Contas'!D:D)</f>
        <v>03 - Devoluções de Produtos</v>
      </c>
    </row>
    <row r="205" spans="1:5" x14ac:dyDescent="0.25">
      <c r="A205" s="23">
        <f t="shared" si="0"/>
        <v>43497</v>
      </c>
      <c r="B205" s="5" t="s">
        <v>114</v>
      </c>
      <c r="C205" s="5">
        <v>-9626</v>
      </c>
      <c r="D205" s="5" t="str">
        <f>_xlfn.XLOOKUP(fOrcado[[#This Row],[Conta]],'Plano de Contas'!A:A,'Plano de Contas'!C:C)</f>
        <v>(-) Deduções da Receita</v>
      </c>
      <c r="E205" s="5" t="str">
        <f>_xlfn.XLOOKUP(fOrcado[[#This Row],[Conta]],'Plano de Contas'!A:A,'Plano de Contas'!D:D)</f>
        <v>03 - Devoluções de Produtos</v>
      </c>
    </row>
    <row r="206" spans="1:5" x14ac:dyDescent="0.25">
      <c r="A206" s="23">
        <f t="shared" si="0"/>
        <v>43497</v>
      </c>
      <c r="B206" s="5" t="s">
        <v>115</v>
      </c>
      <c r="C206" s="5">
        <v>-4656</v>
      </c>
      <c r="D206" s="5" t="str">
        <f>_xlfn.XLOOKUP(fOrcado[[#This Row],[Conta]],'Plano de Contas'!A:A,'Plano de Contas'!C:C)</f>
        <v>(-) Deduções da Receita</v>
      </c>
      <c r="E206" s="5" t="str">
        <f>_xlfn.XLOOKUP(fOrcado[[#This Row],[Conta]],'Plano de Contas'!A:A,'Plano de Contas'!D:D)</f>
        <v>03 - Devoluções de Produtos</v>
      </c>
    </row>
    <row r="207" spans="1:5" x14ac:dyDescent="0.25">
      <c r="A207" s="23">
        <f t="shared" ref="A207:A270" si="1">EDATE(A67,1)</f>
        <v>43497</v>
      </c>
      <c r="B207" s="5" t="s">
        <v>116</v>
      </c>
      <c r="C207" s="5">
        <v>-4523</v>
      </c>
      <c r="D207" s="5" t="str">
        <f>_xlfn.XLOOKUP(fOrcado[[#This Row],[Conta]],'Plano de Contas'!A:A,'Plano de Contas'!C:C)</f>
        <v>(-) Deduções da Receita</v>
      </c>
      <c r="E207" s="5" t="str">
        <f>_xlfn.XLOOKUP(fOrcado[[#This Row],[Conta]],'Plano de Contas'!A:A,'Plano de Contas'!D:D)</f>
        <v>03 - Devoluções de Produtos</v>
      </c>
    </row>
    <row r="208" spans="1:5" x14ac:dyDescent="0.25">
      <c r="A208" s="23">
        <f t="shared" si="1"/>
        <v>43497</v>
      </c>
      <c r="B208" s="5" t="s">
        <v>117</v>
      </c>
      <c r="C208" s="5">
        <v>-7754</v>
      </c>
      <c r="D208" s="5" t="str">
        <f>_xlfn.XLOOKUP(fOrcado[[#This Row],[Conta]],'Plano de Contas'!A:A,'Plano de Contas'!C:C)</f>
        <v>(-) Deduções da Receita</v>
      </c>
      <c r="E208" s="5" t="str">
        <f>_xlfn.XLOOKUP(fOrcado[[#This Row],[Conta]],'Plano de Contas'!A:A,'Plano de Contas'!D:D)</f>
        <v>03 - Devoluções de Produtos</v>
      </c>
    </row>
    <row r="209" spans="1:5" x14ac:dyDescent="0.25">
      <c r="A209" s="23">
        <f t="shared" si="1"/>
        <v>43497</v>
      </c>
      <c r="B209" s="5" t="s">
        <v>118</v>
      </c>
      <c r="C209" s="5">
        <v>-4315</v>
      </c>
      <c r="D209" s="5" t="str">
        <f>_xlfn.XLOOKUP(fOrcado[[#This Row],[Conta]],'Plano de Contas'!A:A,'Plano de Contas'!C:C)</f>
        <v>(-) Deduções da Receita</v>
      </c>
      <c r="E209" s="5" t="str">
        <f>_xlfn.XLOOKUP(fOrcado[[#This Row],[Conta]],'Plano de Contas'!A:A,'Plano de Contas'!D:D)</f>
        <v>03 - Devoluções de Produtos</v>
      </c>
    </row>
    <row r="210" spans="1:5" x14ac:dyDescent="0.25">
      <c r="A210" s="23">
        <f t="shared" si="1"/>
        <v>43497</v>
      </c>
      <c r="B210" s="5" t="s">
        <v>119</v>
      </c>
      <c r="C210" s="5">
        <v>-1957</v>
      </c>
      <c r="D210" s="5" t="str">
        <f>_xlfn.XLOOKUP(fOrcado[[#This Row],[Conta]],'Plano de Contas'!A:A,'Plano de Contas'!C:C)</f>
        <v>(-) Deduções da Receita</v>
      </c>
      <c r="E210" s="5" t="str">
        <f>_xlfn.XLOOKUP(fOrcado[[#This Row],[Conta]],'Plano de Contas'!A:A,'Plano de Contas'!D:D)</f>
        <v>03 - Devoluções de Produtos</v>
      </c>
    </row>
    <row r="211" spans="1:5" x14ac:dyDescent="0.25">
      <c r="A211" s="23">
        <f t="shared" si="1"/>
        <v>43497</v>
      </c>
      <c r="B211" s="5" t="s">
        <v>120</v>
      </c>
      <c r="C211" s="5">
        <v>-7061</v>
      </c>
      <c r="D211" s="5" t="str">
        <f>_xlfn.XLOOKUP(fOrcado[[#This Row],[Conta]],'Plano de Contas'!A:A,'Plano de Contas'!C:C)</f>
        <v>(-) Deduções da Receita</v>
      </c>
      <c r="E211" s="5" t="str">
        <f>_xlfn.XLOOKUP(fOrcado[[#This Row],[Conta]],'Plano de Contas'!A:A,'Plano de Contas'!D:D)</f>
        <v>03 - Devoluções de Produtos</v>
      </c>
    </row>
    <row r="212" spans="1:5" x14ac:dyDescent="0.25">
      <c r="A212" s="23">
        <f t="shared" si="1"/>
        <v>43497</v>
      </c>
      <c r="B212" s="5" t="s">
        <v>121</v>
      </c>
      <c r="C212" s="5">
        <v>-7559</v>
      </c>
      <c r="D212" s="5" t="str">
        <f>_xlfn.XLOOKUP(fOrcado[[#This Row],[Conta]],'Plano de Contas'!A:A,'Plano de Contas'!C:C)</f>
        <v>(-) Deduções da Receita</v>
      </c>
      <c r="E212" s="5" t="str">
        <f>_xlfn.XLOOKUP(fOrcado[[#This Row],[Conta]],'Plano de Contas'!A:A,'Plano de Contas'!D:D)</f>
        <v>03 - Devoluções de Produtos</v>
      </c>
    </row>
    <row r="213" spans="1:5" x14ac:dyDescent="0.25">
      <c r="A213" s="23">
        <f t="shared" si="1"/>
        <v>43497</v>
      </c>
      <c r="B213" s="5" t="s">
        <v>122</v>
      </c>
      <c r="C213" s="5">
        <v>-8607</v>
      </c>
      <c r="D213" s="5" t="str">
        <f>_xlfn.XLOOKUP(fOrcado[[#This Row],[Conta]],'Plano de Contas'!A:A,'Plano de Contas'!C:C)</f>
        <v>(-) Deduções da Receita</v>
      </c>
      <c r="E213" s="5" t="str">
        <f>_xlfn.XLOOKUP(fOrcado[[#This Row],[Conta]],'Plano de Contas'!A:A,'Plano de Contas'!D:D)</f>
        <v>03 - Devoluções de Produtos</v>
      </c>
    </row>
    <row r="214" spans="1:5" x14ac:dyDescent="0.25">
      <c r="A214" s="23">
        <f t="shared" si="1"/>
        <v>43497</v>
      </c>
      <c r="B214" s="5" t="s">
        <v>123</v>
      </c>
      <c r="C214" s="5">
        <v>-2294</v>
      </c>
      <c r="D214" s="5" t="str">
        <f>_xlfn.XLOOKUP(fOrcado[[#This Row],[Conta]],'Plano de Contas'!A:A,'Plano de Contas'!C:C)</f>
        <v>(-) Deduções da Receita</v>
      </c>
      <c r="E214" s="5" t="str">
        <f>_xlfn.XLOOKUP(fOrcado[[#This Row],[Conta]],'Plano de Contas'!A:A,'Plano de Contas'!D:D)</f>
        <v>03 - Devoluções de Produtos</v>
      </c>
    </row>
    <row r="215" spans="1:5" x14ac:dyDescent="0.25">
      <c r="A215" s="23">
        <f t="shared" si="1"/>
        <v>43497</v>
      </c>
      <c r="B215" s="5" t="s">
        <v>124</v>
      </c>
      <c r="C215" s="5">
        <v>-3526</v>
      </c>
      <c r="D215" s="5" t="str">
        <f>_xlfn.XLOOKUP(fOrcado[[#This Row],[Conta]],'Plano de Contas'!A:A,'Plano de Contas'!C:C)</f>
        <v>(-) Deduções da Receita</v>
      </c>
      <c r="E215" s="5" t="str">
        <f>_xlfn.XLOOKUP(fOrcado[[#This Row],[Conta]],'Plano de Contas'!A:A,'Plano de Contas'!D:D)</f>
        <v>03 - Devoluções de Produtos</v>
      </c>
    </row>
    <row r="216" spans="1:5" x14ac:dyDescent="0.25">
      <c r="A216" s="23">
        <f t="shared" si="1"/>
        <v>43497</v>
      </c>
      <c r="B216" s="5" t="s">
        <v>125</v>
      </c>
      <c r="C216" s="5">
        <v>-6752</v>
      </c>
      <c r="D216" s="5" t="str">
        <f>_xlfn.XLOOKUP(fOrcado[[#This Row],[Conta]],'Plano de Contas'!A:A,'Plano de Contas'!C:C)</f>
        <v>(-) Deduções da Receita</v>
      </c>
      <c r="E216" s="5" t="str">
        <f>_xlfn.XLOOKUP(fOrcado[[#This Row],[Conta]],'Plano de Contas'!A:A,'Plano de Contas'!D:D)</f>
        <v>03 - Devoluções de Produtos</v>
      </c>
    </row>
    <row r="217" spans="1:5" x14ac:dyDescent="0.25">
      <c r="A217" s="23">
        <f t="shared" si="1"/>
        <v>43497</v>
      </c>
      <c r="B217" s="5" t="s">
        <v>126</v>
      </c>
      <c r="C217" s="5">
        <v>-1398</v>
      </c>
      <c r="D217" s="5" t="str">
        <f>_xlfn.XLOOKUP(fOrcado[[#This Row],[Conta]],'Plano de Contas'!A:A,'Plano de Contas'!C:C)</f>
        <v>(-) Deduções da Receita</v>
      </c>
      <c r="E217" s="5" t="str">
        <f>_xlfn.XLOOKUP(fOrcado[[#This Row],[Conta]],'Plano de Contas'!A:A,'Plano de Contas'!D:D)</f>
        <v>03 - Devoluções de Produtos</v>
      </c>
    </row>
    <row r="218" spans="1:5" x14ac:dyDescent="0.25">
      <c r="A218" s="23">
        <f t="shared" si="1"/>
        <v>43497</v>
      </c>
      <c r="B218" s="5" t="s">
        <v>127</v>
      </c>
      <c r="C218" s="5">
        <v>-4959</v>
      </c>
      <c r="D218" s="5" t="str">
        <f>_xlfn.XLOOKUP(fOrcado[[#This Row],[Conta]],'Plano de Contas'!A:A,'Plano de Contas'!C:C)</f>
        <v>(-) Deduções da Receita</v>
      </c>
      <c r="E218" s="5" t="str">
        <f>_xlfn.XLOOKUP(fOrcado[[#This Row],[Conta]],'Plano de Contas'!A:A,'Plano de Contas'!D:D)</f>
        <v>03 - Devoluções de Produtos</v>
      </c>
    </row>
    <row r="219" spans="1:5" x14ac:dyDescent="0.25">
      <c r="A219" s="23">
        <f t="shared" si="1"/>
        <v>43497</v>
      </c>
      <c r="B219" s="5" t="s">
        <v>128</v>
      </c>
      <c r="C219" s="5">
        <v>-3777</v>
      </c>
      <c r="D219" s="5" t="str">
        <f>_xlfn.XLOOKUP(fOrcado[[#This Row],[Conta]],'Plano de Contas'!A:A,'Plano de Contas'!C:C)</f>
        <v>(-) Deduções da Receita</v>
      </c>
      <c r="E219" s="5" t="str">
        <f>_xlfn.XLOOKUP(fOrcado[[#This Row],[Conta]],'Plano de Contas'!A:A,'Plano de Contas'!D:D)</f>
        <v>03 - Devoluções de Produtos</v>
      </c>
    </row>
    <row r="220" spans="1:5" x14ac:dyDescent="0.25">
      <c r="A220" s="23">
        <f t="shared" si="1"/>
        <v>43497</v>
      </c>
      <c r="B220" s="5" t="s">
        <v>129</v>
      </c>
      <c r="C220" s="5">
        <v>-9393</v>
      </c>
      <c r="D220" s="5" t="str">
        <f>_xlfn.XLOOKUP(fOrcado[[#This Row],[Conta]],'Plano de Contas'!A:A,'Plano de Contas'!C:C)</f>
        <v>(-) Deduções da Receita</v>
      </c>
      <c r="E220" s="5" t="str">
        <f>_xlfn.XLOOKUP(fOrcado[[#This Row],[Conta]],'Plano de Contas'!A:A,'Plano de Contas'!D:D)</f>
        <v>03 - Devoluções de Produtos</v>
      </c>
    </row>
    <row r="221" spans="1:5" x14ac:dyDescent="0.25">
      <c r="A221" s="23">
        <f t="shared" si="1"/>
        <v>43497</v>
      </c>
      <c r="B221" s="5" t="s">
        <v>130</v>
      </c>
      <c r="C221" s="5">
        <v>-8914</v>
      </c>
      <c r="D221" s="5" t="str">
        <f>_xlfn.XLOOKUP(fOrcado[[#This Row],[Conta]],'Plano de Contas'!A:A,'Plano de Contas'!C:C)</f>
        <v>(-) Deduções da Receita</v>
      </c>
      <c r="E221" s="5" t="str">
        <f>_xlfn.XLOOKUP(fOrcado[[#This Row],[Conta]],'Plano de Contas'!A:A,'Plano de Contas'!D:D)</f>
        <v>03 - Devoluções de Produtos</v>
      </c>
    </row>
    <row r="222" spans="1:5" x14ac:dyDescent="0.25">
      <c r="A222" s="23">
        <f t="shared" si="1"/>
        <v>43497</v>
      </c>
      <c r="B222" s="5" t="s">
        <v>131</v>
      </c>
      <c r="C222" s="5">
        <v>-5551</v>
      </c>
      <c r="D222" s="5" t="str">
        <f>_xlfn.XLOOKUP(fOrcado[[#This Row],[Conta]],'Plano de Contas'!A:A,'Plano de Contas'!C:C)</f>
        <v>(-) Deduções da Receita</v>
      </c>
      <c r="E222" s="5" t="str">
        <f>_xlfn.XLOOKUP(fOrcado[[#This Row],[Conta]],'Plano de Contas'!A:A,'Plano de Contas'!D:D)</f>
        <v>03 - Devoluções de Produtos</v>
      </c>
    </row>
    <row r="223" spans="1:5" x14ac:dyDescent="0.25">
      <c r="A223" s="23">
        <f t="shared" si="1"/>
        <v>43497</v>
      </c>
      <c r="B223" s="5" t="s">
        <v>132</v>
      </c>
      <c r="C223" s="5">
        <v>-4583</v>
      </c>
      <c r="D223" s="5" t="str">
        <f>_xlfn.XLOOKUP(fOrcado[[#This Row],[Conta]],'Plano de Contas'!A:A,'Plano de Contas'!C:C)</f>
        <v>(-) Deduções da Receita</v>
      </c>
      <c r="E223" s="5" t="str">
        <f>_xlfn.XLOOKUP(fOrcado[[#This Row],[Conta]],'Plano de Contas'!A:A,'Plano de Contas'!D:D)</f>
        <v>03 - Devoluções de Produtos</v>
      </c>
    </row>
    <row r="224" spans="1:5" x14ac:dyDescent="0.25">
      <c r="A224" s="23">
        <f t="shared" si="1"/>
        <v>43497</v>
      </c>
      <c r="B224" s="5" t="s">
        <v>133</v>
      </c>
      <c r="C224" s="5">
        <v>-5888</v>
      </c>
      <c r="D224" s="5" t="str">
        <f>_xlfn.XLOOKUP(fOrcado[[#This Row],[Conta]],'Plano de Contas'!A:A,'Plano de Contas'!C:C)</f>
        <v>(-) Deduções da Receita</v>
      </c>
      <c r="E224" s="5" t="str">
        <f>_xlfn.XLOOKUP(fOrcado[[#This Row],[Conta]],'Plano de Contas'!A:A,'Plano de Contas'!D:D)</f>
        <v>03 - Devoluções de Produtos</v>
      </c>
    </row>
    <row r="225" spans="1:5" x14ac:dyDescent="0.25">
      <c r="A225" s="23">
        <f t="shared" si="1"/>
        <v>43497</v>
      </c>
      <c r="B225" s="5" t="s">
        <v>134</v>
      </c>
      <c r="C225" s="5">
        <v>-5463</v>
      </c>
      <c r="D225" s="5" t="str">
        <f>_xlfn.XLOOKUP(fOrcado[[#This Row],[Conta]],'Plano de Contas'!A:A,'Plano de Contas'!C:C)</f>
        <v>(-) Deduções da Receita</v>
      </c>
      <c r="E225" s="5" t="str">
        <f>_xlfn.XLOOKUP(fOrcado[[#This Row],[Conta]],'Plano de Contas'!A:A,'Plano de Contas'!D:D)</f>
        <v>03 - Devoluções de Produtos</v>
      </c>
    </row>
    <row r="226" spans="1:5" x14ac:dyDescent="0.25">
      <c r="A226" s="23">
        <f t="shared" si="1"/>
        <v>43497</v>
      </c>
      <c r="B226" s="5" t="s">
        <v>135</v>
      </c>
      <c r="C226" s="5">
        <v>-6467</v>
      </c>
      <c r="D226" s="5" t="str">
        <f>_xlfn.XLOOKUP(fOrcado[[#This Row],[Conta]],'Plano de Contas'!A:A,'Plano de Contas'!C:C)</f>
        <v>(-) Deduções da Receita</v>
      </c>
      <c r="E226" s="5" t="str">
        <f>_xlfn.XLOOKUP(fOrcado[[#This Row],[Conta]],'Plano de Contas'!A:A,'Plano de Contas'!D:D)</f>
        <v>03 - Devoluções de Produtos</v>
      </c>
    </row>
    <row r="227" spans="1:5" x14ac:dyDescent="0.25">
      <c r="A227" s="23">
        <f t="shared" si="1"/>
        <v>43497</v>
      </c>
      <c r="B227" s="5" t="s">
        <v>136</v>
      </c>
      <c r="C227" s="5">
        <v>-7915</v>
      </c>
      <c r="D227" s="5" t="str">
        <f>_xlfn.XLOOKUP(fOrcado[[#This Row],[Conta]],'Plano de Contas'!A:A,'Plano de Contas'!C:C)</f>
        <v>(-) Deduções da Receita</v>
      </c>
      <c r="E227" s="5" t="str">
        <f>_xlfn.XLOOKUP(fOrcado[[#This Row],[Conta]],'Plano de Contas'!A:A,'Plano de Contas'!D:D)</f>
        <v>04 - Taxas de Serviço</v>
      </c>
    </row>
    <row r="228" spans="1:5" x14ac:dyDescent="0.25">
      <c r="A228" s="23">
        <f t="shared" si="1"/>
        <v>43497</v>
      </c>
      <c r="B228" s="5" t="s">
        <v>137</v>
      </c>
      <c r="C228" s="5">
        <v>-5438</v>
      </c>
      <c r="D228" s="5" t="str">
        <f>_xlfn.XLOOKUP(fOrcado[[#This Row],[Conta]],'Plano de Contas'!A:A,'Plano de Contas'!C:C)</f>
        <v>(-) Deduções da Receita</v>
      </c>
      <c r="E228" s="5" t="str">
        <f>_xlfn.XLOOKUP(fOrcado[[#This Row],[Conta]],'Plano de Contas'!A:A,'Plano de Contas'!D:D)</f>
        <v>04 - Taxas de Serviço</v>
      </c>
    </row>
    <row r="229" spans="1:5" x14ac:dyDescent="0.25">
      <c r="A229" s="23">
        <f t="shared" si="1"/>
        <v>43497</v>
      </c>
      <c r="B229" s="5" t="s">
        <v>138</v>
      </c>
      <c r="C229" s="5">
        <v>-6266</v>
      </c>
      <c r="D229" s="5" t="str">
        <f>_xlfn.XLOOKUP(fOrcado[[#This Row],[Conta]],'Plano de Contas'!A:A,'Plano de Contas'!C:C)</f>
        <v>(-) Deduções da Receita</v>
      </c>
      <c r="E229" s="5" t="str">
        <f>_xlfn.XLOOKUP(fOrcado[[#This Row],[Conta]],'Plano de Contas'!A:A,'Plano de Contas'!D:D)</f>
        <v>04 - Taxas de Serviço</v>
      </c>
    </row>
    <row r="230" spans="1:5" x14ac:dyDescent="0.25">
      <c r="A230" s="23">
        <f t="shared" si="1"/>
        <v>43497</v>
      </c>
      <c r="B230" s="5" t="s">
        <v>139</v>
      </c>
      <c r="C230" s="5">
        <v>-7948</v>
      </c>
      <c r="D230" s="5" t="str">
        <f>_xlfn.XLOOKUP(fOrcado[[#This Row],[Conta]],'Plano de Contas'!A:A,'Plano de Contas'!C:C)</f>
        <v>(-) Deduções da Receita</v>
      </c>
      <c r="E230" s="5" t="str">
        <f>_xlfn.XLOOKUP(fOrcado[[#This Row],[Conta]],'Plano de Contas'!A:A,'Plano de Contas'!D:D)</f>
        <v>04 - Taxas de Serviço</v>
      </c>
    </row>
    <row r="231" spans="1:5" x14ac:dyDescent="0.25">
      <c r="A231" s="23">
        <f t="shared" si="1"/>
        <v>43497</v>
      </c>
      <c r="B231" s="5" t="s">
        <v>140</v>
      </c>
      <c r="C231" s="5">
        <v>-276230</v>
      </c>
      <c r="D231" s="5" t="str">
        <f>_xlfn.XLOOKUP(fOrcado[[#This Row],[Conta]],'Plano de Contas'!A:A,'Plano de Contas'!C:C)</f>
        <v>(-) Custos de Vendas</v>
      </c>
      <c r="E231" s="5" t="str">
        <f>_xlfn.XLOOKUP(fOrcado[[#This Row],[Conta]],'Plano de Contas'!A:A,'Plano de Contas'!D:D)</f>
        <v>05 - Custo do Produto</v>
      </c>
    </row>
    <row r="232" spans="1:5" x14ac:dyDescent="0.25">
      <c r="A232" s="23">
        <f t="shared" si="1"/>
        <v>43497</v>
      </c>
      <c r="B232" s="5" t="s">
        <v>141</v>
      </c>
      <c r="C232" s="5">
        <v>-101743</v>
      </c>
      <c r="D232" s="5" t="str">
        <f>_xlfn.XLOOKUP(fOrcado[[#This Row],[Conta]],'Plano de Contas'!A:A,'Plano de Contas'!C:C)</f>
        <v>(-) Custos de Vendas</v>
      </c>
      <c r="E232" s="5" t="str">
        <f>_xlfn.XLOOKUP(fOrcado[[#This Row],[Conta]],'Plano de Contas'!A:A,'Plano de Contas'!D:D)</f>
        <v>05 - Custo do Produto</v>
      </c>
    </row>
    <row r="233" spans="1:5" x14ac:dyDescent="0.25">
      <c r="A233" s="23">
        <f t="shared" si="1"/>
        <v>43497</v>
      </c>
      <c r="B233" s="5" t="s">
        <v>142</v>
      </c>
      <c r="C233" s="5">
        <v>-278035</v>
      </c>
      <c r="D233" s="5" t="str">
        <f>_xlfn.XLOOKUP(fOrcado[[#This Row],[Conta]],'Plano de Contas'!A:A,'Plano de Contas'!C:C)</f>
        <v>(-) Custos de Vendas</v>
      </c>
      <c r="E233" s="5" t="str">
        <f>_xlfn.XLOOKUP(fOrcado[[#This Row],[Conta]],'Plano de Contas'!A:A,'Plano de Contas'!D:D)</f>
        <v>05 - Custo do Produto</v>
      </c>
    </row>
    <row r="234" spans="1:5" x14ac:dyDescent="0.25">
      <c r="A234" s="23">
        <f t="shared" si="1"/>
        <v>43497</v>
      </c>
      <c r="B234" s="5" t="s">
        <v>143</v>
      </c>
      <c r="C234" s="5">
        <v>-88681</v>
      </c>
      <c r="D234" s="5" t="str">
        <f>_xlfn.XLOOKUP(fOrcado[[#This Row],[Conta]],'Plano de Contas'!A:A,'Plano de Contas'!C:C)</f>
        <v>(-) Custos de Vendas</v>
      </c>
      <c r="E234" s="5" t="str">
        <f>_xlfn.XLOOKUP(fOrcado[[#This Row],[Conta]],'Plano de Contas'!A:A,'Plano de Contas'!D:D)</f>
        <v>05 - Custo do Produto</v>
      </c>
    </row>
    <row r="235" spans="1:5" x14ac:dyDescent="0.25">
      <c r="A235" s="23">
        <f t="shared" si="1"/>
        <v>43497</v>
      </c>
      <c r="B235" s="5" t="s">
        <v>144</v>
      </c>
      <c r="C235" s="5">
        <v>-92842</v>
      </c>
      <c r="D235" s="5" t="str">
        <f>_xlfn.XLOOKUP(fOrcado[[#This Row],[Conta]],'Plano de Contas'!A:A,'Plano de Contas'!C:C)</f>
        <v>(-) Custos de Vendas</v>
      </c>
      <c r="E235" s="5" t="str">
        <f>_xlfn.XLOOKUP(fOrcado[[#This Row],[Conta]],'Plano de Contas'!A:A,'Plano de Contas'!D:D)</f>
        <v>05 - Custo do Produto</v>
      </c>
    </row>
    <row r="236" spans="1:5" x14ac:dyDescent="0.25">
      <c r="A236" s="23">
        <f t="shared" si="1"/>
        <v>43497</v>
      </c>
      <c r="B236" s="5" t="s">
        <v>145</v>
      </c>
      <c r="C236" s="5">
        <v>-171518</v>
      </c>
      <c r="D236" s="5" t="str">
        <f>_xlfn.XLOOKUP(fOrcado[[#This Row],[Conta]],'Plano de Contas'!A:A,'Plano de Contas'!C:C)</f>
        <v>(-) Custos de Vendas</v>
      </c>
      <c r="E236" s="5" t="str">
        <f>_xlfn.XLOOKUP(fOrcado[[#This Row],[Conta]],'Plano de Contas'!A:A,'Plano de Contas'!D:D)</f>
        <v>05 - Custo do Produto</v>
      </c>
    </row>
    <row r="237" spans="1:5" x14ac:dyDescent="0.25">
      <c r="A237" s="23">
        <f t="shared" si="1"/>
        <v>43497</v>
      </c>
      <c r="B237" s="5" t="s">
        <v>146</v>
      </c>
      <c r="C237" s="5">
        <v>-158905</v>
      </c>
      <c r="D237" s="5" t="str">
        <f>_xlfn.XLOOKUP(fOrcado[[#This Row],[Conta]],'Plano de Contas'!A:A,'Plano de Contas'!C:C)</f>
        <v>(-) Custos de Vendas</v>
      </c>
      <c r="E237" s="5" t="str">
        <f>_xlfn.XLOOKUP(fOrcado[[#This Row],[Conta]],'Plano de Contas'!A:A,'Plano de Contas'!D:D)</f>
        <v>05 - Custo do Produto</v>
      </c>
    </row>
    <row r="238" spans="1:5" x14ac:dyDescent="0.25">
      <c r="A238" s="23">
        <f t="shared" si="1"/>
        <v>43497</v>
      </c>
      <c r="B238" s="5" t="s">
        <v>147</v>
      </c>
      <c r="C238" s="5">
        <v>-159695</v>
      </c>
      <c r="D238" s="5" t="str">
        <f>_xlfn.XLOOKUP(fOrcado[[#This Row],[Conta]],'Plano de Contas'!A:A,'Plano de Contas'!C:C)</f>
        <v>(-) Custos de Vendas</v>
      </c>
      <c r="E238" s="5" t="str">
        <f>_xlfn.XLOOKUP(fOrcado[[#This Row],[Conta]],'Plano de Contas'!A:A,'Plano de Contas'!D:D)</f>
        <v>05 - Custo do Produto</v>
      </c>
    </row>
    <row r="239" spans="1:5" x14ac:dyDescent="0.25">
      <c r="A239" s="23">
        <f t="shared" si="1"/>
        <v>43497</v>
      </c>
      <c r="B239" s="5" t="s">
        <v>148</v>
      </c>
      <c r="C239" s="5">
        <v>-280290</v>
      </c>
      <c r="D239" s="5" t="str">
        <f>_xlfn.XLOOKUP(fOrcado[[#This Row],[Conta]],'Plano de Contas'!A:A,'Plano de Contas'!C:C)</f>
        <v>(-) Custos de Vendas</v>
      </c>
      <c r="E239" s="5" t="str">
        <f>_xlfn.XLOOKUP(fOrcado[[#This Row],[Conta]],'Plano de Contas'!A:A,'Plano de Contas'!D:D)</f>
        <v>05 - Custo do Produto</v>
      </c>
    </row>
    <row r="240" spans="1:5" x14ac:dyDescent="0.25">
      <c r="A240" s="23">
        <f t="shared" si="1"/>
        <v>43497</v>
      </c>
      <c r="B240" s="5" t="s">
        <v>149</v>
      </c>
      <c r="C240" s="5">
        <v>-208415</v>
      </c>
      <c r="D240" s="5" t="str">
        <f>_xlfn.XLOOKUP(fOrcado[[#This Row],[Conta]],'Plano de Contas'!A:A,'Plano de Contas'!C:C)</f>
        <v>(-) Custos de Vendas</v>
      </c>
      <c r="E240" s="5" t="str">
        <f>_xlfn.XLOOKUP(fOrcado[[#This Row],[Conta]],'Plano de Contas'!A:A,'Plano de Contas'!D:D)</f>
        <v>05 - Custo do Produto</v>
      </c>
    </row>
    <row r="241" spans="1:5" x14ac:dyDescent="0.25">
      <c r="A241" s="23">
        <f t="shared" si="1"/>
        <v>43497</v>
      </c>
      <c r="B241" s="5" t="s">
        <v>150</v>
      </c>
      <c r="C241" s="5">
        <v>-269042</v>
      </c>
      <c r="D241" s="5" t="str">
        <f>_xlfn.XLOOKUP(fOrcado[[#This Row],[Conta]],'Plano de Contas'!A:A,'Plano de Contas'!C:C)</f>
        <v>(-) Custos de Vendas</v>
      </c>
      <c r="E241" s="5" t="str">
        <f>_xlfn.XLOOKUP(fOrcado[[#This Row],[Conta]],'Plano de Contas'!A:A,'Plano de Contas'!D:D)</f>
        <v>05 - Custo do Produto</v>
      </c>
    </row>
    <row r="242" spans="1:5" x14ac:dyDescent="0.25">
      <c r="A242" s="23">
        <f t="shared" si="1"/>
        <v>43497</v>
      </c>
      <c r="B242" s="5" t="s">
        <v>151</v>
      </c>
      <c r="C242" s="5">
        <v>-235949</v>
      </c>
      <c r="D242" s="5" t="str">
        <f>_xlfn.XLOOKUP(fOrcado[[#This Row],[Conta]],'Plano de Contas'!A:A,'Plano de Contas'!C:C)</f>
        <v>(-) Custos de Vendas</v>
      </c>
      <c r="E242" s="5" t="str">
        <f>_xlfn.XLOOKUP(fOrcado[[#This Row],[Conta]],'Plano de Contas'!A:A,'Plano de Contas'!D:D)</f>
        <v>05 - Custo do Produto</v>
      </c>
    </row>
    <row r="243" spans="1:5" x14ac:dyDescent="0.25">
      <c r="A243" s="23">
        <f t="shared" si="1"/>
        <v>43497</v>
      </c>
      <c r="B243" s="5" t="s">
        <v>152</v>
      </c>
      <c r="C243" s="5">
        <v>-178079</v>
      </c>
      <c r="D243" s="5" t="str">
        <f>_xlfn.XLOOKUP(fOrcado[[#This Row],[Conta]],'Plano de Contas'!A:A,'Plano de Contas'!C:C)</f>
        <v>(-) Custos de Vendas</v>
      </c>
      <c r="E243" s="5" t="str">
        <f>_xlfn.XLOOKUP(fOrcado[[#This Row],[Conta]],'Plano de Contas'!A:A,'Plano de Contas'!D:D)</f>
        <v>05 - Custo do Produto</v>
      </c>
    </row>
    <row r="244" spans="1:5" x14ac:dyDescent="0.25">
      <c r="A244" s="23">
        <f t="shared" si="1"/>
        <v>43497</v>
      </c>
      <c r="B244" s="5" t="s">
        <v>153</v>
      </c>
      <c r="C244" s="5">
        <v>-228731</v>
      </c>
      <c r="D244" s="5" t="str">
        <f>_xlfn.XLOOKUP(fOrcado[[#This Row],[Conta]],'Plano de Contas'!A:A,'Plano de Contas'!C:C)</f>
        <v>(-) Custos de Vendas</v>
      </c>
      <c r="E244" s="5" t="str">
        <f>_xlfn.XLOOKUP(fOrcado[[#This Row],[Conta]],'Plano de Contas'!A:A,'Plano de Contas'!D:D)</f>
        <v>05 - Custo do Produto</v>
      </c>
    </row>
    <row r="245" spans="1:5" x14ac:dyDescent="0.25">
      <c r="A245" s="23">
        <f t="shared" si="1"/>
        <v>43497</v>
      </c>
      <c r="B245" s="5" t="s">
        <v>154</v>
      </c>
      <c r="C245" s="5">
        <v>-149633</v>
      </c>
      <c r="D245" s="5" t="str">
        <f>_xlfn.XLOOKUP(fOrcado[[#This Row],[Conta]],'Plano de Contas'!A:A,'Plano de Contas'!C:C)</f>
        <v>(-) Custos de Vendas</v>
      </c>
      <c r="E245" s="5" t="str">
        <f>_xlfn.XLOOKUP(fOrcado[[#This Row],[Conta]],'Plano de Contas'!A:A,'Plano de Contas'!D:D)</f>
        <v>05 - Custo do Produto</v>
      </c>
    </row>
    <row r="246" spans="1:5" x14ac:dyDescent="0.25">
      <c r="A246" s="23">
        <f t="shared" si="1"/>
        <v>43497</v>
      </c>
      <c r="B246" s="5" t="s">
        <v>155</v>
      </c>
      <c r="C246" s="5">
        <v>-100795</v>
      </c>
      <c r="D246" s="5" t="str">
        <f>_xlfn.XLOOKUP(fOrcado[[#This Row],[Conta]],'Plano de Contas'!A:A,'Plano de Contas'!C:C)</f>
        <v>(-) Custos de Vendas</v>
      </c>
      <c r="E246" s="5" t="str">
        <f>_xlfn.XLOOKUP(fOrcado[[#This Row],[Conta]],'Plano de Contas'!A:A,'Plano de Contas'!D:D)</f>
        <v>05 - Custo do Produto</v>
      </c>
    </row>
    <row r="247" spans="1:5" x14ac:dyDescent="0.25">
      <c r="A247" s="23">
        <f t="shared" si="1"/>
        <v>43497</v>
      </c>
      <c r="B247" s="5" t="s">
        <v>156</v>
      </c>
      <c r="C247" s="5">
        <v>-141357</v>
      </c>
      <c r="D247" s="5" t="str">
        <f>_xlfn.XLOOKUP(fOrcado[[#This Row],[Conta]],'Plano de Contas'!A:A,'Plano de Contas'!C:C)</f>
        <v>(-) Custos de Vendas</v>
      </c>
      <c r="E247" s="5" t="str">
        <f>_xlfn.XLOOKUP(fOrcado[[#This Row],[Conta]],'Plano de Contas'!A:A,'Plano de Contas'!D:D)</f>
        <v>05 - Custo do Produto</v>
      </c>
    </row>
    <row r="248" spans="1:5" x14ac:dyDescent="0.25">
      <c r="A248" s="23">
        <f t="shared" si="1"/>
        <v>43497</v>
      </c>
      <c r="B248" s="5" t="s">
        <v>157</v>
      </c>
      <c r="C248" s="5">
        <v>-105180</v>
      </c>
      <c r="D248" s="5" t="str">
        <f>_xlfn.XLOOKUP(fOrcado[[#This Row],[Conta]],'Plano de Contas'!A:A,'Plano de Contas'!C:C)</f>
        <v>(-) Custos de Vendas</v>
      </c>
      <c r="E248" s="5" t="str">
        <f>_xlfn.XLOOKUP(fOrcado[[#This Row],[Conta]],'Plano de Contas'!A:A,'Plano de Contas'!D:D)</f>
        <v>05 - Custo do Produto</v>
      </c>
    </row>
    <row r="249" spans="1:5" x14ac:dyDescent="0.25">
      <c r="A249" s="23">
        <f t="shared" si="1"/>
        <v>43497</v>
      </c>
      <c r="B249" s="5" t="s">
        <v>158</v>
      </c>
      <c r="C249" s="5">
        <v>-141755</v>
      </c>
      <c r="D249" s="5" t="str">
        <f>_xlfn.XLOOKUP(fOrcado[[#This Row],[Conta]],'Plano de Contas'!A:A,'Plano de Contas'!C:C)</f>
        <v>(-) Custos de Vendas</v>
      </c>
      <c r="E249" s="5" t="str">
        <f>_xlfn.XLOOKUP(fOrcado[[#This Row],[Conta]],'Plano de Contas'!A:A,'Plano de Contas'!D:D)</f>
        <v>05 - Custo do Produto</v>
      </c>
    </row>
    <row r="250" spans="1:5" x14ac:dyDescent="0.25">
      <c r="A250" s="23">
        <f t="shared" si="1"/>
        <v>43497</v>
      </c>
      <c r="B250" s="5" t="s">
        <v>159</v>
      </c>
      <c r="C250" s="5">
        <v>-175025</v>
      </c>
      <c r="D250" s="5" t="str">
        <f>_xlfn.XLOOKUP(fOrcado[[#This Row],[Conta]],'Plano de Contas'!A:A,'Plano de Contas'!C:C)</f>
        <v>(-) Custos de Vendas</v>
      </c>
      <c r="E250" s="5" t="str">
        <f>_xlfn.XLOOKUP(fOrcado[[#This Row],[Conta]],'Plano de Contas'!A:A,'Plano de Contas'!D:D)</f>
        <v>05 - Custo do Produto</v>
      </c>
    </row>
    <row r="251" spans="1:5" x14ac:dyDescent="0.25">
      <c r="A251" s="23">
        <f t="shared" si="1"/>
        <v>43497</v>
      </c>
      <c r="B251" s="5" t="s">
        <v>160</v>
      </c>
      <c r="C251" s="5">
        <v>-198152</v>
      </c>
      <c r="D251" s="5" t="str">
        <f>_xlfn.XLOOKUP(fOrcado[[#This Row],[Conta]],'Plano de Contas'!A:A,'Plano de Contas'!C:C)</f>
        <v>(-) Custos de Vendas</v>
      </c>
      <c r="E251" s="5" t="str">
        <f>_xlfn.XLOOKUP(fOrcado[[#This Row],[Conta]],'Plano de Contas'!A:A,'Plano de Contas'!D:D)</f>
        <v>05 - Custo do Produto</v>
      </c>
    </row>
    <row r="252" spans="1:5" x14ac:dyDescent="0.25">
      <c r="A252" s="23">
        <f t="shared" si="1"/>
        <v>43497</v>
      </c>
      <c r="B252" s="5" t="s">
        <v>161</v>
      </c>
      <c r="C252" s="5">
        <v>-154519</v>
      </c>
      <c r="D252" s="5" t="str">
        <f>_xlfn.XLOOKUP(fOrcado[[#This Row],[Conta]],'Plano de Contas'!A:A,'Plano de Contas'!C:C)</f>
        <v>(-) Custos de Vendas</v>
      </c>
      <c r="E252" s="5" t="str">
        <f>_xlfn.XLOOKUP(fOrcado[[#This Row],[Conta]],'Plano de Contas'!A:A,'Plano de Contas'!D:D)</f>
        <v>05 - Custo do Produto</v>
      </c>
    </row>
    <row r="253" spans="1:5" x14ac:dyDescent="0.25">
      <c r="A253" s="23">
        <f t="shared" si="1"/>
        <v>43497</v>
      </c>
      <c r="B253" s="5" t="s">
        <v>162</v>
      </c>
      <c r="C253" s="5">
        <v>-97441</v>
      </c>
      <c r="D253" s="5" t="str">
        <f>_xlfn.XLOOKUP(fOrcado[[#This Row],[Conta]],'Plano de Contas'!A:A,'Plano de Contas'!C:C)</f>
        <v>(-) Custos de Vendas</v>
      </c>
      <c r="E253" s="5" t="str">
        <f>_xlfn.XLOOKUP(fOrcado[[#This Row],[Conta]],'Plano de Contas'!A:A,'Plano de Contas'!D:D)</f>
        <v>05 - Custo do Produto</v>
      </c>
    </row>
    <row r="254" spans="1:5" x14ac:dyDescent="0.25">
      <c r="A254" s="23">
        <f t="shared" si="1"/>
        <v>43497</v>
      </c>
      <c r="B254" s="5" t="s">
        <v>163</v>
      </c>
      <c r="C254" s="5">
        <v>-113359</v>
      </c>
      <c r="D254" s="5" t="str">
        <f>_xlfn.XLOOKUP(fOrcado[[#This Row],[Conta]],'Plano de Contas'!A:A,'Plano de Contas'!C:C)</f>
        <v>(-) Custos de Vendas</v>
      </c>
      <c r="E254" s="5" t="str">
        <f>_xlfn.XLOOKUP(fOrcado[[#This Row],[Conta]],'Plano de Contas'!A:A,'Plano de Contas'!D:D)</f>
        <v>05 - Custo do Produto</v>
      </c>
    </row>
    <row r="255" spans="1:5" x14ac:dyDescent="0.25">
      <c r="A255" s="23">
        <f t="shared" si="1"/>
        <v>43497</v>
      </c>
      <c r="B255" s="5" t="s">
        <v>164</v>
      </c>
      <c r="C255" s="5">
        <v>-54554</v>
      </c>
      <c r="D255" s="5" t="str">
        <f>_xlfn.XLOOKUP(fOrcado[[#This Row],[Conta]],'Plano de Contas'!A:A,'Plano de Contas'!C:C)</f>
        <v>(-) Custos de Vendas</v>
      </c>
      <c r="E255" s="5" t="str">
        <f>_xlfn.XLOOKUP(fOrcado[[#This Row],[Conta]],'Plano de Contas'!A:A,'Plano de Contas'!D:D)</f>
        <v>06 - Outros Custos</v>
      </c>
    </row>
    <row r="256" spans="1:5" x14ac:dyDescent="0.25">
      <c r="A256" s="23">
        <f t="shared" si="1"/>
        <v>43497</v>
      </c>
      <c r="B256" s="5" t="s">
        <v>165</v>
      </c>
      <c r="C256" s="5">
        <v>-54649</v>
      </c>
      <c r="D256" s="5" t="str">
        <f>_xlfn.XLOOKUP(fOrcado[[#This Row],[Conta]],'Plano de Contas'!A:A,'Plano de Contas'!C:C)</f>
        <v>(-) Custos de Vendas</v>
      </c>
      <c r="E256" s="5" t="str">
        <f>_xlfn.XLOOKUP(fOrcado[[#This Row],[Conta]],'Plano de Contas'!A:A,'Plano de Contas'!D:D)</f>
        <v>06 - Outros Custos</v>
      </c>
    </row>
    <row r="257" spans="1:5" x14ac:dyDescent="0.25">
      <c r="A257" s="23">
        <f t="shared" si="1"/>
        <v>43497</v>
      </c>
      <c r="B257" s="5" t="s">
        <v>166</v>
      </c>
      <c r="C257" s="5">
        <v>-62519</v>
      </c>
      <c r="D257" s="5" t="str">
        <f>_xlfn.XLOOKUP(fOrcado[[#This Row],[Conta]],'Plano de Contas'!A:A,'Plano de Contas'!C:C)</f>
        <v>(-) Custos de Vendas</v>
      </c>
      <c r="E257" s="5" t="str">
        <f>_xlfn.XLOOKUP(fOrcado[[#This Row],[Conta]],'Plano de Contas'!A:A,'Plano de Contas'!D:D)</f>
        <v>06 - Outros Custos</v>
      </c>
    </row>
    <row r="258" spans="1:5" x14ac:dyDescent="0.25">
      <c r="A258" s="23">
        <f t="shared" si="1"/>
        <v>43497</v>
      </c>
      <c r="B258" s="5" t="s">
        <v>167</v>
      </c>
      <c r="C258" s="5">
        <v>-147863</v>
      </c>
      <c r="D258" s="5" t="str">
        <f>_xlfn.XLOOKUP(fOrcado[[#This Row],[Conta]],'Plano de Contas'!A:A,'Plano de Contas'!C:C)</f>
        <v>(-) Despesas Gerais</v>
      </c>
      <c r="E258" s="5" t="str">
        <f>_xlfn.XLOOKUP(fOrcado[[#This Row],[Conta]],'Plano de Contas'!A:A,'Plano de Contas'!D:D)</f>
        <v>07 - Despesas Administrativas</v>
      </c>
    </row>
    <row r="259" spans="1:5" x14ac:dyDescent="0.25">
      <c r="A259" s="23">
        <f t="shared" si="1"/>
        <v>43497</v>
      </c>
      <c r="B259" s="5" t="s">
        <v>168</v>
      </c>
      <c r="C259" s="5">
        <v>-128502</v>
      </c>
      <c r="D259" s="5" t="str">
        <f>_xlfn.XLOOKUP(fOrcado[[#This Row],[Conta]],'Plano de Contas'!A:A,'Plano de Contas'!C:C)</f>
        <v>(-) Despesas Gerais</v>
      </c>
      <c r="E259" s="5" t="str">
        <f>_xlfn.XLOOKUP(fOrcado[[#This Row],[Conta]],'Plano de Contas'!A:A,'Plano de Contas'!D:D)</f>
        <v>07 - Despesas Administrativas</v>
      </c>
    </row>
    <row r="260" spans="1:5" x14ac:dyDescent="0.25">
      <c r="A260" s="23">
        <f t="shared" si="1"/>
        <v>43497</v>
      </c>
      <c r="B260" s="5" t="s">
        <v>169</v>
      </c>
      <c r="C260" s="5">
        <v>-107468</v>
      </c>
      <c r="D260" s="5" t="str">
        <f>_xlfn.XLOOKUP(fOrcado[[#This Row],[Conta]],'Plano de Contas'!A:A,'Plano de Contas'!C:C)</f>
        <v>(-) Despesas Gerais</v>
      </c>
      <c r="E260" s="5" t="str">
        <f>_xlfn.XLOOKUP(fOrcado[[#This Row],[Conta]],'Plano de Contas'!A:A,'Plano de Contas'!D:D)</f>
        <v>07 - Despesas Administrativas</v>
      </c>
    </row>
    <row r="261" spans="1:5" x14ac:dyDescent="0.25">
      <c r="A261" s="23">
        <f t="shared" si="1"/>
        <v>43497</v>
      </c>
      <c r="B261" s="5" t="s">
        <v>170</v>
      </c>
      <c r="C261" s="5">
        <v>-94611</v>
      </c>
      <c r="D261" s="5" t="str">
        <f>_xlfn.XLOOKUP(fOrcado[[#This Row],[Conta]],'Plano de Contas'!A:A,'Plano de Contas'!C:C)</f>
        <v>(-) Despesas Gerais</v>
      </c>
      <c r="E261" s="5" t="str">
        <f>_xlfn.XLOOKUP(fOrcado[[#This Row],[Conta]],'Plano de Contas'!A:A,'Plano de Contas'!D:D)</f>
        <v>07 - Despesas Administrativas</v>
      </c>
    </row>
    <row r="262" spans="1:5" x14ac:dyDescent="0.25">
      <c r="A262" s="23">
        <f t="shared" si="1"/>
        <v>43497</v>
      </c>
      <c r="B262" s="5" t="s">
        <v>171</v>
      </c>
      <c r="C262" s="5">
        <v>-176114</v>
      </c>
      <c r="D262" s="5" t="str">
        <f>_xlfn.XLOOKUP(fOrcado[[#This Row],[Conta]],'Plano de Contas'!A:A,'Plano de Contas'!C:C)</f>
        <v>(-) Despesas Gerais</v>
      </c>
      <c r="E262" s="5" t="str">
        <f>_xlfn.XLOOKUP(fOrcado[[#This Row],[Conta]],'Plano de Contas'!A:A,'Plano de Contas'!D:D)</f>
        <v>07 - Despesas Administrativas</v>
      </c>
    </row>
    <row r="263" spans="1:5" x14ac:dyDescent="0.25">
      <c r="A263" s="23">
        <f t="shared" si="1"/>
        <v>43497</v>
      </c>
      <c r="B263" s="5" t="s">
        <v>172</v>
      </c>
      <c r="C263" s="5">
        <v>-235782</v>
      </c>
      <c r="D263" s="5" t="str">
        <f>_xlfn.XLOOKUP(fOrcado[[#This Row],[Conta]],'Plano de Contas'!A:A,'Plano de Contas'!C:C)</f>
        <v>(-) Despesas Gerais</v>
      </c>
      <c r="E263" s="5" t="str">
        <f>_xlfn.XLOOKUP(fOrcado[[#This Row],[Conta]],'Plano de Contas'!A:A,'Plano de Contas'!D:D)</f>
        <v>07 - Despesas Administrativas</v>
      </c>
    </row>
    <row r="264" spans="1:5" x14ac:dyDescent="0.25">
      <c r="A264" s="23">
        <f t="shared" si="1"/>
        <v>43497</v>
      </c>
      <c r="B264" s="5" t="s">
        <v>173</v>
      </c>
      <c r="C264" s="5">
        <v>-43640</v>
      </c>
      <c r="D264" s="5" t="str">
        <f>_xlfn.XLOOKUP(fOrcado[[#This Row],[Conta]],'Plano de Contas'!A:A,'Plano de Contas'!C:C)</f>
        <v>(-) Despesas Gerais</v>
      </c>
      <c r="E264" s="5" t="str">
        <f>_xlfn.XLOOKUP(fOrcado[[#This Row],[Conta]],'Plano de Contas'!A:A,'Plano de Contas'!D:D)</f>
        <v>08 - Despesas Financeiras</v>
      </c>
    </row>
    <row r="265" spans="1:5" x14ac:dyDescent="0.25">
      <c r="A265" s="23">
        <f t="shared" si="1"/>
        <v>43497</v>
      </c>
      <c r="B265" s="5" t="s">
        <v>174</v>
      </c>
      <c r="C265" s="5">
        <v>-44617</v>
      </c>
      <c r="D265" s="5" t="str">
        <f>_xlfn.XLOOKUP(fOrcado[[#This Row],[Conta]],'Plano de Contas'!A:A,'Plano de Contas'!C:C)</f>
        <v>(-) Despesas Gerais</v>
      </c>
      <c r="E265" s="5" t="str">
        <f>_xlfn.XLOOKUP(fOrcado[[#This Row],[Conta]],'Plano de Contas'!A:A,'Plano de Contas'!D:D)</f>
        <v>08 - Despesas Financeiras</v>
      </c>
    </row>
    <row r="266" spans="1:5" x14ac:dyDescent="0.25">
      <c r="A266" s="23">
        <f t="shared" si="1"/>
        <v>43497</v>
      </c>
      <c r="B266" s="5" t="s">
        <v>175</v>
      </c>
      <c r="C266" s="5">
        <v>-43484</v>
      </c>
      <c r="D266" s="5" t="str">
        <f>_xlfn.XLOOKUP(fOrcado[[#This Row],[Conta]],'Plano de Contas'!A:A,'Plano de Contas'!C:C)</f>
        <v>(-) Despesas Gerais</v>
      </c>
      <c r="E266" s="5" t="str">
        <f>_xlfn.XLOOKUP(fOrcado[[#This Row],[Conta]],'Plano de Contas'!A:A,'Plano de Contas'!D:D)</f>
        <v>08 - Despesas Financeiras</v>
      </c>
    </row>
    <row r="267" spans="1:5" x14ac:dyDescent="0.25">
      <c r="A267" s="23">
        <f t="shared" si="1"/>
        <v>43497</v>
      </c>
      <c r="B267" s="5" t="s">
        <v>176</v>
      </c>
      <c r="C267" s="5">
        <v>-44437</v>
      </c>
      <c r="D267" s="5" t="str">
        <f>_xlfn.XLOOKUP(fOrcado[[#This Row],[Conta]],'Plano de Contas'!A:A,'Plano de Contas'!C:C)</f>
        <v>(-) Despesas Gerais</v>
      </c>
      <c r="E267" s="5" t="str">
        <f>_xlfn.XLOOKUP(fOrcado[[#This Row],[Conta]],'Plano de Contas'!A:A,'Plano de Contas'!D:D)</f>
        <v>08 - Despesas Financeiras</v>
      </c>
    </row>
    <row r="268" spans="1:5" x14ac:dyDescent="0.25">
      <c r="A268" s="23">
        <f t="shared" si="1"/>
        <v>43497</v>
      </c>
      <c r="B268" s="5" t="s">
        <v>177</v>
      </c>
      <c r="C268" s="5">
        <v>-44202</v>
      </c>
      <c r="D268" s="5" t="str">
        <f>_xlfn.XLOOKUP(fOrcado[[#This Row],[Conta]],'Plano de Contas'!A:A,'Plano de Contas'!C:C)</f>
        <v>(-) Despesas Gerais</v>
      </c>
      <c r="E268" s="5" t="str">
        <f>_xlfn.XLOOKUP(fOrcado[[#This Row],[Conta]],'Plano de Contas'!A:A,'Plano de Contas'!D:D)</f>
        <v>08 - Despesas Financeiras</v>
      </c>
    </row>
    <row r="269" spans="1:5" x14ac:dyDescent="0.25">
      <c r="A269" s="23">
        <f t="shared" si="1"/>
        <v>43497</v>
      </c>
      <c r="B269" s="5" t="s">
        <v>178</v>
      </c>
      <c r="C269" s="5">
        <v>-184115</v>
      </c>
      <c r="D269" s="5" t="str">
        <f>_xlfn.XLOOKUP(fOrcado[[#This Row],[Conta]],'Plano de Contas'!A:A,'Plano de Contas'!C:C)</f>
        <v>(-) Despesas Gerais</v>
      </c>
      <c r="E269" s="5" t="str">
        <f>_xlfn.XLOOKUP(fOrcado[[#This Row],[Conta]],'Plano de Contas'!A:A,'Plano de Contas'!D:D)</f>
        <v>09 - Tecnologia da Informação</v>
      </c>
    </row>
    <row r="270" spans="1:5" x14ac:dyDescent="0.25">
      <c r="A270" s="23">
        <f t="shared" si="1"/>
        <v>43497</v>
      </c>
      <c r="B270" s="5" t="s">
        <v>179</v>
      </c>
      <c r="C270" s="5">
        <v>-209547</v>
      </c>
      <c r="D270" s="5" t="str">
        <f>_xlfn.XLOOKUP(fOrcado[[#This Row],[Conta]],'Plano de Contas'!A:A,'Plano de Contas'!C:C)</f>
        <v>(-) Despesas Gerais</v>
      </c>
      <c r="E270" s="5" t="str">
        <f>_xlfn.XLOOKUP(fOrcado[[#This Row],[Conta]],'Plano de Contas'!A:A,'Plano de Contas'!D:D)</f>
        <v>09 - Tecnologia da Informação</v>
      </c>
    </row>
    <row r="271" spans="1:5" x14ac:dyDescent="0.25">
      <c r="A271" s="23">
        <f t="shared" ref="A271:A334" si="2">EDATE(A131,1)</f>
        <v>43497</v>
      </c>
      <c r="B271" s="5" t="s">
        <v>180</v>
      </c>
      <c r="C271" s="5">
        <v>-180557</v>
      </c>
      <c r="D271" s="5" t="str">
        <f>_xlfn.XLOOKUP(fOrcado[[#This Row],[Conta]],'Plano de Contas'!A:A,'Plano de Contas'!C:C)</f>
        <v>(-) Despesas Gerais</v>
      </c>
      <c r="E271" s="5" t="str">
        <f>_xlfn.XLOOKUP(fOrcado[[#This Row],[Conta]],'Plano de Contas'!A:A,'Plano de Contas'!D:D)</f>
        <v>09 - Tecnologia da Informação</v>
      </c>
    </row>
    <row r="272" spans="1:5" x14ac:dyDescent="0.25">
      <c r="A272" s="23">
        <f t="shared" si="2"/>
        <v>43497</v>
      </c>
      <c r="B272" s="5" t="s">
        <v>181</v>
      </c>
      <c r="C272" s="5">
        <v>-87650</v>
      </c>
      <c r="D272" s="5" t="str">
        <f>_xlfn.XLOOKUP(fOrcado[[#This Row],[Conta]],'Plano de Contas'!A:A,'Plano de Contas'!C:C)</f>
        <v>(-) Despesas Gerais</v>
      </c>
      <c r="E272" s="5" t="str">
        <f>_xlfn.XLOOKUP(fOrcado[[#This Row],[Conta]],'Plano de Contas'!A:A,'Plano de Contas'!D:D)</f>
        <v>10 - Recursos Humanos</v>
      </c>
    </row>
    <row r="273" spans="1:5" x14ac:dyDescent="0.25">
      <c r="A273" s="23">
        <f t="shared" si="2"/>
        <v>43497</v>
      </c>
      <c r="B273" s="5" t="s">
        <v>182</v>
      </c>
      <c r="C273" s="5">
        <v>-71293</v>
      </c>
      <c r="D273" s="5" t="str">
        <f>_xlfn.XLOOKUP(fOrcado[[#This Row],[Conta]],'Plano de Contas'!A:A,'Plano de Contas'!C:C)</f>
        <v>(-) Despesas Gerais</v>
      </c>
      <c r="E273" s="5" t="str">
        <f>_xlfn.XLOOKUP(fOrcado[[#This Row],[Conta]],'Plano de Contas'!A:A,'Plano de Contas'!D:D)</f>
        <v>10 - Recursos Humanos</v>
      </c>
    </row>
    <row r="274" spans="1:5" x14ac:dyDescent="0.25">
      <c r="A274" s="23">
        <f t="shared" si="2"/>
        <v>43497</v>
      </c>
      <c r="B274" s="5" t="s">
        <v>183</v>
      </c>
      <c r="C274" s="5">
        <v>-75751</v>
      </c>
      <c r="D274" s="5" t="str">
        <f>_xlfn.XLOOKUP(fOrcado[[#This Row],[Conta]],'Plano de Contas'!A:A,'Plano de Contas'!C:C)</f>
        <v>(-) Despesas Gerais</v>
      </c>
      <c r="E274" s="5" t="str">
        <f>_xlfn.XLOOKUP(fOrcado[[#This Row],[Conta]],'Plano de Contas'!A:A,'Plano de Contas'!D:D)</f>
        <v>10 - Recursos Humanos</v>
      </c>
    </row>
    <row r="275" spans="1:5" x14ac:dyDescent="0.25">
      <c r="A275" s="23">
        <f t="shared" si="2"/>
        <v>43497</v>
      </c>
      <c r="B275" s="5" t="s">
        <v>184</v>
      </c>
      <c r="C275" s="5">
        <v>-55776</v>
      </c>
      <c r="D275" s="5" t="str">
        <f>_xlfn.XLOOKUP(fOrcado[[#This Row],[Conta]],'Plano de Contas'!A:A,'Plano de Contas'!C:C)</f>
        <v>(-) Despesas Gerais</v>
      </c>
      <c r="E275" s="5" t="str">
        <f>_xlfn.XLOOKUP(fOrcado[[#This Row],[Conta]],'Plano de Contas'!A:A,'Plano de Contas'!D:D)</f>
        <v>10 - Recursos Humanos</v>
      </c>
    </row>
    <row r="276" spans="1:5" x14ac:dyDescent="0.25">
      <c r="A276" s="23">
        <f t="shared" si="2"/>
        <v>43497</v>
      </c>
      <c r="B276" s="5" t="s">
        <v>185</v>
      </c>
      <c r="C276" s="5">
        <v>-108929</v>
      </c>
      <c r="D276" s="5" t="str">
        <f>_xlfn.XLOOKUP(fOrcado[[#This Row],[Conta]],'Plano de Contas'!A:A,'Plano de Contas'!C:C)</f>
        <v>(-) Despesas Gerais</v>
      </c>
      <c r="E276" s="5" t="str">
        <f>_xlfn.XLOOKUP(fOrcado[[#This Row],[Conta]],'Plano de Contas'!A:A,'Plano de Contas'!D:D)</f>
        <v>11 - Relacionamento com Cliente</v>
      </c>
    </row>
    <row r="277" spans="1:5" x14ac:dyDescent="0.25">
      <c r="A277" s="23">
        <f t="shared" si="2"/>
        <v>43497</v>
      </c>
      <c r="B277" s="5" t="s">
        <v>186</v>
      </c>
      <c r="C277" s="5">
        <v>-81581</v>
      </c>
      <c r="D277" s="5" t="str">
        <f>_xlfn.XLOOKUP(fOrcado[[#This Row],[Conta]],'Plano de Contas'!A:A,'Plano de Contas'!C:C)</f>
        <v>(-) Despesas Gerais</v>
      </c>
      <c r="E277" s="5" t="str">
        <f>_xlfn.XLOOKUP(fOrcado[[#This Row],[Conta]],'Plano de Contas'!A:A,'Plano de Contas'!D:D)</f>
        <v>11 - Relacionamento com Cliente</v>
      </c>
    </row>
    <row r="278" spans="1:5" x14ac:dyDescent="0.25">
      <c r="A278" s="23">
        <f t="shared" si="2"/>
        <v>43497</v>
      </c>
      <c r="B278" s="5" t="s">
        <v>187</v>
      </c>
      <c r="C278" s="5">
        <v>-155281</v>
      </c>
      <c r="D278" s="5" t="str">
        <f>_xlfn.XLOOKUP(fOrcado[[#This Row],[Conta]],'Plano de Contas'!A:A,'Plano de Contas'!C:C)</f>
        <v>(-) Despesas Gerais</v>
      </c>
      <c r="E278" s="5" t="str">
        <f>_xlfn.XLOOKUP(fOrcado[[#This Row],[Conta]],'Plano de Contas'!A:A,'Plano de Contas'!D:D)</f>
        <v>12 - Marketing e Divulgação</v>
      </c>
    </row>
    <row r="279" spans="1:5" x14ac:dyDescent="0.25">
      <c r="A279" s="23">
        <f t="shared" si="2"/>
        <v>43497</v>
      </c>
      <c r="B279" s="5" t="s">
        <v>188</v>
      </c>
      <c r="C279" s="5">
        <v>-121665</v>
      </c>
      <c r="D279" s="5" t="str">
        <f>_xlfn.XLOOKUP(fOrcado[[#This Row],[Conta]],'Plano de Contas'!A:A,'Plano de Contas'!C:C)</f>
        <v>(-) Despesas Gerais</v>
      </c>
      <c r="E279" s="5" t="str">
        <f>_xlfn.XLOOKUP(fOrcado[[#This Row],[Conta]],'Plano de Contas'!A:A,'Plano de Contas'!D:D)</f>
        <v>12 - Marketing e Divulgação</v>
      </c>
    </row>
    <row r="280" spans="1:5" x14ac:dyDescent="0.25">
      <c r="A280" s="23">
        <f t="shared" si="2"/>
        <v>43497</v>
      </c>
      <c r="B280" s="5" t="s">
        <v>189</v>
      </c>
      <c r="C280" s="5">
        <v>-11187</v>
      </c>
      <c r="D280" s="5" t="str">
        <f>_xlfn.XLOOKUP(fOrcado[[#This Row],[Conta]],'Plano de Contas'!A:A,'Plano de Contas'!C:C)</f>
        <v>(-) Impostos</v>
      </c>
      <c r="E280" s="5" t="str">
        <f>_xlfn.XLOOKUP(fOrcado[[#This Row],[Conta]],'Plano de Contas'!A:A,'Plano de Contas'!D:D)</f>
        <v>13 - Impostos Estaduais</v>
      </c>
    </row>
    <row r="281" spans="1:5" x14ac:dyDescent="0.25">
      <c r="A281" s="23">
        <f t="shared" si="2"/>
        <v>43497</v>
      </c>
      <c r="B281" s="5" t="s">
        <v>190</v>
      </c>
      <c r="C281" s="5">
        <v>-23811</v>
      </c>
      <c r="D281" s="5" t="str">
        <f>_xlfn.XLOOKUP(fOrcado[[#This Row],[Conta]],'Plano de Contas'!A:A,'Plano de Contas'!C:C)</f>
        <v>(-) Impostos</v>
      </c>
      <c r="E281" s="5" t="str">
        <f>_xlfn.XLOOKUP(fOrcado[[#This Row],[Conta]],'Plano de Contas'!A:A,'Plano de Contas'!D:D)</f>
        <v>14 - Impostos Federais</v>
      </c>
    </row>
    <row r="282" spans="1:5" x14ac:dyDescent="0.25">
      <c r="A282" s="23">
        <f t="shared" si="2"/>
        <v>43525</v>
      </c>
      <c r="B282" s="5" t="s">
        <v>51</v>
      </c>
      <c r="C282" s="5">
        <v>949396</v>
      </c>
      <c r="D282" s="5" t="str">
        <f>_xlfn.XLOOKUP(fOrcado[[#This Row],[Conta]],'Plano de Contas'!A:A,'Plano de Contas'!C:C)</f>
        <v>(+) RECEITA BRUTA</v>
      </c>
      <c r="E282" s="5" t="str">
        <f>_xlfn.XLOOKUP(fOrcado[[#This Row],[Conta]],'Plano de Contas'!A:A,'Plano de Contas'!D:D)</f>
        <v>01 - Vendas de Produtos</v>
      </c>
    </row>
    <row r="283" spans="1:5" x14ac:dyDescent="0.25">
      <c r="A283" s="23">
        <f t="shared" si="2"/>
        <v>43525</v>
      </c>
      <c r="B283" s="5" t="s">
        <v>52</v>
      </c>
      <c r="C283" s="5">
        <v>687028</v>
      </c>
      <c r="D283" s="5" t="str">
        <f>_xlfn.XLOOKUP(fOrcado[[#This Row],[Conta]],'Plano de Contas'!A:A,'Plano de Contas'!C:C)</f>
        <v>(+) RECEITA BRUTA</v>
      </c>
      <c r="E283" s="5" t="str">
        <f>_xlfn.XLOOKUP(fOrcado[[#This Row],[Conta]],'Plano de Contas'!A:A,'Plano de Contas'!D:D)</f>
        <v>01 - Vendas de Produtos</v>
      </c>
    </row>
    <row r="284" spans="1:5" x14ac:dyDescent="0.25">
      <c r="A284" s="23">
        <f t="shared" si="2"/>
        <v>43525</v>
      </c>
      <c r="B284" s="5" t="s">
        <v>53</v>
      </c>
      <c r="C284" s="5">
        <v>290160</v>
      </c>
      <c r="D284" s="5" t="str">
        <f>_xlfn.XLOOKUP(fOrcado[[#This Row],[Conta]],'Plano de Contas'!A:A,'Plano de Contas'!C:C)</f>
        <v>(+) RECEITA BRUTA</v>
      </c>
      <c r="E284" s="5" t="str">
        <f>_xlfn.XLOOKUP(fOrcado[[#This Row],[Conta]],'Plano de Contas'!A:A,'Plano de Contas'!D:D)</f>
        <v>01 - Vendas de Produtos</v>
      </c>
    </row>
    <row r="285" spans="1:5" x14ac:dyDescent="0.25">
      <c r="A285" s="23">
        <f t="shared" si="2"/>
        <v>43525</v>
      </c>
      <c r="B285" s="5" t="s">
        <v>54</v>
      </c>
      <c r="C285" s="5">
        <v>762932</v>
      </c>
      <c r="D285" s="5" t="str">
        <f>_xlfn.XLOOKUP(fOrcado[[#This Row],[Conta]],'Plano de Contas'!A:A,'Plano de Contas'!C:C)</f>
        <v>(+) RECEITA BRUTA</v>
      </c>
      <c r="E285" s="5" t="str">
        <f>_xlfn.XLOOKUP(fOrcado[[#This Row],[Conta]],'Plano de Contas'!A:A,'Plano de Contas'!D:D)</f>
        <v>01 - Vendas de Produtos</v>
      </c>
    </row>
    <row r="286" spans="1:5" x14ac:dyDescent="0.25">
      <c r="A286" s="23">
        <f t="shared" si="2"/>
        <v>43525</v>
      </c>
      <c r="B286" s="5" t="s">
        <v>55</v>
      </c>
      <c r="C286" s="5">
        <v>996627</v>
      </c>
      <c r="D286" s="5" t="str">
        <f>_xlfn.XLOOKUP(fOrcado[[#This Row],[Conta]],'Plano de Contas'!A:A,'Plano de Contas'!C:C)</f>
        <v>(+) RECEITA BRUTA</v>
      </c>
      <c r="E286" s="5" t="str">
        <f>_xlfn.XLOOKUP(fOrcado[[#This Row],[Conta]],'Plano de Contas'!A:A,'Plano de Contas'!D:D)</f>
        <v>01 - Vendas de Produtos</v>
      </c>
    </row>
    <row r="287" spans="1:5" x14ac:dyDescent="0.25">
      <c r="A287" s="23">
        <f t="shared" si="2"/>
        <v>43525</v>
      </c>
      <c r="B287" s="5" t="s">
        <v>56</v>
      </c>
      <c r="C287" s="5">
        <v>664059</v>
      </c>
      <c r="D287" s="5" t="str">
        <f>_xlfn.XLOOKUP(fOrcado[[#This Row],[Conta]],'Plano de Contas'!A:A,'Plano de Contas'!C:C)</f>
        <v>(+) RECEITA BRUTA</v>
      </c>
      <c r="E287" s="5" t="str">
        <f>_xlfn.XLOOKUP(fOrcado[[#This Row],[Conta]],'Plano de Contas'!A:A,'Plano de Contas'!D:D)</f>
        <v>01 - Vendas de Produtos</v>
      </c>
    </row>
    <row r="288" spans="1:5" x14ac:dyDescent="0.25">
      <c r="A288" s="23">
        <f t="shared" si="2"/>
        <v>43525</v>
      </c>
      <c r="B288" s="5" t="s">
        <v>57</v>
      </c>
      <c r="C288" s="5">
        <v>406243</v>
      </c>
      <c r="D288" s="5" t="str">
        <f>_xlfn.XLOOKUP(fOrcado[[#This Row],[Conta]],'Plano de Contas'!A:A,'Plano de Contas'!C:C)</f>
        <v>(+) RECEITA BRUTA</v>
      </c>
      <c r="E288" s="5" t="str">
        <f>_xlfn.XLOOKUP(fOrcado[[#This Row],[Conta]],'Plano de Contas'!A:A,'Plano de Contas'!D:D)</f>
        <v>01 - Vendas de Produtos</v>
      </c>
    </row>
    <row r="289" spans="1:5" x14ac:dyDescent="0.25">
      <c r="A289" s="23">
        <f t="shared" si="2"/>
        <v>43525</v>
      </c>
      <c r="B289" s="5" t="s">
        <v>58</v>
      </c>
      <c r="C289" s="5">
        <v>462584</v>
      </c>
      <c r="D289" s="5" t="str">
        <f>_xlfn.XLOOKUP(fOrcado[[#This Row],[Conta]],'Plano de Contas'!A:A,'Plano de Contas'!C:C)</f>
        <v>(+) RECEITA BRUTA</v>
      </c>
      <c r="E289" s="5" t="str">
        <f>_xlfn.XLOOKUP(fOrcado[[#This Row],[Conta]],'Plano de Contas'!A:A,'Plano de Contas'!D:D)</f>
        <v>01 - Vendas de Produtos</v>
      </c>
    </row>
    <row r="290" spans="1:5" x14ac:dyDescent="0.25">
      <c r="A290" s="23">
        <f t="shared" si="2"/>
        <v>43525</v>
      </c>
      <c r="B290" s="5" t="s">
        <v>59</v>
      </c>
      <c r="C290" s="5">
        <v>977181</v>
      </c>
      <c r="D290" s="5" t="str">
        <f>_xlfn.XLOOKUP(fOrcado[[#This Row],[Conta]],'Plano de Contas'!A:A,'Plano de Contas'!C:C)</f>
        <v>(+) RECEITA BRUTA</v>
      </c>
      <c r="E290" s="5" t="str">
        <f>_xlfn.XLOOKUP(fOrcado[[#This Row],[Conta]],'Plano de Contas'!A:A,'Plano de Contas'!D:D)</f>
        <v>01 - Vendas de Produtos</v>
      </c>
    </row>
    <row r="291" spans="1:5" x14ac:dyDescent="0.25">
      <c r="A291" s="23">
        <f t="shared" si="2"/>
        <v>43525</v>
      </c>
      <c r="B291" s="5" t="s">
        <v>60</v>
      </c>
      <c r="C291" s="5">
        <v>885884</v>
      </c>
      <c r="D291" s="5" t="str">
        <f>_xlfn.XLOOKUP(fOrcado[[#This Row],[Conta]],'Plano de Contas'!A:A,'Plano de Contas'!C:C)</f>
        <v>(+) RECEITA BRUTA</v>
      </c>
      <c r="E291" s="5" t="str">
        <f>_xlfn.XLOOKUP(fOrcado[[#This Row],[Conta]],'Plano de Contas'!A:A,'Plano de Contas'!D:D)</f>
        <v>01 - Vendas de Produtos</v>
      </c>
    </row>
    <row r="292" spans="1:5" x14ac:dyDescent="0.25">
      <c r="A292" s="23">
        <f t="shared" si="2"/>
        <v>43525</v>
      </c>
      <c r="B292" s="5" t="s">
        <v>61</v>
      </c>
      <c r="C292" s="5">
        <v>268473</v>
      </c>
      <c r="D292" s="5" t="str">
        <f>_xlfn.XLOOKUP(fOrcado[[#This Row],[Conta]],'Plano de Contas'!A:A,'Plano de Contas'!C:C)</f>
        <v>(+) RECEITA BRUTA</v>
      </c>
      <c r="E292" s="5" t="str">
        <f>_xlfn.XLOOKUP(fOrcado[[#This Row],[Conta]],'Plano de Contas'!A:A,'Plano de Contas'!D:D)</f>
        <v>01 - Vendas de Produtos</v>
      </c>
    </row>
    <row r="293" spans="1:5" x14ac:dyDescent="0.25">
      <c r="A293" s="23">
        <f t="shared" si="2"/>
        <v>43525</v>
      </c>
      <c r="B293" s="5" t="s">
        <v>62</v>
      </c>
      <c r="C293" s="5">
        <v>949100</v>
      </c>
      <c r="D293" s="5" t="str">
        <f>_xlfn.XLOOKUP(fOrcado[[#This Row],[Conta]],'Plano de Contas'!A:A,'Plano de Contas'!C:C)</f>
        <v>(+) RECEITA BRUTA</v>
      </c>
      <c r="E293" s="5" t="str">
        <f>_xlfn.XLOOKUP(fOrcado[[#This Row],[Conta]],'Plano de Contas'!A:A,'Plano de Contas'!D:D)</f>
        <v>01 - Vendas de Produtos</v>
      </c>
    </row>
    <row r="294" spans="1:5" x14ac:dyDescent="0.25">
      <c r="A294" s="23">
        <f t="shared" si="2"/>
        <v>43525</v>
      </c>
      <c r="B294" s="5" t="s">
        <v>63</v>
      </c>
      <c r="C294" s="5">
        <v>903695</v>
      </c>
      <c r="D294" s="5" t="str">
        <f>_xlfn.XLOOKUP(fOrcado[[#This Row],[Conta]],'Plano de Contas'!A:A,'Plano de Contas'!C:C)</f>
        <v>(+) RECEITA BRUTA</v>
      </c>
      <c r="E294" s="5" t="str">
        <f>_xlfn.XLOOKUP(fOrcado[[#This Row],[Conta]],'Plano de Contas'!A:A,'Plano de Contas'!D:D)</f>
        <v>01 - Vendas de Produtos</v>
      </c>
    </row>
    <row r="295" spans="1:5" x14ac:dyDescent="0.25">
      <c r="A295" s="23">
        <f t="shared" si="2"/>
        <v>43525</v>
      </c>
      <c r="B295" s="5" t="s">
        <v>64</v>
      </c>
      <c r="C295" s="5">
        <v>804634</v>
      </c>
      <c r="D295" s="5" t="str">
        <f>_xlfn.XLOOKUP(fOrcado[[#This Row],[Conta]],'Plano de Contas'!A:A,'Plano de Contas'!C:C)</f>
        <v>(+) RECEITA BRUTA</v>
      </c>
      <c r="E295" s="5" t="str">
        <f>_xlfn.XLOOKUP(fOrcado[[#This Row],[Conta]],'Plano de Contas'!A:A,'Plano de Contas'!D:D)</f>
        <v>01 - Vendas de Produtos</v>
      </c>
    </row>
    <row r="296" spans="1:5" x14ac:dyDescent="0.25">
      <c r="A296" s="23">
        <f t="shared" si="2"/>
        <v>43525</v>
      </c>
      <c r="B296" s="5" t="s">
        <v>65</v>
      </c>
      <c r="C296" s="5">
        <v>946090</v>
      </c>
      <c r="D296" s="5" t="str">
        <f>_xlfn.XLOOKUP(fOrcado[[#This Row],[Conta]],'Plano de Contas'!A:A,'Plano de Contas'!C:C)</f>
        <v>(+) RECEITA BRUTA</v>
      </c>
      <c r="E296" s="5" t="str">
        <f>_xlfn.XLOOKUP(fOrcado[[#This Row],[Conta]],'Plano de Contas'!A:A,'Plano de Contas'!D:D)</f>
        <v>01 - Vendas de Produtos</v>
      </c>
    </row>
    <row r="297" spans="1:5" x14ac:dyDescent="0.25">
      <c r="A297" s="23">
        <f t="shared" si="2"/>
        <v>43525</v>
      </c>
      <c r="B297" s="5" t="s">
        <v>66</v>
      </c>
      <c r="C297" s="5">
        <v>802941</v>
      </c>
      <c r="D297" s="5" t="str">
        <f>_xlfn.XLOOKUP(fOrcado[[#This Row],[Conta]],'Plano de Contas'!A:A,'Plano de Contas'!C:C)</f>
        <v>(+) RECEITA BRUTA</v>
      </c>
      <c r="E297" s="5" t="str">
        <f>_xlfn.XLOOKUP(fOrcado[[#This Row],[Conta]],'Plano de Contas'!A:A,'Plano de Contas'!D:D)</f>
        <v>01 - Vendas de Produtos</v>
      </c>
    </row>
    <row r="298" spans="1:5" x14ac:dyDescent="0.25">
      <c r="A298" s="23">
        <f t="shared" si="2"/>
        <v>43525</v>
      </c>
      <c r="B298" s="5" t="s">
        <v>67</v>
      </c>
      <c r="C298" s="5">
        <v>836946</v>
      </c>
      <c r="D298" s="5" t="str">
        <f>_xlfn.XLOOKUP(fOrcado[[#This Row],[Conta]],'Plano de Contas'!A:A,'Plano de Contas'!C:C)</f>
        <v>(+) RECEITA BRUTA</v>
      </c>
      <c r="E298" s="5" t="str">
        <f>_xlfn.XLOOKUP(fOrcado[[#This Row],[Conta]],'Plano de Contas'!A:A,'Plano de Contas'!D:D)</f>
        <v>01 - Vendas de Produtos</v>
      </c>
    </row>
    <row r="299" spans="1:5" x14ac:dyDescent="0.25">
      <c r="A299" s="23">
        <f t="shared" si="2"/>
        <v>43525</v>
      </c>
      <c r="B299" s="5" t="s">
        <v>68</v>
      </c>
      <c r="C299" s="5">
        <v>741710</v>
      </c>
      <c r="D299" s="5" t="str">
        <f>_xlfn.XLOOKUP(fOrcado[[#This Row],[Conta]],'Plano de Contas'!A:A,'Plano de Contas'!C:C)</f>
        <v>(+) RECEITA BRUTA</v>
      </c>
      <c r="E299" s="5" t="str">
        <f>_xlfn.XLOOKUP(fOrcado[[#This Row],[Conta]],'Plano de Contas'!A:A,'Plano de Contas'!D:D)</f>
        <v>01 - Vendas de Produtos</v>
      </c>
    </row>
    <row r="300" spans="1:5" x14ac:dyDescent="0.25">
      <c r="A300" s="23">
        <f t="shared" si="2"/>
        <v>43525</v>
      </c>
      <c r="B300" s="5" t="s">
        <v>69</v>
      </c>
      <c r="C300" s="5">
        <v>466211</v>
      </c>
      <c r="D300" s="5" t="str">
        <f>_xlfn.XLOOKUP(fOrcado[[#This Row],[Conta]],'Plano de Contas'!A:A,'Plano de Contas'!C:C)</f>
        <v>(+) RECEITA BRUTA</v>
      </c>
      <c r="E300" s="5" t="str">
        <f>_xlfn.XLOOKUP(fOrcado[[#This Row],[Conta]],'Plano de Contas'!A:A,'Plano de Contas'!D:D)</f>
        <v>01 - Vendas de Produtos</v>
      </c>
    </row>
    <row r="301" spans="1:5" x14ac:dyDescent="0.25">
      <c r="A301" s="23">
        <f t="shared" si="2"/>
        <v>43525</v>
      </c>
      <c r="B301" s="5" t="s">
        <v>70</v>
      </c>
      <c r="C301" s="5">
        <v>411430</v>
      </c>
      <c r="D301" s="5" t="str">
        <f>_xlfn.XLOOKUP(fOrcado[[#This Row],[Conta]],'Plano de Contas'!A:A,'Plano de Contas'!C:C)</f>
        <v>(+) RECEITA BRUTA</v>
      </c>
      <c r="E301" s="5" t="str">
        <f>_xlfn.XLOOKUP(fOrcado[[#This Row],[Conta]],'Plano de Contas'!A:A,'Plano de Contas'!D:D)</f>
        <v>01 - Vendas de Produtos</v>
      </c>
    </row>
    <row r="302" spans="1:5" x14ac:dyDescent="0.25">
      <c r="A302" s="23">
        <f t="shared" si="2"/>
        <v>43525</v>
      </c>
      <c r="B302" s="5" t="s">
        <v>71</v>
      </c>
      <c r="C302" s="5">
        <v>792058</v>
      </c>
      <c r="D302" s="5" t="str">
        <f>_xlfn.XLOOKUP(fOrcado[[#This Row],[Conta]],'Plano de Contas'!A:A,'Plano de Contas'!C:C)</f>
        <v>(+) RECEITA BRUTA</v>
      </c>
      <c r="E302" s="5" t="str">
        <f>_xlfn.XLOOKUP(fOrcado[[#This Row],[Conta]],'Plano de Contas'!A:A,'Plano de Contas'!D:D)</f>
        <v>01 - Vendas de Produtos</v>
      </c>
    </row>
    <row r="303" spans="1:5" x14ac:dyDescent="0.25">
      <c r="A303" s="23">
        <f t="shared" si="2"/>
        <v>43525</v>
      </c>
      <c r="B303" s="5" t="s">
        <v>72</v>
      </c>
      <c r="C303" s="5">
        <v>771585</v>
      </c>
      <c r="D303" s="5" t="str">
        <f>_xlfn.XLOOKUP(fOrcado[[#This Row],[Conta]],'Plano de Contas'!A:A,'Plano de Contas'!C:C)</f>
        <v>(+) RECEITA BRUTA</v>
      </c>
      <c r="E303" s="5" t="str">
        <f>_xlfn.XLOOKUP(fOrcado[[#This Row],[Conta]],'Plano de Contas'!A:A,'Plano de Contas'!D:D)</f>
        <v>01 - Vendas de Produtos</v>
      </c>
    </row>
    <row r="304" spans="1:5" x14ac:dyDescent="0.25">
      <c r="A304" s="23">
        <f t="shared" si="2"/>
        <v>43525</v>
      </c>
      <c r="B304" s="5" t="s">
        <v>73</v>
      </c>
      <c r="C304" s="5">
        <v>138878</v>
      </c>
      <c r="D304" s="5" t="str">
        <f>_xlfn.XLOOKUP(fOrcado[[#This Row],[Conta]],'Plano de Contas'!A:A,'Plano de Contas'!C:C)</f>
        <v>(+) RECEITA BRUTA</v>
      </c>
      <c r="E304" s="5" t="str">
        <f>_xlfn.XLOOKUP(fOrcado[[#This Row],[Conta]],'Plano de Contas'!A:A,'Plano de Contas'!D:D)</f>
        <v>01 - Vendas de Produtos</v>
      </c>
    </row>
    <row r="305" spans="1:5" x14ac:dyDescent="0.25">
      <c r="A305" s="23">
        <f t="shared" si="2"/>
        <v>43525</v>
      </c>
      <c r="B305" s="5" t="s">
        <v>74</v>
      </c>
      <c r="C305" s="5">
        <v>280991</v>
      </c>
      <c r="D305" s="5" t="str">
        <f>_xlfn.XLOOKUP(fOrcado[[#This Row],[Conta]],'Plano de Contas'!A:A,'Plano de Contas'!C:C)</f>
        <v>(+) RECEITA BRUTA</v>
      </c>
      <c r="E305" s="5" t="str">
        <f>_xlfn.XLOOKUP(fOrcado[[#This Row],[Conta]],'Plano de Contas'!A:A,'Plano de Contas'!D:D)</f>
        <v>01 - Vendas de Produtos</v>
      </c>
    </row>
    <row r="306" spans="1:5" x14ac:dyDescent="0.25">
      <c r="A306" s="23">
        <f t="shared" si="2"/>
        <v>43525</v>
      </c>
      <c r="B306" s="5" t="s">
        <v>75</v>
      </c>
      <c r="C306" s="5">
        <v>242157</v>
      </c>
      <c r="D306" s="5" t="str">
        <f>_xlfn.XLOOKUP(fOrcado[[#This Row],[Conta]],'Plano de Contas'!A:A,'Plano de Contas'!C:C)</f>
        <v>(+) RECEITA BRUTA</v>
      </c>
      <c r="E306" s="5" t="str">
        <f>_xlfn.XLOOKUP(fOrcado[[#This Row],[Conta]],'Plano de Contas'!A:A,'Plano de Contas'!D:D)</f>
        <v>02 - Outras Receitas</v>
      </c>
    </row>
    <row r="307" spans="1:5" x14ac:dyDescent="0.25">
      <c r="A307" s="23">
        <f t="shared" si="2"/>
        <v>43525</v>
      </c>
      <c r="B307" s="5" t="s">
        <v>76</v>
      </c>
      <c r="C307" s="5">
        <v>234256</v>
      </c>
      <c r="D307" s="5" t="str">
        <f>_xlfn.XLOOKUP(fOrcado[[#This Row],[Conta]],'Plano de Contas'!A:A,'Plano de Contas'!C:C)</f>
        <v>(+) RECEITA BRUTA</v>
      </c>
      <c r="E307" s="5" t="str">
        <f>_xlfn.XLOOKUP(fOrcado[[#This Row],[Conta]],'Plano de Contas'!A:A,'Plano de Contas'!D:D)</f>
        <v>02 - Outras Receitas</v>
      </c>
    </row>
    <row r="308" spans="1:5" x14ac:dyDescent="0.25">
      <c r="A308" s="23">
        <f t="shared" si="2"/>
        <v>43525</v>
      </c>
      <c r="B308" s="5" t="s">
        <v>77</v>
      </c>
      <c r="C308" s="5">
        <v>154911</v>
      </c>
      <c r="D308" s="5" t="str">
        <f>_xlfn.XLOOKUP(fOrcado[[#This Row],[Conta]],'Plano de Contas'!A:A,'Plano de Contas'!C:C)</f>
        <v>(+) RECEITA BRUTA</v>
      </c>
      <c r="E308" s="5" t="str">
        <f>_xlfn.XLOOKUP(fOrcado[[#This Row],[Conta]],'Plano de Contas'!A:A,'Plano de Contas'!D:D)</f>
        <v>02 - Outras Receitas</v>
      </c>
    </row>
    <row r="309" spans="1:5" x14ac:dyDescent="0.25">
      <c r="A309" s="23">
        <f t="shared" si="2"/>
        <v>43525</v>
      </c>
      <c r="B309" s="5" t="s">
        <v>78</v>
      </c>
      <c r="C309" s="5">
        <v>170312</v>
      </c>
      <c r="D309" s="5" t="str">
        <f>_xlfn.XLOOKUP(fOrcado[[#This Row],[Conta]],'Plano de Contas'!A:A,'Plano de Contas'!C:C)</f>
        <v>(+) RECEITA BRUTA</v>
      </c>
      <c r="E309" s="5" t="str">
        <f>_xlfn.XLOOKUP(fOrcado[[#This Row],[Conta]],'Plano de Contas'!A:A,'Plano de Contas'!D:D)</f>
        <v>02 - Outras Receitas</v>
      </c>
    </row>
    <row r="310" spans="1:5" x14ac:dyDescent="0.25">
      <c r="A310" s="23">
        <f t="shared" si="2"/>
        <v>43525</v>
      </c>
      <c r="B310" s="5" t="s">
        <v>79</v>
      </c>
      <c r="C310" s="5">
        <v>74528</v>
      </c>
      <c r="D310" s="5" t="str">
        <f>_xlfn.XLOOKUP(fOrcado[[#This Row],[Conta]],'Plano de Contas'!A:A,'Plano de Contas'!C:C)</f>
        <v>(+) RECEITA BRUTA</v>
      </c>
      <c r="E310" s="5" t="str">
        <f>_xlfn.XLOOKUP(fOrcado[[#This Row],[Conta]],'Plano de Contas'!A:A,'Plano de Contas'!D:D)</f>
        <v>02 - Outras Receitas</v>
      </c>
    </row>
    <row r="311" spans="1:5" x14ac:dyDescent="0.25">
      <c r="A311" s="23">
        <f t="shared" si="2"/>
        <v>43525</v>
      </c>
      <c r="B311" s="5" t="s">
        <v>80</v>
      </c>
      <c r="C311" s="5">
        <v>172549</v>
      </c>
      <c r="D311" s="5" t="str">
        <f>_xlfn.XLOOKUP(fOrcado[[#This Row],[Conta]],'Plano de Contas'!A:A,'Plano de Contas'!C:C)</f>
        <v>(+) RECEITA BRUTA</v>
      </c>
      <c r="E311" s="5" t="str">
        <f>_xlfn.XLOOKUP(fOrcado[[#This Row],[Conta]],'Plano de Contas'!A:A,'Plano de Contas'!D:D)</f>
        <v>02 - Outras Receitas</v>
      </c>
    </row>
    <row r="312" spans="1:5" x14ac:dyDescent="0.25">
      <c r="A312" s="23">
        <f t="shared" si="2"/>
        <v>43525</v>
      </c>
      <c r="B312" s="5" t="s">
        <v>81</v>
      </c>
      <c r="C312" s="5">
        <v>129525</v>
      </c>
      <c r="D312" s="5" t="str">
        <f>_xlfn.XLOOKUP(fOrcado[[#This Row],[Conta]],'Plano de Contas'!A:A,'Plano de Contas'!C:C)</f>
        <v>(+) RECEITA BRUTA</v>
      </c>
      <c r="E312" s="5" t="str">
        <f>_xlfn.XLOOKUP(fOrcado[[#This Row],[Conta]],'Plano de Contas'!A:A,'Plano de Contas'!D:D)</f>
        <v>02 - Outras Receitas</v>
      </c>
    </row>
    <row r="313" spans="1:5" x14ac:dyDescent="0.25">
      <c r="A313" s="23">
        <f t="shared" si="2"/>
        <v>43525</v>
      </c>
      <c r="B313" s="5" t="s">
        <v>82</v>
      </c>
      <c r="C313" s="5">
        <v>78900</v>
      </c>
      <c r="D313" s="5" t="str">
        <f>_xlfn.XLOOKUP(fOrcado[[#This Row],[Conta]],'Plano de Contas'!A:A,'Plano de Contas'!C:C)</f>
        <v>(+) RECEITA BRUTA</v>
      </c>
      <c r="E313" s="5" t="str">
        <f>_xlfn.XLOOKUP(fOrcado[[#This Row],[Conta]],'Plano de Contas'!A:A,'Plano de Contas'!D:D)</f>
        <v>02 - Outras Receitas</v>
      </c>
    </row>
    <row r="314" spans="1:5" x14ac:dyDescent="0.25">
      <c r="A314" s="23">
        <f t="shared" si="2"/>
        <v>43525</v>
      </c>
      <c r="B314" s="5" t="s">
        <v>83</v>
      </c>
      <c r="C314" s="5">
        <v>274794</v>
      </c>
      <c r="D314" s="5" t="str">
        <f>_xlfn.XLOOKUP(fOrcado[[#This Row],[Conta]],'Plano de Contas'!A:A,'Plano de Contas'!C:C)</f>
        <v>(+) RECEITA BRUTA</v>
      </c>
      <c r="E314" s="5" t="str">
        <f>_xlfn.XLOOKUP(fOrcado[[#This Row],[Conta]],'Plano de Contas'!A:A,'Plano de Contas'!D:D)</f>
        <v>02 - Outras Receitas</v>
      </c>
    </row>
    <row r="315" spans="1:5" x14ac:dyDescent="0.25">
      <c r="A315" s="23">
        <f t="shared" si="2"/>
        <v>43525</v>
      </c>
      <c r="B315" s="5" t="s">
        <v>84</v>
      </c>
      <c r="C315" s="5">
        <v>235077</v>
      </c>
      <c r="D315" s="5" t="str">
        <f>_xlfn.XLOOKUP(fOrcado[[#This Row],[Conta]],'Plano de Contas'!A:A,'Plano de Contas'!C:C)</f>
        <v>(+) RECEITA BRUTA</v>
      </c>
      <c r="E315" s="5" t="str">
        <f>_xlfn.XLOOKUP(fOrcado[[#This Row],[Conta]],'Plano de Contas'!A:A,'Plano de Contas'!D:D)</f>
        <v>02 - Outras Receitas</v>
      </c>
    </row>
    <row r="316" spans="1:5" x14ac:dyDescent="0.25">
      <c r="A316" s="23">
        <f t="shared" si="2"/>
        <v>43525</v>
      </c>
      <c r="B316" s="5" t="s">
        <v>85</v>
      </c>
      <c r="C316" s="5">
        <v>254719</v>
      </c>
      <c r="D316" s="5" t="str">
        <f>_xlfn.XLOOKUP(fOrcado[[#This Row],[Conta]],'Plano de Contas'!A:A,'Plano de Contas'!C:C)</f>
        <v>(+) RECEITA BRUTA</v>
      </c>
      <c r="E316" s="5" t="str">
        <f>_xlfn.XLOOKUP(fOrcado[[#This Row],[Conta]],'Plano de Contas'!A:A,'Plano de Contas'!D:D)</f>
        <v>02 - Outras Receitas</v>
      </c>
    </row>
    <row r="317" spans="1:5" x14ac:dyDescent="0.25">
      <c r="A317" s="23">
        <f t="shared" si="2"/>
        <v>43525</v>
      </c>
      <c r="B317" s="5" t="s">
        <v>86</v>
      </c>
      <c r="C317" s="5">
        <v>179036</v>
      </c>
      <c r="D317" s="5" t="str">
        <f>_xlfn.XLOOKUP(fOrcado[[#This Row],[Conta]],'Plano de Contas'!A:A,'Plano de Contas'!C:C)</f>
        <v>(+) RECEITA BRUTA</v>
      </c>
      <c r="E317" s="5" t="str">
        <f>_xlfn.XLOOKUP(fOrcado[[#This Row],[Conta]],'Plano de Contas'!A:A,'Plano de Contas'!D:D)</f>
        <v>02 - Outras Receitas</v>
      </c>
    </row>
    <row r="318" spans="1:5" x14ac:dyDescent="0.25">
      <c r="A318" s="23">
        <f t="shared" si="2"/>
        <v>43525</v>
      </c>
      <c r="B318" s="5" t="s">
        <v>87</v>
      </c>
      <c r="C318" s="5">
        <v>89739</v>
      </c>
      <c r="D318" s="5" t="str">
        <f>_xlfn.XLOOKUP(fOrcado[[#This Row],[Conta]],'Plano de Contas'!A:A,'Plano de Contas'!C:C)</f>
        <v>(+) RECEITA BRUTA</v>
      </c>
      <c r="E318" s="5" t="str">
        <f>_xlfn.XLOOKUP(fOrcado[[#This Row],[Conta]],'Plano de Contas'!A:A,'Plano de Contas'!D:D)</f>
        <v>02 - Outras Receitas</v>
      </c>
    </row>
    <row r="319" spans="1:5" x14ac:dyDescent="0.25">
      <c r="A319" s="23">
        <f t="shared" si="2"/>
        <v>43525</v>
      </c>
      <c r="B319" s="5" t="s">
        <v>88</v>
      </c>
      <c r="C319" s="5">
        <v>124553</v>
      </c>
      <c r="D319" s="5" t="str">
        <f>_xlfn.XLOOKUP(fOrcado[[#This Row],[Conta]],'Plano de Contas'!A:A,'Plano de Contas'!C:C)</f>
        <v>(+) RECEITA BRUTA</v>
      </c>
      <c r="E319" s="5" t="str">
        <f>_xlfn.XLOOKUP(fOrcado[[#This Row],[Conta]],'Plano de Contas'!A:A,'Plano de Contas'!D:D)</f>
        <v>02 - Outras Receitas</v>
      </c>
    </row>
    <row r="320" spans="1:5" x14ac:dyDescent="0.25">
      <c r="A320" s="23">
        <f t="shared" si="2"/>
        <v>43525</v>
      </c>
      <c r="B320" s="5" t="s">
        <v>89</v>
      </c>
      <c r="C320" s="5">
        <v>67949</v>
      </c>
      <c r="D320" s="5" t="str">
        <f>_xlfn.XLOOKUP(fOrcado[[#This Row],[Conta]],'Plano de Contas'!A:A,'Plano de Contas'!C:C)</f>
        <v>(+) RECEITA BRUTA</v>
      </c>
      <c r="E320" s="5" t="str">
        <f>_xlfn.XLOOKUP(fOrcado[[#This Row],[Conta]],'Plano de Contas'!A:A,'Plano de Contas'!D:D)</f>
        <v>02 - Outras Receitas</v>
      </c>
    </row>
    <row r="321" spans="1:5" x14ac:dyDescent="0.25">
      <c r="A321" s="23">
        <f t="shared" si="2"/>
        <v>43525</v>
      </c>
      <c r="B321" s="5" t="s">
        <v>90</v>
      </c>
      <c r="C321" s="5">
        <v>132617</v>
      </c>
      <c r="D321" s="5" t="str">
        <f>_xlfn.XLOOKUP(fOrcado[[#This Row],[Conta]],'Plano de Contas'!A:A,'Plano de Contas'!C:C)</f>
        <v>(+) RECEITA BRUTA</v>
      </c>
      <c r="E321" s="5" t="str">
        <f>_xlfn.XLOOKUP(fOrcado[[#This Row],[Conta]],'Plano de Contas'!A:A,'Plano de Contas'!D:D)</f>
        <v>02 - Outras Receitas</v>
      </c>
    </row>
    <row r="322" spans="1:5" x14ac:dyDescent="0.25">
      <c r="A322" s="23">
        <f t="shared" si="2"/>
        <v>43525</v>
      </c>
      <c r="B322" s="5" t="s">
        <v>91</v>
      </c>
      <c r="C322" s="5">
        <v>76426</v>
      </c>
      <c r="D322" s="5" t="str">
        <f>_xlfn.XLOOKUP(fOrcado[[#This Row],[Conta]],'Plano de Contas'!A:A,'Plano de Contas'!C:C)</f>
        <v>(+) RECEITA BRUTA</v>
      </c>
      <c r="E322" s="5" t="str">
        <f>_xlfn.XLOOKUP(fOrcado[[#This Row],[Conta]],'Plano de Contas'!A:A,'Plano de Contas'!D:D)</f>
        <v>02 - Outras Receitas</v>
      </c>
    </row>
    <row r="323" spans="1:5" x14ac:dyDescent="0.25">
      <c r="A323" s="23">
        <f t="shared" si="2"/>
        <v>43525</v>
      </c>
      <c r="B323" s="5" t="s">
        <v>92</v>
      </c>
      <c r="C323" s="5">
        <v>196052</v>
      </c>
      <c r="D323" s="5" t="str">
        <f>_xlfn.XLOOKUP(fOrcado[[#This Row],[Conta]],'Plano de Contas'!A:A,'Plano de Contas'!C:C)</f>
        <v>(+) RECEITA BRUTA</v>
      </c>
      <c r="E323" s="5" t="str">
        <f>_xlfn.XLOOKUP(fOrcado[[#This Row],[Conta]],'Plano de Contas'!A:A,'Plano de Contas'!D:D)</f>
        <v>02 - Outras Receitas</v>
      </c>
    </row>
    <row r="324" spans="1:5" x14ac:dyDescent="0.25">
      <c r="A324" s="23">
        <f t="shared" si="2"/>
        <v>43525</v>
      </c>
      <c r="B324" s="5" t="s">
        <v>93</v>
      </c>
      <c r="C324" s="5">
        <v>54058</v>
      </c>
      <c r="D324" s="5" t="str">
        <f>_xlfn.XLOOKUP(fOrcado[[#This Row],[Conta]],'Plano de Contas'!A:A,'Plano de Contas'!C:C)</f>
        <v>(+) RECEITA BRUTA</v>
      </c>
      <c r="E324" s="5" t="str">
        <f>_xlfn.XLOOKUP(fOrcado[[#This Row],[Conta]],'Plano de Contas'!A:A,'Plano de Contas'!D:D)</f>
        <v>02 - Outras Receitas</v>
      </c>
    </row>
    <row r="325" spans="1:5" x14ac:dyDescent="0.25">
      <c r="A325" s="23">
        <f t="shared" si="2"/>
        <v>43525</v>
      </c>
      <c r="B325" s="5" t="s">
        <v>94</v>
      </c>
      <c r="C325" s="5">
        <v>288709</v>
      </c>
      <c r="D325" s="5" t="str">
        <f>_xlfn.XLOOKUP(fOrcado[[#This Row],[Conta]],'Plano de Contas'!A:A,'Plano de Contas'!C:C)</f>
        <v>(+) RECEITA BRUTA</v>
      </c>
      <c r="E325" s="5" t="str">
        <f>_xlfn.XLOOKUP(fOrcado[[#This Row],[Conta]],'Plano de Contas'!A:A,'Plano de Contas'!D:D)</f>
        <v>02 - Outras Receitas</v>
      </c>
    </row>
    <row r="326" spans="1:5" x14ac:dyDescent="0.25">
      <c r="A326" s="23">
        <f t="shared" si="2"/>
        <v>43525</v>
      </c>
      <c r="B326" s="5" t="s">
        <v>95</v>
      </c>
      <c r="C326" s="5">
        <v>214235</v>
      </c>
      <c r="D326" s="5" t="str">
        <f>_xlfn.XLOOKUP(fOrcado[[#This Row],[Conta]],'Plano de Contas'!A:A,'Plano de Contas'!C:C)</f>
        <v>(+) RECEITA BRUTA</v>
      </c>
      <c r="E326" s="5" t="str">
        <f>_xlfn.XLOOKUP(fOrcado[[#This Row],[Conta]],'Plano de Contas'!A:A,'Plano de Contas'!D:D)</f>
        <v>02 - Outras Receitas</v>
      </c>
    </row>
    <row r="327" spans="1:5" x14ac:dyDescent="0.25">
      <c r="A327" s="23">
        <f t="shared" si="2"/>
        <v>43525</v>
      </c>
      <c r="B327" s="5" t="s">
        <v>96</v>
      </c>
      <c r="C327" s="5">
        <v>67731</v>
      </c>
      <c r="D327" s="5" t="str">
        <f>_xlfn.XLOOKUP(fOrcado[[#This Row],[Conta]],'Plano de Contas'!A:A,'Plano de Contas'!C:C)</f>
        <v>(+) RECEITA BRUTA</v>
      </c>
      <c r="E327" s="5" t="str">
        <f>_xlfn.XLOOKUP(fOrcado[[#This Row],[Conta]],'Plano de Contas'!A:A,'Plano de Contas'!D:D)</f>
        <v>02 - Outras Receitas</v>
      </c>
    </row>
    <row r="328" spans="1:5" x14ac:dyDescent="0.25">
      <c r="A328" s="23">
        <f t="shared" si="2"/>
        <v>43525</v>
      </c>
      <c r="B328" s="5" t="s">
        <v>97</v>
      </c>
      <c r="C328" s="5">
        <v>240182</v>
      </c>
      <c r="D328" s="5" t="str">
        <f>_xlfn.XLOOKUP(fOrcado[[#This Row],[Conta]],'Plano de Contas'!A:A,'Plano de Contas'!C:C)</f>
        <v>(+) RECEITA BRUTA</v>
      </c>
      <c r="E328" s="5" t="str">
        <f>_xlfn.XLOOKUP(fOrcado[[#This Row],[Conta]],'Plano de Contas'!A:A,'Plano de Contas'!D:D)</f>
        <v>02 - Outras Receitas</v>
      </c>
    </row>
    <row r="329" spans="1:5" x14ac:dyDescent="0.25">
      <c r="A329" s="23">
        <f t="shared" si="2"/>
        <v>43525</v>
      </c>
      <c r="B329" s="5" t="s">
        <v>98</v>
      </c>
      <c r="C329" s="5">
        <v>173146</v>
      </c>
      <c r="D329" s="5" t="str">
        <f>_xlfn.XLOOKUP(fOrcado[[#This Row],[Conta]],'Plano de Contas'!A:A,'Plano de Contas'!C:C)</f>
        <v>(+) RECEITA BRUTA</v>
      </c>
      <c r="E329" s="5" t="str">
        <f>_xlfn.XLOOKUP(fOrcado[[#This Row],[Conta]],'Plano de Contas'!A:A,'Plano de Contas'!D:D)</f>
        <v>02 - Outras Receitas</v>
      </c>
    </row>
    <row r="330" spans="1:5" x14ac:dyDescent="0.25">
      <c r="A330" s="23">
        <f t="shared" si="2"/>
        <v>43525</v>
      </c>
      <c r="B330" s="5" t="s">
        <v>99</v>
      </c>
      <c r="C330" s="5">
        <v>88066</v>
      </c>
      <c r="D330" s="5" t="str">
        <f>_xlfn.XLOOKUP(fOrcado[[#This Row],[Conta]],'Plano de Contas'!A:A,'Plano de Contas'!C:C)</f>
        <v>(+) RECEITA BRUTA</v>
      </c>
      <c r="E330" s="5" t="str">
        <f>_xlfn.XLOOKUP(fOrcado[[#This Row],[Conta]],'Plano de Contas'!A:A,'Plano de Contas'!D:D)</f>
        <v>02 - Outras Receitas</v>
      </c>
    </row>
    <row r="331" spans="1:5" x14ac:dyDescent="0.25">
      <c r="A331" s="23">
        <f t="shared" si="2"/>
        <v>43525</v>
      </c>
      <c r="B331" s="5" t="s">
        <v>100</v>
      </c>
      <c r="C331" s="5">
        <v>274493</v>
      </c>
      <c r="D331" s="5" t="str">
        <f>_xlfn.XLOOKUP(fOrcado[[#This Row],[Conta]],'Plano de Contas'!A:A,'Plano de Contas'!C:C)</f>
        <v>(+) RECEITA BRUTA</v>
      </c>
      <c r="E331" s="5" t="str">
        <f>_xlfn.XLOOKUP(fOrcado[[#This Row],[Conta]],'Plano de Contas'!A:A,'Plano de Contas'!D:D)</f>
        <v>02 - Outras Receitas</v>
      </c>
    </row>
    <row r="332" spans="1:5" x14ac:dyDescent="0.25">
      <c r="A332" s="23">
        <f t="shared" si="2"/>
        <v>43525</v>
      </c>
      <c r="B332" s="5" t="s">
        <v>101</v>
      </c>
      <c r="C332" s="5">
        <v>68235</v>
      </c>
      <c r="D332" s="5" t="str">
        <f>_xlfn.XLOOKUP(fOrcado[[#This Row],[Conta]],'Plano de Contas'!A:A,'Plano de Contas'!C:C)</f>
        <v>(+) RECEITA BRUTA</v>
      </c>
      <c r="E332" s="5" t="str">
        <f>_xlfn.XLOOKUP(fOrcado[[#This Row],[Conta]],'Plano de Contas'!A:A,'Plano de Contas'!D:D)</f>
        <v>02 - Outras Receitas</v>
      </c>
    </row>
    <row r="333" spans="1:5" x14ac:dyDescent="0.25">
      <c r="A333" s="23">
        <f t="shared" si="2"/>
        <v>43525</v>
      </c>
      <c r="B333" s="5" t="s">
        <v>102</v>
      </c>
      <c r="C333" s="5">
        <v>154919</v>
      </c>
      <c r="D333" s="5" t="str">
        <f>_xlfn.XLOOKUP(fOrcado[[#This Row],[Conta]],'Plano de Contas'!A:A,'Plano de Contas'!C:C)</f>
        <v>(+) RECEITA BRUTA</v>
      </c>
      <c r="E333" s="5" t="str">
        <f>_xlfn.XLOOKUP(fOrcado[[#This Row],[Conta]],'Plano de Contas'!A:A,'Plano de Contas'!D:D)</f>
        <v>02 - Outras Receitas</v>
      </c>
    </row>
    <row r="334" spans="1:5" x14ac:dyDescent="0.25">
      <c r="A334" s="23">
        <f t="shared" si="2"/>
        <v>43525</v>
      </c>
      <c r="B334" s="5" t="s">
        <v>103</v>
      </c>
      <c r="C334" s="5">
        <v>238340</v>
      </c>
      <c r="D334" s="5" t="str">
        <f>_xlfn.XLOOKUP(fOrcado[[#This Row],[Conta]],'Plano de Contas'!A:A,'Plano de Contas'!C:C)</f>
        <v>(+) RECEITA BRUTA</v>
      </c>
      <c r="E334" s="5" t="str">
        <f>_xlfn.XLOOKUP(fOrcado[[#This Row],[Conta]],'Plano de Contas'!A:A,'Plano de Contas'!D:D)</f>
        <v>02 - Outras Receitas</v>
      </c>
    </row>
    <row r="335" spans="1:5" x14ac:dyDescent="0.25">
      <c r="A335" s="23">
        <f t="shared" ref="A335:A398" si="3">EDATE(A195,1)</f>
        <v>43525</v>
      </c>
      <c r="B335" s="5" t="s">
        <v>104</v>
      </c>
      <c r="C335" s="5">
        <v>280046</v>
      </c>
      <c r="D335" s="5" t="str">
        <f>_xlfn.XLOOKUP(fOrcado[[#This Row],[Conta]],'Plano de Contas'!A:A,'Plano de Contas'!C:C)</f>
        <v>(+) RECEITA BRUTA</v>
      </c>
      <c r="E335" s="5" t="str">
        <f>_xlfn.XLOOKUP(fOrcado[[#This Row],[Conta]],'Plano de Contas'!A:A,'Plano de Contas'!D:D)</f>
        <v>02 - Outras Receitas</v>
      </c>
    </row>
    <row r="336" spans="1:5" x14ac:dyDescent="0.25">
      <c r="A336" s="23">
        <f t="shared" si="3"/>
        <v>43525</v>
      </c>
      <c r="B336" s="5" t="s">
        <v>105</v>
      </c>
      <c r="C336" s="5">
        <v>200569</v>
      </c>
      <c r="D336" s="5" t="str">
        <f>_xlfn.XLOOKUP(fOrcado[[#This Row],[Conta]],'Plano de Contas'!A:A,'Plano de Contas'!C:C)</f>
        <v>(+) RECEITA BRUTA</v>
      </c>
      <c r="E336" s="5" t="str">
        <f>_xlfn.XLOOKUP(fOrcado[[#This Row],[Conta]],'Plano de Contas'!A:A,'Plano de Contas'!D:D)</f>
        <v>02 - Outras Receitas</v>
      </c>
    </row>
    <row r="337" spans="1:5" x14ac:dyDescent="0.25">
      <c r="A337" s="23">
        <f t="shared" si="3"/>
        <v>43525</v>
      </c>
      <c r="B337" s="5" t="s">
        <v>106</v>
      </c>
      <c r="C337" s="5">
        <v>53697</v>
      </c>
      <c r="D337" s="5" t="str">
        <f>_xlfn.XLOOKUP(fOrcado[[#This Row],[Conta]],'Plano de Contas'!A:A,'Plano de Contas'!C:C)</f>
        <v>(+) RECEITA BRUTA</v>
      </c>
      <c r="E337" s="5" t="str">
        <f>_xlfn.XLOOKUP(fOrcado[[#This Row],[Conta]],'Plano de Contas'!A:A,'Plano de Contas'!D:D)</f>
        <v>02 - Outras Receitas</v>
      </c>
    </row>
    <row r="338" spans="1:5" x14ac:dyDescent="0.25">
      <c r="A338" s="23">
        <f t="shared" si="3"/>
        <v>43525</v>
      </c>
      <c r="B338" s="5" t="s">
        <v>107</v>
      </c>
      <c r="C338" s="5">
        <v>220366</v>
      </c>
      <c r="D338" s="5" t="str">
        <f>_xlfn.XLOOKUP(fOrcado[[#This Row],[Conta]],'Plano de Contas'!A:A,'Plano de Contas'!C:C)</f>
        <v>(+) RECEITA BRUTA</v>
      </c>
      <c r="E338" s="5" t="str">
        <f>_xlfn.XLOOKUP(fOrcado[[#This Row],[Conta]],'Plano de Contas'!A:A,'Plano de Contas'!D:D)</f>
        <v>02 - Outras Receitas</v>
      </c>
    </row>
    <row r="339" spans="1:5" x14ac:dyDescent="0.25">
      <c r="A339" s="23">
        <f t="shared" si="3"/>
        <v>43525</v>
      </c>
      <c r="B339" s="5" t="s">
        <v>108</v>
      </c>
      <c r="C339" s="5">
        <v>212068</v>
      </c>
      <c r="D339" s="5" t="str">
        <f>_xlfn.XLOOKUP(fOrcado[[#This Row],[Conta]],'Plano de Contas'!A:A,'Plano de Contas'!C:C)</f>
        <v>(+) RECEITA BRUTA</v>
      </c>
      <c r="E339" s="5" t="str">
        <f>_xlfn.XLOOKUP(fOrcado[[#This Row],[Conta]],'Plano de Contas'!A:A,'Plano de Contas'!D:D)</f>
        <v>02 - Outras Receitas</v>
      </c>
    </row>
    <row r="340" spans="1:5" x14ac:dyDescent="0.25">
      <c r="A340" s="23">
        <f t="shared" si="3"/>
        <v>43525</v>
      </c>
      <c r="B340" s="5" t="s">
        <v>109</v>
      </c>
      <c r="C340" s="5">
        <v>62324</v>
      </c>
      <c r="D340" s="5" t="str">
        <f>_xlfn.XLOOKUP(fOrcado[[#This Row],[Conta]],'Plano de Contas'!A:A,'Plano de Contas'!C:C)</f>
        <v>(+) RECEITA BRUTA</v>
      </c>
      <c r="E340" s="5" t="str">
        <f>_xlfn.XLOOKUP(fOrcado[[#This Row],[Conta]],'Plano de Contas'!A:A,'Plano de Contas'!D:D)</f>
        <v>02 - Outras Receitas</v>
      </c>
    </row>
    <row r="341" spans="1:5" x14ac:dyDescent="0.25">
      <c r="A341" s="23">
        <f t="shared" si="3"/>
        <v>43525</v>
      </c>
      <c r="B341" s="5" t="s">
        <v>110</v>
      </c>
      <c r="C341" s="5">
        <v>-2580</v>
      </c>
      <c r="D341" s="5" t="str">
        <f>_xlfn.XLOOKUP(fOrcado[[#This Row],[Conta]],'Plano de Contas'!A:A,'Plano de Contas'!C:C)</f>
        <v>(-) Deduções da Receita</v>
      </c>
      <c r="E341" s="5" t="str">
        <f>_xlfn.XLOOKUP(fOrcado[[#This Row],[Conta]],'Plano de Contas'!A:A,'Plano de Contas'!D:D)</f>
        <v>03 - Devoluções de Produtos</v>
      </c>
    </row>
    <row r="342" spans="1:5" x14ac:dyDescent="0.25">
      <c r="A342" s="23">
        <f t="shared" si="3"/>
        <v>43525</v>
      </c>
      <c r="B342" s="5" t="s">
        <v>111</v>
      </c>
      <c r="C342" s="5">
        <v>-1103</v>
      </c>
      <c r="D342" s="5" t="str">
        <f>_xlfn.XLOOKUP(fOrcado[[#This Row],[Conta]],'Plano de Contas'!A:A,'Plano de Contas'!C:C)</f>
        <v>(-) Deduções da Receita</v>
      </c>
      <c r="E342" s="5" t="str">
        <f>_xlfn.XLOOKUP(fOrcado[[#This Row],[Conta]],'Plano de Contas'!A:A,'Plano de Contas'!D:D)</f>
        <v>03 - Devoluções de Produtos</v>
      </c>
    </row>
    <row r="343" spans="1:5" x14ac:dyDescent="0.25">
      <c r="A343" s="23">
        <f t="shared" si="3"/>
        <v>43525</v>
      </c>
      <c r="B343" s="5" t="s">
        <v>112</v>
      </c>
      <c r="C343" s="5">
        <v>-2106</v>
      </c>
      <c r="D343" s="5" t="str">
        <f>_xlfn.XLOOKUP(fOrcado[[#This Row],[Conta]],'Plano de Contas'!A:A,'Plano de Contas'!C:C)</f>
        <v>(-) Deduções da Receita</v>
      </c>
      <c r="E343" s="5" t="str">
        <f>_xlfn.XLOOKUP(fOrcado[[#This Row],[Conta]],'Plano de Contas'!A:A,'Plano de Contas'!D:D)</f>
        <v>03 - Devoluções de Produtos</v>
      </c>
    </row>
    <row r="344" spans="1:5" x14ac:dyDescent="0.25">
      <c r="A344" s="23">
        <f t="shared" si="3"/>
        <v>43525</v>
      </c>
      <c r="B344" s="5" t="s">
        <v>113</v>
      </c>
      <c r="C344" s="5">
        <v>-3775</v>
      </c>
      <c r="D344" s="5" t="str">
        <f>_xlfn.XLOOKUP(fOrcado[[#This Row],[Conta]],'Plano de Contas'!A:A,'Plano de Contas'!C:C)</f>
        <v>(-) Deduções da Receita</v>
      </c>
      <c r="E344" s="5" t="str">
        <f>_xlfn.XLOOKUP(fOrcado[[#This Row],[Conta]],'Plano de Contas'!A:A,'Plano de Contas'!D:D)</f>
        <v>03 - Devoluções de Produtos</v>
      </c>
    </row>
    <row r="345" spans="1:5" x14ac:dyDescent="0.25">
      <c r="A345" s="23">
        <f t="shared" si="3"/>
        <v>43525</v>
      </c>
      <c r="B345" s="5" t="s">
        <v>114</v>
      </c>
      <c r="C345" s="5">
        <v>-5095</v>
      </c>
      <c r="D345" s="5" t="str">
        <f>_xlfn.XLOOKUP(fOrcado[[#This Row],[Conta]],'Plano de Contas'!A:A,'Plano de Contas'!C:C)</f>
        <v>(-) Deduções da Receita</v>
      </c>
      <c r="E345" s="5" t="str">
        <f>_xlfn.XLOOKUP(fOrcado[[#This Row],[Conta]],'Plano de Contas'!A:A,'Plano de Contas'!D:D)</f>
        <v>03 - Devoluções de Produtos</v>
      </c>
    </row>
    <row r="346" spans="1:5" x14ac:dyDescent="0.25">
      <c r="A346" s="23">
        <f t="shared" si="3"/>
        <v>43525</v>
      </c>
      <c r="B346" s="5" t="s">
        <v>115</v>
      </c>
      <c r="C346" s="5">
        <v>-8648</v>
      </c>
      <c r="D346" s="5" t="str">
        <f>_xlfn.XLOOKUP(fOrcado[[#This Row],[Conta]],'Plano de Contas'!A:A,'Plano de Contas'!C:C)</f>
        <v>(-) Deduções da Receita</v>
      </c>
      <c r="E346" s="5" t="str">
        <f>_xlfn.XLOOKUP(fOrcado[[#This Row],[Conta]],'Plano de Contas'!A:A,'Plano de Contas'!D:D)</f>
        <v>03 - Devoluções de Produtos</v>
      </c>
    </row>
    <row r="347" spans="1:5" x14ac:dyDescent="0.25">
      <c r="A347" s="23">
        <f t="shared" si="3"/>
        <v>43525</v>
      </c>
      <c r="B347" s="5" t="s">
        <v>116</v>
      </c>
      <c r="C347" s="5">
        <v>-9433</v>
      </c>
      <c r="D347" s="5" t="str">
        <f>_xlfn.XLOOKUP(fOrcado[[#This Row],[Conta]],'Plano de Contas'!A:A,'Plano de Contas'!C:C)</f>
        <v>(-) Deduções da Receita</v>
      </c>
      <c r="E347" s="5" t="str">
        <f>_xlfn.XLOOKUP(fOrcado[[#This Row],[Conta]],'Plano de Contas'!A:A,'Plano de Contas'!D:D)</f>
        <v>03 - Devoluções de Produtos</v>
      </c>
    </row>
    <row r="348" spans="1:5" x14ac:dyDescent="0.25">
      <c r="A348" s="23">
        <f t="shared" si="3"/>
        <v>43525</v>
      </c>
      <c r="B348" s="5" t="s">
        <v>117</v>
      </c>
      <c r="C348" s="5">
        <v>-6004</v>
      </c>
      <c r="D348" s="5" t="str">
        <f>_xlfn.XLOOKUP(fOrcado[[#This Row],[Conta]],'Plano de Contas'!A:A,'Plano de Contas'!C:C)</f>
        <v>(-) Deduções da Receita</v>
      </c>
      <c r="E348" s="5" t="str">
        <f>_xlfn.XLOOKUP(fOrcado[[#This Row],[Conta]],'Plano de Contas'!A:A,'Plano de Contas'!D:D)</f>
        <v>03 - Devoluções de Produtos</v>
      </c>
    </row>
    <row r="349" spans="1:5" x14ac:dyDescent="0.25">
      <c r="A349" s="23">
        <f t="shared" si="3"/>
        <v>43525</v>
      </c>
      <c r="B349" s="5" t="s">
        <v>118</v>
      </c>
      <c r="C349" s="5">
        <v>-1278</v>
      </c>
      <c r="D349" s="5" t="str">
        <f>_xlfn.XLOOKUP(fOrcado[[#This Row],[Conta]],'Plano de Contas'!A:A,'Plano de Contas'!C:C)</f>
        <v>(-) Deduções da Receita</v>
      </c>
      <c r="E349" s="5" t="str">
        <f>_xlfn.XLOOKUP(fOrcado[[#This Row],[Conta]],'Plano de Contas'!A:A,'Plano de Contas'!D:D)</f>
        <v>03 - Devoluções de Produtos</v>
      </c>
    </row>
    <row r="350" spans="1:5" x14ac:dyDescent="0.25">
      <c r="A350" s="23">
        <f t="shared" si="3"/>
        <v>43525</v>
      </c>
      <c r="B350" s="5" t="s">
        <v>119</v>
      </c>
      <c r="C350" s="5">
        <v>-1227</v>
      </c>
      <c r="D350" s="5" t="str">
        <f>_xlfn.XLOOKUP(fOrcado[[#This Row],[Conta]],'Plano de Contas'!A:A,'Plano de Contas'!C:C)</f>
        <v>(-) Deduções da Receita</v>
      </c>
      <c r="E350" s="5" t="str">
        <f>_xlfn.XLOOKUP(fOrcado[[#This Row],[Conta]],'Plano de Contas'!A:A,'Plano de Contas'!D:D)</f>
        <v>03 - Devoluções de Produtos</v>
      </c>
    </row>
    <row r="351" spans="1:5" x14ac:dyDescent="0.25">
      <c r="A351" s="23">
        <f t="shared" si="3"/>
        <v>43525</v>
      </c>
      <c r="B351" s="5" t="s">
        <v>120</v>
      </c>
      <c r="C351" s="5">
        <v>-3830</v>
      </c>
      <c r="D351" s="5" t="str">
        <f>_xlfn.XLOOKUP(fOrcado[[#This Row],[Conta]],'Plano de Contas'!A:A,'Plano de Contas'!C:C)</f>
        <v>(-) Deduções da Receita</v>
      </c>
      <c r="E351" s="5" t="str">
        <f>_xlfn.XLOOKUP(fOrcado[[#This Row],[Conta]],'Plano de Contas'!A:A,'Plano de Contas'!D:D)</f>
        <v>03 - Devoluções de Produtos</v>
      </c>
    </row>
    <row r="352" spans="1:5" x14ac:dyDescent="0.25">
      <c r="A352" s="23">
        <f t="shared" si="3"/>
        <v>43525</v>
      </c>
      <c r="B352" s="5" t="s">
        <v>121</v>
      </c>
      <c r="C352" s="5">
        <v>-5406</v>
      </c>
      <c r="D352" s="5" t="str">
        <f>_xlfn.XLOOKUP(fOrcado[[#This Row],[Conta]],'Plano de Contas'!A:A,'Plano de Contas'!C:C)</f>
        <v>(-) Deduções da Receita</v>
      </c>
      <c r="E352" s="5" t="str">
        <f>_xlfn.XLOOKUP(fOrcado[[#This Row],[Conta]],'Plano de Contas'!A:A,'Plano de Contas'!D:D)</f>
        <v>03 - Devoluções de Produtos</v>
      </c>
    </row>
    <row r="353" spans="1:5" x14ac:dyDescent="0.25">
      <c r="A353" s="23">
        <f t="shared" si="3"/>
        <v>43525</v>
      </c>
      <c r="B353" s="5" t="s">
        <v>122</v>
      </c>
      <c r="C353" s="5">
        <v>-9901</v>
      </c>
      <c r="D353" s="5" t="str">
        <f>_xlfn.XLOOKUP(fOrcado[[#This Row],[Conta]],'Plano de Contas'!A:A,'Plano de Contas'!C:C)</f>
        <v>(-) Deduções da Receita</v>
      </c>
      <c r="E353" s="5" t="str">
        <f>_xlfn.XLOOKUP(fOrcado[[#This Row],[Conta]],'Plano de Contas'!A:A,'Plano de Contas'!D:D)</f>
        <v>03 - Devoluções de Produtos</v>
      </c>
    </row>
    <row r="354" spans="1:5" x14ac:dyDescent="0.25">
      <c r="A354" s="23">
        <f t="shared" si="3"/>
        <v>43525</v>
      </c>
      <c r="B354" s="5" t="s">
        <v>123</v>
      </c>
      <c r="C354" s="5">
        <v>-6762</v>
      </c>
      <c r="D354" s="5" t="str">
        <f>_xlfn.XLOOKUP(fOrcado[[#This Row],[Conta]],'Plano de Contas'!A:A,'Plano de Contas'!C:C)</f>
        <v>(-) Deduções da Receita</v>
      </c>
      <c r="E354" s="5" t="str">
        <f>_xlfn.XLOOKUP(fOrcado[[#This Row],[Conta]],'Plano de Contas'!A:A,'Plano de Contas'!D:D)</f>
        <v>03 - Devoluções de Produtos</v>
      </c>
    </row>
    <row r="355" spans="1:5" x14ac:dyDescent="0.25">
      <c r="A355" s="23">
        <f t="shared" si="3"/>
        <v>43525</v>
      </c>
      <c r="B355" s="5" t="s">
        <v>124</v>
      </c>
      <c r="C355" s="5">
        <v>-9704</v>
      </c>
      <c r="D355" s="5" t="str">
        <f>_xlfn.XLOOKUP(fOrcado[[#This Row],[Conta]],'Plano de Contas'!A:A,'Plano de Contas'!C:C)</f>
        <v>(-) Deduções da Receita</v>
      </c>
      <c r="E355" s="5" t="str">
        <f>_xlfn.XLOOKUP(fOrcado[[#This Row],[Conta]],'Plano de Contas'!A:A,'Plano de Contas'!D:D)</f>
        <v>03 - Devoluções de Produtos</v>
      </c>
    </row>
    <row r="356" spans="1:5" x14ac:dyDescent="0.25">
      <c r="A356" s="23">
        <f t="shared" si="3"/>
        <v>43525</v>
      </c>
      <c r="B356" s="5" t="s">
        <v>125</v>
      </c>
      <c r="C356" s="5">
        <v>-1079</v>
      </c>
      <c r="D356" s="5" t="str">
        <f>_xlfn.XLOOKUP(fOrcado[[#This Row],[Conta]],'Plano de Contas'!A:A,'Plano de Contas'!C:C)</f>
        <v>(-) Deduções da Receita</v>
      </c>
      <c r="E356" s="5" t="str">
        <f>_xlfn.XLOOKUP(fOrcado[[#This Row],[Conta]],'Plano de Contas'!A:A,'Plano de Contas'!D:D)</f>
        <v>03 - Devoluções de Produtos</v>
      </c>
    </row>
    <row r="357" spans="1:5" x14ac:dyDescent="0.25">
      <c r="A357" s="23">
        <f t="shared" si="3"/>
        <v>43525</v>
      </c>
      <c r="B357" s="5" t="s">
        <v>126</v>
      </c>
      <c r="C357" s="5">
        <v>-7819</v>
      </c>
      <c r="D357" s="5" t="str">
        <f>_xlfn.XLOOKUP(fOrcado[[#This Row],[Conta]],'Plano de Contas'!A:A,'Plano de Contas'!C:C)</f>
        <v>(-) Deduções da Receita</v>
      </c>
      <c r="E357" s="5" t="str">
        <f>_xlfn.XLOOKUP(fOrcado[[#This Row],[Conta]],'Plano de Contas'!A:A,'Plano de Contas'!D:D)</f>
        <v>03 - Devoluções de Produtos</v>
      </c>
    </row>
    <row r="358" spans="1:5" x14ac:dyDescent="0.25">
      <c r="A358" s="23">
        <f t="shared" si="3"/>
        <v>43525</v>
      </c>
      <c r="B358" s="5" t="s">
        <v>127</v>
      </c>
      <c r="C358" s="5">
        <v>-6689</v>
      </c>
      <c r="D358" s="5" t="str">
        <f>_xlfn.XLOOKUP(fOrcado[[#This Row],[Conta]],'Plano de Contas'!A:A,'Plano de Contas'!C:C)</f>
        <v>(-) Deduções da Receita</v>
      </c>
      <c r="E358" s="5" t="str">
        <f>_xlfn.XLOOKUP(fOrcado[[#This Row],[Conta]],'Plano de Contas'!A:A,'Plano de Contas'!D:D)</f>
        <v>03 - Devoluções de Produtos</v>
      </c>
    </row>
    <row r="359" spans="1:5" x14ac:dyDescent="0.25">
      <c r="A359" s="23">
        <f t="shared" si="3"/>
        <v>43525</v>
      </c>
      <c r="B359" s="5" t="s">
        <v>128</v>
      </c>
      <c r="C359" s="5">
        <v>-4450</v>
      </c>
      <c r="D359" s="5" t="str">
        <f>_xlfn.XLOOKUP(fOrcado[[#This Row],[Conta]],'Plano de Contas'!A:A,'Plano de Contas'!C:C)</f>
        <v>(-) Deduções da Receita</v>
      </c>
      <c r="E359" s="5" t="str">
        <f>_xlfn.XLOOKUP(fOrcado[[#This Row],[Conta]],'Plano de Contas'!A:A,'Plano de Contas'!D:D)</f>
        <v>03 - Devoluções de Produtos</v>
      </c>
    </row>
    <row r="360" spans="1:5" x14ac:dyDescent="0.25">
      <c r="A360" s="23">
        <f t="shared" si="3"/>
        <v>43525</v>
      </c>
      <c r="B360" s="5" t="s">
        <v>129</v>
      </c>
      <c r="C360" s="5">
        <v>-3799</v>
      </c>
      <c r="D360" s="5" t="str">
        <f>_xlfn.XLOOKUP(fOrcado[[#This Row],[Conta]],'Plano de Contas'!A:A,'Plano de Contas'!C:C)</f>
        <v>(-) Deduções da Receita</v>
      </c>
      <c r="E360" s="5" t="str">
        <f>_xlfn.XLOOKUP(fOrcado[[#This Row],[Conta]],'Plano de Contas'!A:A,'Plano de Contas'!D:D)</f>
        <v>03 - Devoluções de Produtos</v>
      </c>
    </row>
    <row r="361" spans="1:5" x14ac:dyDescent="0.25">
      <c r="A361" s="23">
        <f t="shared" si="3"/>
        <v>43525</v>
      </c>
      <c r="B361" s="5" t="s">
        <v>130</v>
      </c>
      <c r="C361" s="5">
        <v>-2035</v>
      </c>
      <c r="D361" s="5" t="str">
        <f>_xlfn.XLOOKUP(fOrcado[[#This Row],[Conta]],'Plano de Contas'!A:A,'Plano de Contas'!C:C)</f>
        <v>(-) Deduções da Receita</v>
      </c>
      <c r="E361" s="5" t="str">
        <f>_xlfn.XLOOKUP(fOrcado[[#This Row],[Conta]],'Plano de Contas'!A:A,'Plano de Contas'!D:D)</f>
        <v>03 - Devoluções de Produtos</v>
      </c>
    </row>
    <row r="362" spans="1:5" x14ac:dyDescent="0.25">
      <c r="A362" s="23">
        <f t="shared" si="3"/>
        <v>43525</v>
      </c>
      <c r="B362" s="5" t="s">
        <v>131</v>
      </c>
      <c r="C362" s="5">
        <v>-7232</v>
      </c>
      <c r="D362" s="5" t="str">
        <f>_xlfn.XLOOKUP(fOrcado[[#This Row],[Conta]],'Plano de Contas'!A:A,'Plano de Contas'!C:C)</f>
        <v>(-) Deduções da Receita</v>
      </c>
      <c r="E362" s="5" t="str">
        <f>_xlfn.XLOOKUP(fOrcado[[#This Row],[Conta]],'Plano de Contas'!A:A,'Plano de Contas'!D:D)</f>
        <v>03 - Devoluções de Produtos</v>
      </c>
    </row>
    <row r="363" spans="1:5" x14ac:dyDescent="0.25">
      <c r="A363" s="23">
        <f t="shared" si="3"/>
        <v>43525</v>
      </c>
      <c r="B363" s="5" t="s">
        <v>132</v>
      </c>
      <c r="C363" s="5">
        <v>-9059</v>
      </c>
      <c r="D363" s="5" t="str">
        <f>_xlfn.XLOOKUP(fOrcado[[#This Row],[Conta]],'Plano de Contas'!A:A,'Plano de Contas'!C:C)</f>
        <v>(-) Deduções da Receita</v>
      </c>
      <c r="E363" s="5" t="str">
        <f>_xlfn.XLOOKUP(fOrcado[[#This Row],[Conta]],'Plano de Contas'!A:A,'Plano de Contas'!D:D)</f>
        <v>03 - Devoluções de Produtos</v>
      </c>
    </row>
    <row r="364" spans="1:5" x14ac:dyDescent="0.25">
      <c r="A364" s="23">
        <f t="shared" si="3"/>
        <v>43525</v>
      </c>
      <c r="B364" s="5" t="s">
        <v>133</v>
      </c>
      <c r="C364" s="5">
        <v>-2398</v>
      </c>
      <c r="D364" s="5" t="str">
        <f>_xlfn.XLOOKUP(fOrcado[[#This Row],[Conta]],'Plano de Contas'!A:A,'Plano de Contas'!C:C)</f>
        <v>(-) Deduções da Receita</v>
      </c>
      <c r="E364" s="5" t="str">
        <f>_xlfn.XLOOKUP(fOrcado[[#This Row],[Conta]],'Plano de Contas'!A:A,'Plano de Contas'!D:D)</f>
        <v>03 - Devoluções de Produtos</v>
      </c>
    </row>
    <row r="365" spans="1:5" x14ac:dyDescent="0.25">
      <c r="A365" s="23">
        <f t="shared" si="3"/>
        <v>43525</v>
      </c>
      <c r="B365" s="5" t="s">
        <v>134</v>
      </c>
      <c r="C365" s="5">
        <v>-8439</v>
      </c>
      <c r="D365" s="5" t="str">
        <f>_xlfn.XLOOKUP(fOrcado[[#This Row],[Conta]],'Plano de Contas'!A:A,'Plano de Contas'!C:C)</f>
        <v>(-) Deduções da Receita</v>
      </c>
      <c r="E365" s="5" t="str">
        <f>_xlfn.XLOOKUP(fOrcado[[#This Row],[Conta]],'Plano de Contas'!A:A,'Plano de Contas'!D:D)</f>
        <v>03 - Devoluções de Produtos</v>
      </c>
    </row>
    <row r="366" spans="1:5" x14ac:dyDescent="0.25">
      <c r="A366" s="23">
        <f t="shared" si="3"/>
        <v>43525</v>
      </c>
      <c r="B366" s="5" t="s">
        <v>135</v>
      </c>
      <c r="C366" s="5">
        <v>-3872</v>
      </c>
      <c r="D366" s="5" t="str">
        <f>_xlfn.XLOOKUP(fOrcado[[#This Row],[Conta]],'Plano de Contas'!A:A,'Plano de Contas'!C:C)</f>
        <v>(-) Deduções da Receita</v>
      </c>
      <c r="E366" s="5" t="str">
        <f>_xlfn.XLOOKUP(fOrcado[[#This Row],[Conta]],'Plano de Contas'!A:A,'Plano de Contas'!D:D)</f>
        <v>03 - Devoluções de Produtos</v>
      </c>
    </row>
    <row r="367" spans="1:5" x14ac:dyDescent="0.25">
      <c r="A367" s="23">
        <f t="shared" si="3"/>
        <v>43525</v>
      </c>
      <c r="B367" s="5" t="s">
        <v>136</v>
      </c>
      <c r="C367" s="5">
        <v>-7000</v>
      </c>
      <c r="D367" s="5" t="str">
        <f>_xlfn.XLOOKUP(fOrcado[[#This Row],[Conta]],'Plano de Contas'!A:A,'Plano de Contas'!C:C)</f>
        <v>(-) Deduções da Receita</v>
      </c>
      <c r="E367" s="5" t="str">
        <f>_xlfn.XLOOKUP(fOrcado[[#This Row],[Conta]],'Plano de Contas'!A:A,'Plano de Contas'!D:D)</f>
        <v>04 - Taxas de Serviço</v>
      </c>
    </row>
    <row r="368" spans="1:5" x14ac:dyDescent="0.25">
      <c r="A368" s="23">
        <f t="shared" si="3"/>
        <v>43525</v>
      </c>
      <c r="B368" s="5" t="s">
        <v>137</v>
      </c>
      <c r="C368" s="5">
        <v>-9051</v>
      </c>
      <c r="D368" s="5" t="str">
        <f>_xlfn.XLOOKUP(fOrcado[[#This Row],[Conta]],'Plano de Contas'!A:A,'Plano de Contas'!C:C)</f>
        <v>(-) Deduções da Receita</v>
      </c>
      <c r="E368" s="5" t="str">
        <f>_xlfn.XLOOKUP(fOrcado[[#This Row],[Conta]],'Plano de Contas'!A:A,'Plano de Contas'!D:D)</f>
        <v>04 - Taxas de Serviço</v>
      </c>
    </row>
    <row r="369" spans="1:5" x14ac:dyDescent="0.25">
      <c r="A369" s="23">
        <f t="shared" si="3"/>
        <v>43525</v>
      </c>
      <c r="B369" s="5" t="s">
        <v>138</v>
      </c>
      <c r="C369" s="5">
        <v>-7130</v>
      </c>
      <c r="D369" s="5" t="str">
        <f>_xlfn.XLOOKUP(fOrcado[[#This Row],[Conta]],'Plano de Contas'!A:A,'Plano de Contas'!C:C)</f>
        <v>(-) Deduções da Receita</v>
      </c>
      <c r="E369" s="5" t="str">
        <f>_xlfn.XLOOKUP(fOrcado[[#This Row],[Conta]],'Plano de Contas'!A:A,'Plano de Contas'!D:D)</f>
        <v>04 - Taxas de Serviço</v>
      </c>
    </row>
    <row r="370" spans="1:5" x14ac:dyDescent="0.25">
      <c r="A370" s="23">
        <f t="shared" si="3"/>
        <v>43525</v>
      </c>
      <c r="B370" s="5" t="s">
        <v>139</v>
      </c>
      <c r="C370" s="5">
        <v>-9382</v>
      </c>
      <c r="D370" s="5" t="str">
        <f>_xlfn.XLOOKUP(fOrcado[[#This Row],[Conta]],'Plano de Contas'!A:A,'Plano de Contas'!C:C)</f>
        <v>(-) Deduções da Receita</v>
      </c>
      <c r="E370" s="5" t="str">
        <f>_xlfn.XLOOKUP(fOrcado[[#This Row],[Conta]],'Plano de Contas'!A:A,'Plano de Contas'!D:D)</f>
        <v>04 - Taxas de Serviço</v>
      </c>
    </row>
    <row r="371" spans="1:5" x14ac:dyDescent="0.25">
      <c r="A371" s="23">
        <f t="shared" si="3"/>
        <v>43525</v>
      </c>
      <c r="B371" s="5" t="s">
        <v>140</v>
      </c>
      <c r="C371" s="5">
        <v>-156011</v>
      </c>
      <c r="D371" s="5" t="str">
        <f>_xlfn.XLOOKUP(fOrcado[[#This Row],[Conta]],'Plano de Contas'!A:A,'Plano de Contas'!C:C)</f>
        <v>(-) Custos de Vendas</v>
      </c>
      <c r="E371" s="5" t="str">
        <f>_xlfn.XLOOKUP(fOrcado[[#This Row],[Conta]],'Plano de Contas'!A:A,'Plano de Contas'!D:D)</f>
        <v>05 - Custo do Produto</v>
      </c>
    </row>
    <row r="372" spans="1:5" x14ac:dyDescent="0.25">
      <c r="A372" s="23">
        <f t="shared" si="3"/>
        <v>43525</v>
      </c>
      <c r="B372" s="5" t="s">
        <v>141</v>
      </c>
      <c r="C372" s="5">
        <v>-196081</v>
      </c>
      <c r="D372" s="5" t="str">
        <f>_xlfn.XLOOKUP(fOrcado[[#This Row],[Conta]],'Plano de Contas'!A:A,'Plano de Contas'!C:C)</f>
        <v>(-) Custos de Vendas</v>
      </c>
      <c r="E372" s="5" t="str">
        <f>_xlfn.XLOOKUP(fOrcado[[#This Row],[Conta]],'Plano de Contas'!A:A,'Plano de Contas'!D:D)</f>
        <v>05 - Custo do Produto</v>
      </c>
    </row>
    <row r="373" spans="1:5" x14ac:dyDescent="0.25">
      <c r="A373" s="23">
        <f t="shared" si="3"/>
        <v>43525</v>
      </c>
      <c r="B373" s="5" t="s">
        <v>142</v>
      </c>
      <c r="C373" s="5">
        <v>-245765</v>
      </c>
      <c r="D373" s="5" t="str">
        <f>_xlfn.XLOOKUP(fOrcado[[#This Row],[Conta]],'Plano de Contas'!A:A,'Plano de Contas'!C:C)</f>
        <v>(-) Custos de Vendas</v>
      </c>
      <c r="E373" s="5" t="str">
        <f>_xlfn.XLOOKUP(fOrcado[[#This Row],[Conta]],'Plano de Contas'!A:A,'Plano de Contas'!D:D)</f>
        <v>05 - Custo do Produto</v>
      </c>
    </row>
    <row r="374" spans="1:5" x14ac:dyDescent="0.25">
      <c r="A374" s="23">
        <f t="shared" si="3"/>
        <v>43525</v>
      </c>
      <c r="B374" s="5" t="s">
        <v>143</v>
      </c>
      <c r="C374" s="5">
        <v>-92936</v>
      </c>
      <c r="D374" s="5" t="str">
        <f>_xlfn.XLOOKUP(fOrcado[[#This Row],[Conta]],'Plano de Contas'!A:A,'Plano de Contas'!C:C)</f>
        <v>(-) Custos de Vendas</v>
      </c>
      <c r="E374" s="5" t="str">
        <f>_xlfn.XLOOKUP(fOrcado[[#This Row],[Conta]],'Plano de Contas'!A:A,'Plano de Contas'!D:D)</f>
        <v>05 - Custo do Produto</v>
      </c>
    </row>
    <row r="375" spans="1:5" x14ac:dyDescent="0.25">
      <c r="A375" s="23">
        <f t="shared" si="3"/>
        <v>43525</v>
      </c>
      <c r="B375" s="5" t="s">
        <v>144</v>
      </c>
      <c r="C375" s="5">
        <v>-168884</v>
      </c>
      <c r="D375" s="5" t="str">
        <f>_xlfn.XLOOKUP(fOrcado[[#This Row],[Conta]],'Plano de Contas'!A:A,'Plano de Contas'!C:C)</f>
        <v>(-) Custos de Vendas</v>
      </c>
      <c r="E375" s="5" t="str">
        <f>_xlfn.XLOOKUP(fOrcado[[#This Row],[Conta]],'Plano de Contas'!A:A,'Plano de Contas'!D:D)</f>
        <v>05 - Custo do Produto</v>
      </c>
    </row>
    <row r="376" spans="1:5" x14ac:dyDescent="0.25">
      <c r="A376" s="23">
        <f t="shared" si="3"/>
        <v>43525</v>
      </c>
      <c r="B376" s="5" t="s">
        <v>145</v>
      </c>
      <c r="C376" s="5">
        <v>-158457</v>
      </c>
      <c r="D376" s="5" t="str">
        <f>_xlfn.XLOOKUP(fOrcado[[#This Row],[Conta]],'Plano de Contas'!A:A,'Plano de Contas'!C:C)</f>
        <v>(-) Custos de Vendas</v>
      </c>
      <c r="E376" s="5" t="str">
        <f>_xlfn.XLOOKUP(fOrcado[[#This Row],[Conta]],'Plano de Contas'!A:A,'Plano de Contas'!D:D)</f>
        <v>05 - Custo do Produto</v>
      </c>
    </row>
    <row r="377" spans="1:5" x14ac:dyDescent="0.25">
      <c r="A377" s="23">
        <f t="shared" si="3"/>
        <v>43525</v>
      </c>
      <c r="B377" s="5" t="s">
        <v>146</v>
      </c>
      <c r="C377" s="5">
        <v>-291798</v>
      </c>
      <c r="D377" s="5" t="str">
        <f>_xlfn.XLOOKUP(fOrcado[[#This Row],[Conta]],'Plano de Contas'!A:A,'Plano de Contas'!C:C)</f>
        <v>(-) Custos de Vendas</v>
      </c>
      <c r="E377" s="5" t="str">
        <f>_xlfn.XLOOKUP(fOrcado[[#This Row],[Conta]],'Plano de Contas'!A:A,'Plano de Contas'!D:D)</f>
        <v>05 - Custo do Produto</v>
      </c>
    </row>
    <row r="378" spans="1:5" x14ac:dyDescent="0.25">
      <c r="A378" s="23">
        <f t="shared" si="3"/>
        <v>43525</v>
      </c>
      <c r="B378" s="5" t="s">
        <v>147</v>
      </c>
      <c r="C378" s="5">
        <v>-165411</v>
      </c>
      <c r="D378" s="5" t="str">
        <f>_xlfn.XLOOKUP(fOrcado[[#This Row],[Conta]],'Plano de Contas'!A:A,'Plano de Contas'!C:C)</f>
        <v>(-) Custos de Vendas</v>
      </c>
      <c r="E378" s="5" t="str">
        <f>_xlfn.XLOOKUP(fOrcado[[#This Row],[Conta]],'Plano de Contas'!A:A,'Plano de Contas'!D:D)</f>
        <v>05 - Custo do Produto</v>
      </c>
    </row>
    <row r="379" spans="1:5" x14ac:dyDescent="0.25">
      <c r="A379" s="23">
        <f t="shared" si="3"/>
        <v>43525</v>
      </c>
      <c r="B379" s="5" t="s">
        <v>148</v>
      </c>
      <c r="C379" s="5">
        <v>-244382</v>
      </c>
      <c r="D379" s="5" t="str">
        <f>_xlfn.XLOOKUP(fOrcado[[#This Row],[Conta]],'Plano de Contas'!A:A,'Plano de Contas'!C:C)</f>
        <v>(-) Custos de Vendas</v>
      </c>
      <c r="E379" s="5" t="str">
        <f>_xlfn.XLOOKUP(fOrcado[[#This Row],[Conta]],'Plano de Contas'!A:A,'Plano de Contas'!D:D)</f>
        <v>05 - Custo do Produto</v>
      </c>
    </row>
    <row r="380" spans="1:5" x14ac:dyDescent="0.25">
      <c r="A380" s="23">
        <f t="shared" si="3"/>
        <v>43525</v>
      </c>
      <c r="B380" s="5" t="s">
        <v>149</v>
      </c>
      <c r="C380" s="5">
        <v>-255632</v>
      </c>
      <c r="D380" s="5" t="str">
        <f>_xlfn.XLOOKUP(fOrcado[[#This Row],[Conta]],'Plano de Contas'!A:A,'Plano de Contas'!C:C)</f>
        <v>(-) Custos de Vendas</v>
      </c>
      <c r="E380" s="5" t="str">
        <f>_xlfn.XLOOKUP(fOrcado[[#This Row],[Conta]],'Plano de Contas'!A:A,'Plano de Contas'!D:D)</f>
        <v>05 - Custo do Produto</v>
      </c>
    </row>
    <row r="381" spans="1:5" x14ac:dyDescent="0.25">
      <c r="A381" s="23">
        <f t="shared" si="3"/>
        <v>43525</v>
      </c>
      <c r="B381" s="5" t="s">
        <v>150</v>
      </c>
      <c r="C381" s="5">
        <v>-189099</v>
      </c>
      <c r="D381" s="5" t="str">
        <f>_xlfn.XLOOKUP(fOrcado[[#This Row],[Conta]],'Plano de Contas'!A:A,'Plano de Contas'!C:C)</f>
        <v>(-) Custos de Vendas</v>
      </c>
      <c r="E381" s="5" t="str">
        <f>_xlfn.XLOOKUP(fOrcado[[#This Row],[Conta]],'Plano de Contas'!A:A,'Plano de Contas'!D:D)</f>
        <v>05 - Custo do Produto</v>
      </c>
    </row>
    <row r="382" spans="1:5" x14ac:dyDescent="0.25">
      <c r="A382" s="23">
        <f t="shared" si="3"/>
        <v>43525</v>
      </c>
      <c r="B382" s="5" t="s">
        <v>151</v>
      </c>
      <c r="C382" s="5">
        <v>-206158</v>
      </c>
      <c r="D382" s="5" t="str">
        <f>_xlfn.XLOOKUP(fOrcado[[#This Row],[Conta]],'Plano de Contas'!A:A,'Plano de Contas'!C:C)</f>
        <v>(-) Custos de Vendas</v>
      </c>
      <c r="E382" s="5" t="str">
        <f>_xlfn.XLOOKUP(fOrcado[[#This Row],[Conta]],'Plano de Contas'!A:A,'Plano de Contas'!D:D)</f>
        <v>05 - Custo do Produto</v>
      </c>
    </row>
    <row r="383" spans="1:5" x14ac:dyDescent="0.25">
      <c r="A383" s="23">
        <f t="shared" si="3"/>
        <v>43525</v>
      </c>
      <c r="B383" s="5" t="s">
        <v>152</v>
      </c>
      <c r="C383" s="5">
        <v>-146803</v>
      </c>
      <c r="D383" s="5" t="str">
        <f>_xlfn.XLOOKUP(fOrcado[[#This Row],[Conta]],'Plano de Contas'!A:A,'Plano de Contas'!C:C)</f>
        <v>(-) Custos de Vendas</v>
      </c>
      <c r="E383" s="5" t="str">
        <f>_xlfn.XLOOKUP(fOrcado[[#This Row],[Conta]],'Plano de Contas'!A:A,'Plano de Contas'!D:D)</f>
        <v>05 - Custo do Produto</v>
      </c>
    </row>
    <row r="384" spans="1:5" x14ac:dyDescent="0.25">
      <c r="A384" s="23">
        <f t="shared" si="3"/>
        <v>43525</v>
      </c>
      <c r="B384" s="5" t="s">
        <v>153</v>
      </c>
      <c r="C384" s="5">
        <v>-198645</v>
      </c>
      <c r="D384" s="5" t="str">
        <f>_xlfn.XLOOKUP(fOrcado[[#This Row],[Conta]],'Plano de Contas'!A:A,'Plano de Contas'!C:C)</f>
        <v>(-) Custos de Vendas</v>
      </c>
      <c r="E384" s="5" t="str">
        <f>_xlfn.XLOOKUP(fOrcado[[#This Row],[Conta]],'Plano de Contas'!A:A,'Plano de Contas'!D:D)</f>
        <v>05 - Custo do Produto</v>
      </c>
    </row>
    <row r="385" spans="1:5" x14ac:dyDescent="0.25">
      <c r="A385" s="23">
        <f t="shared" si="3"/>
        <v>43525</v>
      </c>
      <c r="B385" s="5" t="s">
        <v>154</v>
      </c>
      <c r="C385" s="5">
        <v>-192871</v>
      </c>
      <c r="D385" s="5" t="str">
        <f>_xlfn.XLOOKUP(fOrcado[[#This Row],[Conta]],'Plano de Contas'!A:A,'Plano de Contas'!C:C)</f>
        <v>(-) Custos de Vendas</v>
      </c>
      <c r="E385" s="5" t="str">
        <f>_xlfn.XLOOKUP(fOrcado[[#This Row],[Conta]],'Plano de Contas'!A:A,'Plano de Contas'!D:D)</f>
        <v>05 - Custo do Produto</v>
      </c>
    </row>
    <row r="386" spans="1:5" x14ac:dyDescent="0.25">
      <c r="A386" s="23">
        <f t="shared" si="3"/>
        <v>43525</v>
      </c>
      <c r="B386" s="5" t="s">
        <v>155</v>
      </c>
      <c r="C386" s="5">
        <v>-110972</v>
      </c>
      <c r="D386" s="5" t="str">
        <f>_xlfn.XLOOKUP(fOrcado[[#This Row],[Conta]],'Plano de Contas'!A:A,'Plano de Contas'!C:C)</f>
        <v>(-) Custos de Vendas</v>
      </c>
      <c r="E386" s="5" t="str">
        <f>_xlfn.XLOOKUP(fOrcado[[#This Row],[Conta]],'Plano de Contas'!A:A,'Plano de Contas'!D:D)</f>
        <v>05 - Custo do Produto</v>
      </c>
    </row>
    <row r="387" spans="1:5" x14ac:dyDescent="0.25">
      <c r="A387" s="23">
        <f t="shared" si="3"/>
        <v>43525</v>
      </c>
      <c r="B387" s="5" t="s">
        <v>156</v>
      </c>
      <c r="C387" s="5">
        <v>-170299</v>
      </c>
      <c r="D387" s="5" t="str">
        <f>_xlfn.XLOOKUP(fOrcado[[#This Row],[Conta]],'Plano de Contas'!A:A,'Plano de Contas'!C:C)</f>
        <v>(-) Custos de Vendas</v>
      </c>
      <c r="E387" s="5" t="str">
        <f>_xlfn.XLOOKUP(fOrcado[[#This Row],[Conta]],'Plano de Contas'!A:A,'Plano de Contas'!D:D)</f>
        <v>05 - Custo do Produto</v>
      </c>
    </row>
    <row r="388" spans="1:5" x14ac:dyDescent="0.25">
      <c r="A388" s="23">
        <f t="shared" si="3"/>
        <v>43525</v>
      </c>
      <c r="B388" s="5" t="s">
        <v>157</v>
      </c>
      <c r="C388" s="5">
        <v>-272360</v>
      </c>
      <c r="D388" s="5" t="str">
        <f>_xlfn.XLOOKUP(fOrcado[[#This Row],[Conta]],'Plano de Contas'!A:A,'Plano de Contas'!C:C)</f>
        <v>(-) Custos de Vendas</v>
      </c>
      <c r="E388" s="5" t="str">
        <f>_xlfn.XLOOKUP(fOrcado[[#This Row],[Conta]],'Plano de Contas'!A:A,'Plano de Contas'!D:D)</f>
        <v>05 - Custo do Produto</v>
      </c>
    </row>
    <row r="389" spans="1:5" x14ac:dyDescent="0.25">
      <c r="A389" s="23">
        <f t="shared" si="3"/>
        <v>43525</v>
      </c>
      <c r="B389" s="5" t="s">
        <v>158</v>
      </c>
      <c r="C389" s="5">
        <v>-124373</v>
      </c>
      <c r="D389" s="5" t="str">
        <f>_xlfn.XLOOKUP(fOrcado[[#This Row],[Conta]],'Plano de Contas'!A:A,'Plano de Contas'!C:C)</f>
        <v>(-) Custos de Vendas</v>
      </c>
      <c r="E389" s="5" t="str">
        <f>_xlfn.XLOOKUP(fOrcado[[#This Row],[Conta]],'Plano de Contas'!A:A,'Plano de Contas'!D:D)</f>
        <v>05 - Custo do Produto</v>
      </c>
    </row>
    <row r="390" spans="1:5" x14ac:dyDescent="0.25">
      <c r="A390" s="23">
        <f t="shared" si="3"/>
        <v>43525</v>
      </c>
      <c r="B390" s="5" t="s">
        <v>159</v>
      </c>
      <c r="C390" s="5">
        <v>-295239</v>
      </c>
      <c r="D390" s="5" t="str">
        <f>_xlfn.XLOOKUP(fOrcado[[#This Row],[Conta]],'Plano de Contas'!A:A,'Plano de Contas'!C:C)</f>
        <v>(-) Custos de Vendas</v>
      </c>
      <c r="E390" s="5" t="str">
        <f>_xlfn.XLOOKUP(fOrcado[[#This Row],[Conta]],'Plano de Contas'!A:A,'Plano de Contas'!D:D)</f>
        <v>05 - Custo do Produto</v>
      </c>
    </row>
    <row r="391" spans="1:5" x14ac:dyDescent="0.25">
      <c r="A391" s="23">
        <f t="shared" si="3"/>
        <v>43525</v>
      </c>
      <c r="B391" s="5" t="s">
        <v>160</v>
      </c>
      <c r="C391" s="5">
        <v>-178463</v>
      </c>
      <c r="D391" s="5" t="str">
        <f>_xlfn.XLOOKUP(fOrcado[[#This Row],[Conta]],'Plano de Contas'!A:A,'Plano de Contas'!C:C)</f>
        <v>(-) Custos de Vendas</v>
      </c>
      <c r="E391" s="5" t="str">
        <f>_xlfn.XLOOKUP(fOrcado[[#This Row],[Conta]],'Plano de Contas'!A:A,'Plano de Contas'!D:D)</f>
        <v>05 - Custo do Produto</v>
      </c>
    </row>
    <row r="392" spans="1:5" x14ac:dyDescent="0.25">
      <c r="A392" s="23">
        <f t="shared" si="3"/>
        <v>43525</v>
      </c>
      <c r="B392" s="5" t="s">
        <v>161</v>
      </c>
      <c r="C392" s="5">
        <v>-131148</v>
      </c>
      <c r="D392" s="5" t="str">
        <f>_xlfn.XLOOKUP(fOrcado[[#This Row],[Conta]],'Plano de Contas'!A:A,'Plano de Contas'!C:C)</f>
        <v>(-) Custos de Vendas</v>
      </c>
      <c r="E392" s="5" t="str">
        <f>_xlfn.XLOOKUP(fOrcado[[#This Row],[Conta]],'Plano de Contas'!A:A,'Plano de Contas'!D:D)</f>
        <v>05 - Custo do Produto</v>
      </c>
    </row>
    <row r="393" spans="1:5" x14ac:dyDescent="0.25">
      <c r="A393" s="23">
        <f t="shared" si="3"/>
        <v>43525</v>
      </c>
      <c r="B393" s="5" t="s">
        <v>162</v>
      </c>
      <c r="C393" s="5">
        <v>-165582</v>
      </c>
      <c r="D393" s="5" t="str">
        <f>_xlfn.XLOOKUP(fOrcado[[#This Row],[Conta]],'Plano de Contas'!A:A,'Plano de Contas'!C:C)</f>
        <v>(-) Custos de Vendas</v>
      </c>
      <c r="E393" s="5" t="str">
        <f>_xlfn.XLOOKUP(fOrcado[[#This Row],[Conta]],'Plano de Contas'!A:A,'Plano de Contas'!D:D)</f>
        <v>05 - Custo do Produto</v>
      </c>
    </row>
    <row r="394" spans="1:5" x14ac:dyDescent="0.25">
      <c r="A394" s="23">
        <f t="shared" si="3"/>
        <v>43525</v>
      </c>
      <c r="B394" s="5" t="s">
        <v>163</v>
      </c>
      <c r="C394" s="5">
        <v>-102545</v>
      </c>
      <c r="D394" s="5" t="str">
        <f>_xlfn.XLOOKUP(fOrcado[[#This Row],[Conta]],'Plano de Contas'!A:A,'Plano de Contas'!C:C)</f>
        <v>(-) Custos de Vendas</v>
      </c>
      <c r="E394" s="5" t="str">
        <f>_xlfn.XLOOKUP(fOrcado[[#This Row],[Conta]],'Plano de Contas'!A:A,'Plano de Contas'!D:D)</f>
        <v>05 - Custo do Produto</v>
      </c>
    </row>
    <row r="395" spans="1:5" x14ac:dyDescent="0.25">
      <c r="A395" s="23">
        <f t="shared" si="3"/>
        <v>43525</v>
      </c>
      <c r="B395" s="5" t="s">
        <v>164</v>
      </c>
      <c r="C395" s="5">
        <v>-61220</v>
      </c>
      <c r="D395" s="5" t="str">
        <f>_xlfn.XLOOKUP(fOrcado[[#This Row],[Conta]],'Plano de Contas'!A:A,'Plano de Contas'!C:C)</f>
        <v>(-) Custos de Vendas</v>
      </c>
      <c r="E395" s="5" t="str">
        <f>_xlfn.XLOOKUP(fOrcado[[#This Row],[Conta]],'Plano de Contas'!A:A,'Plano de Contas'!D:D)</f>
        <v>06 - Outros Custos</v>
      </c>
    </row>
    <row r="396" spans="1:5" x14ac:dyDescent="0.25">
      <c r="A396" s="23">
        <f t="shared" si="3"/>
        <v>43525</v>
      </c>
      <c r="B396" s="5" t="s">
        <v>165</v>
      </c>
      <c r="C396" s="5">
        <v>-53913</v>
      </c>
      <c r="D396" s="5" t="str">
        <f>_xlfn.XLOOKUP(fOrcado[[#This Row],[Conta]],'Plano de Contas'!A:A,'Plano de Contas'!C:C)</f>
        <v>(-) Custos de Vendas</v>
      </c>
      <c r="E396" s="5" t="str">
        <f>_xlfn.XLOOKUP(fOrcado[[#This Row],[Conta]],'Plano de Contas'!A:A,'Plano de Contas'!D:D)</f>
        <v>06 - Outros Custos</v>
      </c>
    </row>
    <row r="397" spans="1:5" x14ac:dyDescent="0.25">
      <c r="A397" s="23">
        <f t="shared" si="3"/>
        <v>43525</v>
      </c>
      <c r="B397" s="5" t="s">
        <v>166</v>
      </c>
      <c r="C397" s="5">
        <v>-58251</v>
      </c>
      <c r="D397" s="5" t="str">
        <f>_xlfn.XLOOKUP(fOrcado[[#This Row],[Conta]],'Plano de Contas'!A:A,'Plano de Contas'!C:C)</f>
        <v>(-) Custos de Vendas</v>
      </c>
      <c r="E397" s="5" t="str">
        <f>_xlfn.XLOOKUP(fOrcado[[#This Row],[Conta]],'Plano de Contas'!A:A,'Plano de Contas'!D:D)</f>
        <v>06 - Outros Custos</v>
      </c>
    </row>
    <row r="398" spans="1:5" x14ac:dyDescent="0.25">
      <c r="A398" s="23">
        <f t="shared" si="3"/>
        <v>43525</v>
      </c>
      <c r="B398" s="5" t="s">
        <v>167</v>
      </c>
      <c r="C398" s="5">
        <v>-134865</v>
      </c>
      <c r="D398" s="5" t="str">
        <f>_xlfn.XLOOKUP(fOrcado[[#This Row],[Conta]],'Plano de Contas'!A:A,'Plano de Contas'!C:C)</f>
        <v>(-) Despesas Gerais</v>
      </c>
      <c r="E398" s="5" t="str">
        <f>_xlfn.XLOOKUP(fOrcado[[#This Row],[Conta]],'Plano de Contas'!A:A,'Plano de Contas'!D:D)</f>
        <v>07 - Despesas Administrativas</v>
      </c>
    </row>
    <row r="399" spans="1:5" x14ac:dyDescent="0.25">
      <c r="A399" s="23">
        <f t="shared" ref="A399:A462" si="4">EDATE(A259,1)</f>
        <v>43525</v>
      </c>
      <c r="B399" s="5" t="s">
        <v>168</v>
      </c>
      <c r="C399" s="5">
        <v>-201517</v>
      </c>
      <c r="D399" s="5" t="str">
        <f>_xlfn.XLOOKUP(fOrcado[[#This Row],[Conta]],'Plano de Contas'!A:A,'Plano de Contas'!C:C)</f>
        <v>(-) Despesas Gerais</v>
      </c>
      <c r="E399" s="5" t="str">
        <f>_xlfn.XLOOKUP(fOrcado[[#This Row],[Conta]],'Plano de Contas'!A:A,'Plano de Contas'!D:D)</f>
        <v>07 - Despesas Administrativas</v>
      </c>
    </row>
    <row r="400" spans="1:5" x14ac:dyDescent="0.25">
      <c r="A400" s="23">
        <f t="shared" si="4"/>
        <v>43525</v>
      </c>
      <c r="B400" s="5" t="s">
        <v>169</v>
      </c>
      <c r="C400" s="5">
        <v>-314378</v>
      </c>
      <c r="D400" s="5" t="str">
        <f>_xlfn.XLOOKUP(fOrcado[[#This Row],[Conta]],'Plano de Contas'!A:A,'Plano de Contas'!C:C)</f>
        <v>(-) Despesas Gerais</v>
      </c>
      <c r="E400" s="5" t="str">
        <f>_xlfn.XLOOKUP(fOrcado[[#This Row],[Conta]],'Plano de Contas'!A:A,'Plano de Contas'!D:D)</f>
        <v>07 - Despesas Administrativas</v>
      </c>
    </row>
    <row r="401" spans="1:5" x14ac:dyDescent="0.25">
      <c r="A401" s="23">
        <f t="shared" si="4"/>
        <v>43525</v>
      </c>
      <c r="B401" s="5" t="s">
        <v>170</v>
      </c>
      <c r="C401" s="5">
        <v>-330195</v>
      </c>
      <c r="D401" s="5" t="str">
        <f>_xlfn.XLOOKUP(fOrcado[[#This Row],[Conta]],'Plano de Contas'!A:A,'Plano de Contas'!C:C)</f>
        <v>(-) Despesas Gerais</v>
      </c>
      <c r="E401" s="5" t="str">
        <f>_xlfn.XLOOKUP(fOrcado[[#This Row],[Conta]],'Plano de Contas'!A:A,'Plano de Contas'!D:D)</f>
        <v>07 - Despesas Administrativas</v>
      </c>
    </row>
    <row r="402" spans="1:5" x14ac:dyDescent="0.25">
      <c r="A402" s="23">
        <f t="shared" si="4"/>
        <v>43525</v>
      </c>
      <c r="B402" s="5" t="s">
        <v>171</v>
      </c>
      <c r="C402" s="5">
        <v>-187862</v>
      </c>
      <c r="D402" s="5" t="str">
        <f>_xlfn.XLOOKUP(fOrcado[[#This Row],[Conta]],'Plano de Contas'!A:A,'Plano de Contas'!C:C)</f>
        <v>(-) Despesas Gerais</v>
      </c>
      <c r="E402" s="5" t="str">
        <f>_xlfn.XLOOKUP(fOrcado[[#This Row],[Conta]],'Plano de Contas'!A:A,'Plano de Contas'!D:D)</f>
        <v>07 - Despesas Administrativas</v>
      </c>
    </row>
    <row r="403" spans="1:5" x14ac:dyDescent="0.25">
      <c r="A403" s="23">
        <f t="shared" si="4"/>
        <v>43525</v>
      </c>
      <c r="B403" s="5" t="s">
        <v>172</v>
      </c>
      <c r="C403" s="5">
        <v>-237087</v>
      </c>
      <c r="D403" s="5" t="str">
        <f>_xlfn.XLOOKUP(fOrcado[[#This Row],[Conta]],'Plano de Contas'!A:A,'Plano de Contas'!C:C)</f>
        <v>(-) Despesas Gerais</v>
      </c>
      <c r="E403" s="5" t="str">
        <f>_xlfn.XLOOKUP(fOrcado[[#This Row],[Conta]],'Plano de Contas'!A:A,'Plano de Contas'!D:D)</f>
        <v>07 - Despesas Administrativas</v>
      </c>
    </row>
    <row r="404" spans="1:5" x14ac:dyDescent="0.25">
      <c r="A404" s="23">
        <f t="shared" si="4"/>
        <v>43525</v>
      </c>
      <c r="B404" s="5" t="s">
        <v>173</v>
      </c>
      <c r="C404" s="5">
        <v>-59270</v>
      </c>
      <c r="D404" s="5" t="str">
        <f>_xlfn.XLOOKUP(fOrcado[[#This Row],[Conta]],'Plano de Contas'!A:A,'Plano de Contas'!C:C)</f>
        <v>(-) Despesas Gerais</v>
      </c>
      <c r="E404" s="5" t="str">
        <f>_xlfn.XLOOKUP(fOrcado[[#This Row],[Conta]],'Plano de Contas'!A:A,'Plano de Contas'!D:D)</f>
        <v>08 - Despesas Financeiras</v>
      </c>
    </row>
    <row r="405" spans="1:5" x14ac:dyDescent="0.25">
      <c r="A405" s="23">
        <f t="shared" si="4"/>
        <v>43525</v>
      </c>
      <c r="B405" s="5" t="s">
        <v>174</v>
      </c>
      <c r="C405" s="5">
        <v>-40512</v>
      </c>
      <c r="D405" s="5" t="str">
        <f>_xlfn.XLOOKUP(fOrcado[[#This Row],[Conta]],'Plano de Contas'!A:A,'Plano de Contas'!C:C)</f>
        <v>(-) Despesas Gerais</v>
      </c>
      <c r="E405" s="5" t="str">
        <f>_xlfn.XLOOKUP(fOrcado[[#This Row],[Conta]],'Plano de Contas'!A:A,'Plano de Contas'!D:D)</f>
        <v>08 - Despesas Financeiras</v>
      </c>
    </row>
    <row r="406" spans="1:5" x14ac:dyDescent="0.25">
      <c r="A406" s="23">
        <f t="shared" si="4"/>
        <v>43525</v>
      </c>
      <c r="B406" s="5" t="s">
        <v>175</v>
      </c>
      <c r="C406" s="5">
        <v>-45764</v>
      </c>
      <c r="D406" s="5" t="str">
        <f>_xlfn.XLOOKUP(fOrcado[[#This Row],[Conta]],'Plano de Contas'!A:A,'Plano de Contas'!C:C)</f>
        <v>(-) Despesas Gerais</v>
      </c>
      <c r="E406" s="5" t="str">
        <f>_xlfn.XLOOKUP(fOrcado[[#This Row],[Conta]],'Plano de Contas'!A:A,'Plano de Contas'!D:D)</f>
        <v>08 - Despesas Financeiras</v>
      </c>
    </row>
    <row r="407" spans="1:5" x14ac:dyDescent="0.25">
      <c r="A407" s="23">
        <f t="shared" si="4"/>
        <v>43525</v>
      </c>
      <c r="B407" s="5" t="s">
        <v>176</v>
      </c>
      <c r="C407" s="5">
        <v>-45939</v>
      </c>
      <c r="D407" s="5" t="str">
        <f>_xlfn.XLOOKUP(fOrcado[[#This Row],[Conta]],'Plano de Contas'!A:A,'Plano de Contas'!C:C)</f>
        <v>(-) Despesas Gerais</v>
      </c>
      <c r="E407" s="5" t="str">
        <f>_xlfn.XLOOKUP(fOrcado[[#This Row],[Conta]],'Plano de Contas'!A:A,'Plano de Contas'!D:D)</f>
        <v>08 - Despesas Financeiras</v>
      </c>
    </row>
    <row r="408" spans="1:5" x14ac:dyDescent="0.25">
      <c r="A408" s="23">
        <f t="shared" si="4"/>
        <v>43525</v>
      </c>
      <c r="B408" s="5" t="s">
        <v>177</v>
      </c>
      <c r="C408" s="5">
        <v>-57223</v>
      </c>
      <c r="D408" s="5" t="str">
        <f>_xlfn.XLOOKUP(fOrcado[[#This Row],[Conta]],'Plano de Contas'!A:A,'Plano de Contas'!C:C)</f>
        <v>(-) Despesas Gerais</v>
      </c>
      <c r="E408" s="5" t="str">
        <f>_xlfn.XLOOKUP(fOrcado[[#This Row],[Conta]],'Plano de Contas'!A:A,'Plano de Contas'!D:D)</f>
        <v>08 - Despesas Financeiras</v>
      </c>
    </row>
    <row r="409" spans="1:5" x14ac:dyDescent="0.25">
      <c r="A409" s="23">
        <f t="shared" si="4"/>
        <v>43525</v>
      </c>
      <c r="B409" s="5" t="s">
        <v>178</v>
      </c>
      <c r="C409" s="5">
        <v>-124963</v>
      </c>
      <c r="D409" s="5" t="str">
        <f>_xlfn.XLOOKUP(fOrcado[[#This Row],[Conta]],'Plano de Contas'!A:A,'Plano de Contas'!C:C)</f>
        <v>(-) Despesas Gerais</v>
      </c>
      <c r="E409" s="5" t="str">
        <f>_xlfn.XLOOKUP(fOrcado[[#This Row],[Conta]],'Plano de Contas'!A:A,'Plano de Contas'!D:D)</f>
        <v>09 - Tecnologia da Informação</v>
      </c>
    </row>
    <row r="410" spans="1:5" x14ac:dyDescent="0.25">
      <c r="A410" s="23">
        <f t="shared" si="4"/>
        <v>43525</v>
      </c>
      <c r="B410" s="5" t="s">
        <v>179</v>
      </c>
      <c r="C410" s="5">
        <v>-122531</v>
      </c>
      <c r="D410" s="5" t="str">
        <f>_xlfn.XLOOKUP(fOrcado[[#This Row],[Conta]],'Plano de Contas'!A:A,'Plano de Contas'!C:C)</f>
        <v>(-) Despesas Gerais</v>
      </c>
      <c r="E410" s="5" t="str">
        <f>_xlfn.XLOOKUP(fOrcado[[#This Row],[Conta]],'Plano de Contas'!A:A,'Plano de Contas'!D:D)</f>
        <v>09 - Tecnologia da Informação</v>
      </c>
    </row>
    <row r="411" spans="1:5" x14ac:dyDescent="0.25">
      <c r="A411" s="23">
        <f t="shared" si="4"/>
        <v>43525</v>
      </c>
      <c r="B411" s="5" t="s">
        <v>180</v>
      </c>
      <c r="C411" s="5">
        <v>-211556</v>
      </c>
      <c r="D411" s="5" t="str">
        <f>_xlfn.XLOOKUP(fOrcado[[#This Row],[Conta]],'Plano de Contas'!A:A,'Plano de Contas'!C:C)</f>
        <v>(-) Despesas Gerais</v>
      </c>
      <c r="E411" s="5" t="str">
        <f>_xlfn.XLOOKUP(fOrcado[[#This Row],[Conta]],'Plano de Contas'!A:A,'Plano de Contas'!D:D)</f>
        <v>09 - Tecnologia da Informação</v>
      </c>
    </row>
    <row r="412" spans="1:5" x14ac:dyDescent="0.25">
      <c r="A412" s="23">
        <f t="shared" si="4"/>
        <v>43525</v>
      </c>
      <c r="B412" s="5" t="s">
        <v>181</v>
      </c>
      <c r="C412" s="5">
        <v>-86381</v>
      </c>
      <c r="D412" s="5" t="str">
        <f>_xlfn.XLOOKUP(fOrcado[[#This Row],[Conta]],'Plano de Contas'!A:A,'Plano de Contas'!C:C)</f>
        <v>(-) Despesas Gerais</v>
      </c>
      <c r="E412" s="5" t="str">
        <f>_xlfn.XLOOKUP(fOrcado[[#This Row],[Conta]],'Plano de Contas'!A:A,'Plano de Contas'!D:D)</f>
        <v>10 - Recursos Humanos</v>
      </c>
    </row>
    <row r="413" spans="1:5" x14ac:dyDescent="0.25">
      <c r="A413" s="23">
        <f t="shared" si="4"/>
        <v>43525</v>
      </c>
      <c r="B413" s="5" t="s">
        <v>182</v>
      </c>
      <c r="C413" s="5">
        <v>-59638</v>
      </c>
      <c r="D413" s="5" t="str">
        <f>_xlfn.XLOOKUP(fOrcado[[#This Row],[Conta]],'Plano de Contas'!A:A,'Plano de Contas'!C:C)</f>
        <v>(-) Despesas Gerais</v>
      </c>
      <c r="E413" s="5" t="str">
        <f>_xlfn.XLOOKUP(fOrcado[[#This Row],[Conta]],'Plano de Contas'!A:A,'Plano de Contas'!D:D)</f>
        <v>10 - Recursos Humanos</v>
      </c>
    </row>
    <row r="414" spans="1:5" x14ac:dyDescent="0.25">
      <c r="A414" s="23">
        <f t="shared" si="4"/>
        <v>43525</v>
      </c>
      <c r="B414" s="5" t="s">
        <v>183</v>
      </c>
      <c r="C414" s="5">
        <v>-81897</v>
      </c>
      <c r="D414" s="5" t="str">
        <f>_xlfn.XLOOKUP(fOrcado[[#This Row],[Conta]],'Plano de Contas'!A:A,'Plano de Contas'!C:C)</f>
        <v>(-) Despesas Gerais</v>
      </c>
      <c r="E414" s="5" t="str">
        <f>_xlfn.XLOOKUP(fOrcado[[#This Row],[Conta]],'Plano de Contas'!A:A,'Plano de Contas'!D:D)</f>
        <v>10 - Recursos Humanos</v>
      </c>
    </row>
    <row r="415" spans="1:5" x14ac:dyDescent="0.25">
      <c r="A415" s="23">
        <f t="shared" si="4"/>
        <v>43525</v>
      </c>
      <c r="B415" s="5" t="s">
        <v>184</v>
      </c>
      <c r="C415" s="5">
        <v>-53238</v>
      </c>
      <c r="D415" s="5" t="str">
        <f>_xlfn.XLOOKUP(fOrcado[[#This Row],[Conta]],'Plano de Contas'!A:A,'Plano de Contas'!C:C)</f>
        <v>(-) Despesas Gerais</v>
      </c>
      <c r="E415" s="5" t="str">
        <f>_xlfn.XLOOKUP(fOrcado[[#This Row],[Conta]],'Plano de Contas'!A:A,'Plano de Contas'!D:D)</f>
        <v>10 - Recursos Humanos</v>
      </c>
    </row>
    <row r="416" spans="1:5" x14ac:dyDescent="0.25">
      <c r="A416" s="23">
        <f t="shared" si="4"/>
        <v>43525</v>
      </c>
      <c r="B416" s="5" t="s">
        <v>185</v>
      </c>
      <c r="C416" s="5">
        <v>-117244</v>
      </c>
      <c r="D416" s="5" t="str">
        <f>_xlfn.XLOOKUP(fOrcado[[#This Row],[Conta]],'Plano de Contas'!A:A,'Plano de Contas'!C:C)</f>
        <v>(-) Despesas Gerais</v>
      </c>
      <c r="E416" s="5" t="str">
        <f>_xlfn.XLOOKUP(fOrcado[[#This Row],[Conta]],'Plano de Contas'!A:A,'Plano de Contas'!D:D)</f>
        <v>11 - Relacionamento com Cliente</v>
      </c>
    </row>
    <row r="417" spans="1:5" x14ac:dyDescent="0.25">
      <c r="A417" s="23">
        <f t="shared" si="4"/>
        <v>43525</v>
      </c>
      <c r="B417" s="5" t="s">
        <v>186</v>
      </c>
      <c r="C417" s="5">
        <v>-114319</v>
      </c>
      <c r="D417" s="5" t="str">
        <f>_xlfn.XLOOKUP(fOrcado[[#This Row],[Conta]],'Plano de Contas'!A:A,'Plano de Contas'!C:C)</f>
        <v>(-) Despesas Gerais</v>
      </c>
      <c r="E417" s="5" t="str">
        <f>_xlfn.XLOOKUP(fOrcado[[#This Row],[Conta]],'Plano de Contas'!A:A,'Plano de Contas'!D:D)</f>
        <v>11 - Relacionamento com Cliente</v>
      </c>
    </row>
    <row r="418" spans="1:5" x14ac:dyDescent="0.25">
      <c r="A418" s="23">
        <f t="shared" si="4"/>
        <v>43525</v>
      </c>
      <c r="B418" s="5" t="s">
        <v>187</v>
      </c>
      <c r="C418" s="5">
        <v>-138127</v>
      </c>
      <c r="D418" s="5" t="str">
        <f>_xlfn.XLOOKUP(fOrcado[[#This Row],[Conta]],'Plano de Contas'!A:A,'Plano de Contas'!C:C)</f>
        <v>(-) Despesas Gerais</v>
      </c>
      <c r="E418" s="5" t="str">
        <f>_xlfn.XLOOKUP(fOrcado[[#This Row],[Conta]],'Plano de Contas'!A:A,'Plano de Contas'!D:D)</f>
        <v>12 - Marketing e Divulgação</v>
      </c>
    </row>
    <row r="419" spans="1:5" x14ac:dyDescent="0.25">
      <c r="A419" s="23">
        <f t="shared" si="4"/>
        <v>43525</v>
      </c>
      <c r="B419" s="5" t="s">
        <v>188</v>
      </c>
      <c r="C419" s="5">
        <v>-195157</v>
      </c>
      <c r="D419" s="5" t="str">
        <f>_xlfn.XLOOKUP(fOrcado[[#This Row],[Conta]],'Plano de Contas'!A:A,'Plano de Contas'!C:C)</f>
        <v>(-) Despesas Gerais</v>
      </c>
      <c r="E419" s="5" t="str">
        <f>_xlfn.XLOOKUP(fOrcado[[#This Row],[Conta]],'Plano de Contas'!A:A,'Plano de Contas'!D:D)</f>
        <v>12 - Marketing e Divulgação</v>
      </c>
    </row>
    <row r="420" spans="1:5" x14ac:dyDescent="0.25">
      <c r="A420" s="23">
        <f t="shared" si="4"/>
        <v>43525</v>
      </c>
      <c r="B420" s="5" t="s">
        <v>189</v>
      </c>
      <c r="C420" s="5">
        <v>-9445</v>
      </c>
      <c r="D420" s="5" t="str">
        <f>_xlfn.XLOOKUP(fOrcado[[#This Row],[Conta]],'Plano de Contas'!A:A,'Plano de Contas'!C:C)</f>
        <v>(-) Impostos</v>
      </c>
      <c r="E420" s="5" t="str">
        <f>_xlfn.XLOOKUP(fOrcado[[#This Row],[Conta]],'Plano de Contas'!A:A,'Plano de Contas'!D:D)</f>
        <v>13 - Impostos Estaduais</v>
      </c>
    </row>
    <row r="421" spans="1:5" x14ac:dyDescent="0.25">
      <c r="A421" s="23">
        <f t="shared" si="4"/>
        <v>43525</v>
      </c>
      <c r="B421" s="5" t="s">
        <v>190</v>
      </c>
      <c r="C421" s="5">
        <v>-21055</v>
      </c>
      <c r="D421" s="5" t="str">
        <f>_xlfn.XLOOKUP(fOrcado[[#This Row],[Conta]],'Plano de Contas'!A:A,'Plano de Contas'!C:C)</f>
        <v>(-) Impostos</v>
      </c>
      <c r="E421" s="5" t="str">
        <f>_xlfn.XLOOKUP(fOrcado[[#This Row],[Conta]],'Plano de Contas'!A:A,'Plano de Contas'!D:D)</f>
        <v>14 - Impostos Federais</v>
      </c>
    </row>
    <row r="422" spans="1:5" x14ac:dyDescent="0.25">
      <c r="A422" s="23">
        <f t="shared" si="4"/>
        <v>43556</v>
      </c>
      <c r="B422" s="5" t="s">
        <v>51</v>
      </c>
      <c r="C422" s="5">
        <v>600612</v>
      </c>
      <c r="D422" s="5" t="str">
        <f>_xlfn.XLOOKUP(fOrcado[[#This Row],[Conta]],'Plano de Contas'!A:A,'Plano de Contas'!C:C)</f>
        <v>(+) RECEITA BRUTA</v>
      </c>
      <c r="E422" s="5" t="str">
        <f>_xlfn.XLOOKUP(fOrcado[[#This Row],[Conta]],'Plano de Contas'!A:A,'Plano de Contas'!D:D)</f>
        <v>01 - Vendas de Produtos</v>
      </c>
    </row>
    <row r="423" spans="1:5" x14ac:dyDescent="0.25">
      <c r="A423" s="23">
        <f t="shared" si="4"/>
        <v>43556</v>
      </c>
      <c r="B423" s="5" t="s">
        <v>52</v>
      </c>
      <c r="C423" s="5">
        <v>928548</v>
      </c>
      <c r="D423" s="5" t="str">
        <f>_xlfn.XLOOKUP(fOrcado[[#This Row],[Conta]],'Plano de Contas'!A:A,'Plano de Contas'!C:C)</f>
        <v>(+) RECEITA BRUTA</v>
      </c>
      <c r="E423" s="5" t="str">
        <f>_xlfn.XLOOKUP(fOrcado[[#This Row],[Conta]],'Plano de Contas'!A:A,'Plano de Contas'!D:D)</f>
        <v>01 - Vendas de Produtos</v>
      </c>
    </row>
    <row r="424" spans="1:5" x14ac:dyDescent="0.25">
      <c r="A424" s="23">
        <f t="shared" si="4"/>
        <v>43556</v>
      </c>
      <c r="B424" s="5" t="s">
        <v>53</v>
      </c>
      <c r="C424" s="5">
        <v>351700</v>
      </c>
      <c r="D424" s="5" t="str">
        <f>_xlfn.XLOOKUP(fOrcado[[#This Row],[Conta]],'Plano de Contas'!A:A,'Plano de Contas'!C:C)</f>
        <v>(+) RECEITA BRUTA</v>
      </c>
      <c r="E424" s="5" t="str">
        <f>_xlfn.XLOOKUP(fOrcado[[#This Row],[Conta]],'Plano de Contas'!A:A,'Plano de Contas'!D:D)</f>
        <v>01 - Vendas de Produtos</v>
      </c>
    </row>
    <row r="425" spans="1:5" x14ac:dyDescent="0.25">
      <c r="A425" s="23">
        <f t="shared" si="4"/>
        <v>43556</v>
      </c>
      <c r="B425" s="5" t="s">
        <v>54</v>
      </c>
      <c r="C425" s="5">
        <v>396746</v>
      </c>
      <c r="D425" s="5" t="str">
        <f>_xlfn.XLOOKUP(fOrcado[[#This Row],[Conta]],'Plano de Contas'!A:A,'Plano de Contas'!C:C)</f>
        <v>(+) RECEITA BRUTA</v>
      </c>
      <c r="E425" s="5" t="str">
        <f>_xlfn.XLOOKUP(fOrcado[[#This Row],[Conta]],'Plano de Contas'!A:A,'Plano de Contas'!D:D)</f>
        <v>01 - Vendas de Produtos</v>
      </c>
    </row>
    <row r="426" spans="1:5" x14ac:dyDescent="0.25">
      <c r="A426" s="23">
        <f t="shared" si="4"/>
        <v>43556</v>
      </c>
      <c r="B426" s="5" t="s">
        <v>55</v>
      </c>
      <c r="C426" s="5">
        <v>647206</v>
      </c>
      <c r="D426" s="5" t="str">
        <f>_xlfn.XLOOKUP(fOrcado[[#This Row],[Conta]],'Plano de Contas'!A:A,'Plano de Contas'!C:C)</f>
        <v>(+) RECEITA BRUTA</v>
      </c>
      <c r="E426" s="5" t="str">
        <f>_xlfn.XLOOKUP(fOrcado[[#This Row],[Conta]],'Plano de Contas'!A:A,'Plano de Contas'!D:D)</f>
        <v>01 - Vendas de Produtos</v>
      </c>
    </row>
    <row r="427" spans="1:5" x14ac:dyDescent="0.25">
      <c r="A427" s="23">
        <f t="shared" si="4"/>
        <v>43556</v>
      </c>
      <c r="B427" s="5" t="s">
        <v>56</v>
      </c>
      <c r="C427" s="5">
        <v>770233</v>
      </c>
      <c r="D427" s="5" t="str">
        <f>_xlfn.XLOOKUP(fOrcado[[#This Row],[Conta]],'Plano de Contas'!A:A,'Plano de Contas'!C:C)</f>
        <v>(+) RECEITA BRUTA</v>
      </c>
      <c r="E427" s="5" t="str">
        <f>_xlfn.XLOOKUP(fOrcado[[#This Row],[Conta]],'Plano de Contas'!A:A,'Plano de Contas'!D:D)</f>
        <v>01 - Vendas de Produtos</v>
      </c>
    </row>
    <row r="428" spans="1:5" x14ac:dyDescent="0.25">
      <c r="A428" s="23">
        <f t="shared" si="4"/>
        <v>43556</v>
      </c>
      <c r="B428" s="5" t="s">
        <v>57</v>
      </c>
      <c r="C428" s="5">
        <v>459648</v>
      </c>
      <c r="D428" s="5" t="str">
        <f>_xlfn.XLOOKUP(fOrcado[[#This Row],[Conta]],'Plano de Contas'!A:A,'Plano de Contas'!C:C)</f>
        <v>(+) RECEITA BRUTA</v>
      </c>
      <c r="E428" s="5" t="str">
        <f>_xlfn.XLOOKUP(fOrcado[[#This Row],[Conta]],'Plano de Contas'!A:A,'Plano de Contas'!D:D)</f>
        <v>01 - Vendas de Produtos</v>
      </c>
    </row>
    <row r="429" spans="1:5" x14ac:dyDescent="0.25">
      <c r="A429" s="23">
        <f t="shared" si="4"/>
        <v>43556</v>
      </c>
      <c r="B429" s="5" t="s">
        <v>58</v>
      </c>
      <c r="C429" s="5">
        <v>446744</v>
      </c>
      <c r="D429" s="5" t="str">
        <f>_xlfn.XLOOKUP(fOrcado[[#This Row],[Conta]],'Plano de Contas'!A:A,'Plano de Contas'!C:C)</f>
        <v>(+) RECEITA BRUTA</v>
      </c>
      <c r="E429" s="5" t="str">
        <f>_xlfn.XLOOKUP(fOrcado[[#This Row],[Conta]],'Plano de Contas'!A:A,'Plano de Contas'!D:D)</f>
        <v>01 - Vendas de Produtos</v>
      </c>
    </row>
    <row r="430" spans="1:5" x14ac:dyDescent="0.25">
      <c r="A430" s="23">
        <f t="shared" si="4"/>
        <v>43556</v>
      </c>
      <c r="B430" s="5" t="s">
        <v>59</v>
      </c>
      <c r="C430" s="5">
        <v>495457</v>
      </c>
      <c r="D430" s="5" t="str">
        <f>_xlfn.XLOOKUP(fOrcado[[#This Row],[Conta]],'Plano de Contas'!A:A,'Plano de Contas'!C:C)</f>
        <v>(+) RECEITA BRUTA</v>
      </c>
      <c r="E430" s="5" t="str">
        <f>_xlfn.XLOOKUP(fOrcado[[#This Row],[Conta]],'Plano de Contas'!A:A,'Plano de Contas'!D:D)</f>
        <v>01 - Vendas de Produtos</v>
      </c>
    </row>
    <row r="431" spans="1:5" x14ac:dyDescent="0.25">
      <c r="A431" s="23">
        <f t="shared" si="4"/>
        <v>43556</v>
      </c>
      <c r="B431" s="5" t="s">
        <v>60</v>
      </c>
      <c r="C431" s="5">
        <v>644421</v>
      </c>
      <c r="D431" s="5" t="str">
        <f>_xlfn.XLOOKUP(fOrcado[[#This Row],[Conta]],'Plano de Contas'!A:A,'Plano de Contas'!C:C)</f>
        <v>(+) RECEITA BRUTA</v>
      </c>
      <c r="E431" s="5" t="str">
        <f>_xlfn.XLOOKUP(fOrcado[[#This Row],[Conta]],'Plano de Contas'!A:A,'Plano de Contas'!D:D)</f>
        <v>01 - Vendas de Produtos</v>
      </c>
    </row>
    <row r="432" spans="1:5" x14ac:dyDescent="0.25">
      <c r="A432" s="23">
        <f t="shared" si="4"/>
        <v>43556</v>
      </c>
      <c r="B432" s="5" t="s">
        <v>61</v>
      </c>
      <c r="C432" s="5">
        <v>494511</v>
      </c>
      <c r="D432" s="5" t="str">
        <f>_xlfn.XLOOKUP(fOrcado[[#This Row],[Conta]],'Plano de Contas'!A:A,'Plano de Contas'!C:C)</f>
        <v>(+) RECEITA BRUTA</v>
      </c>
      <c r="E432" s="5" t="str">
        <f>_xlfn.XLOOKUP(fOrcado[[#This Row],[Conta]],'Plano de Contas'!A:A,'Plano de Contas'!D:D)</f>
        <v>01 - Vendas de Produtos</v>
      </c>
    </row>
    <row r="433" spans="1:5" x14ac:dyDescent="0.25">
      <c r="A433" s="23">
        <f t="shared" si="4"/>
        <v>43556</v>
      </c>
      <c r="B433" s="5" t="s">
        <v>62</v>
      </c>
      <c r="C433" s="5">
        <v>784751</v>
      </c>
      <c r="D433" s="5" t="str">
        <f>_xlfn.XLOOKUP(fOrcado[[#This Row],[Conta]],'Plano de Contas'!A:A,'Plano de Contas'!C:C)</f>
        <v>(+) RECEITA BRUTA</v>
      </c>
      <c r="E433" s="5" t="str">
        <f>_xlfn.XLOOKUP(fOrcado[[#This Row],[Conta]],'Plano de Contas'!A:A,'Plano de Contas'!D:D)</f>
        <v>01 - Vendas de Produtos</v>
      </c>
    </row>
    <row r="434" spans="1:5" x14ac:dyDescent="0.25">
      <c r="A434" s="23">
        <f t="shared" si="4"/>
        <v>43556</v>
      </c>
      <c r="B434" s="5" t="s">
        <v>63</v>
      </c>
      <c r="C434" s="5">
        <v>600201</v>
      </c>
      <c r="D434" s="5" t="str">
        <f>_xlfn.XLOOKUP(fOrcado[[#This Row],[Conta]],'Plano de Contas'!A:A,'Plano de Contas'!C:C)</f>
        <v>(+) RECEITA BRUTA</v>
      </c>
      <c r="E434" s="5" t="str">
        <f>_xlfn.XLOOKUP(fOrcado[[#This Row],[Conta]],'Plano de Contas'!A:A,'Plano de Contas'!D:D)</f>
        <v>01 - Vendas de Produtos</v>
      </c>
    </row>
    <row r="435" spans="1:5" x14ac:dyDescent="0.25">
      <c r="A435" s="23">
        <f t="shared" si="4"/>
        <v>43556</v>
      </c>
      <c r="B435" s="5" t="s">
        <v>64</v>
      </c>
      <c r="C435" s="5">
        <v>350326</v>
      </c>
      <c r="D435" s="5" t="str">
        <f>_xlfn.XLOOKUP(fOrcado[[#This Row],[Conta]],'Plano de Contas'!A:A,'Plano de Contas'!C:C)</f>
        <v>(+) RECEITA BRUTA</v>
      </c>
      <c r="E435" s="5" t="str">
        <f>_xlfn.XLOOKUP(fOrcado[[#This Row],[Conta]],'Plano de Contas'!A:A,'Plano de Contas'!D:D)</f>
        <v>01 - Vendas de Produtos</v>
      </c>
    </row>
    <row r="436" spans="1:5" x14ac:dyDescent="0.25">
      <c r="A436" s="23">
        <f t="shared" si="4"/>
        <v>43556</v>
      </c>
      <c r="B436" s="5" t="s">
        <v>65</v>
      </c>
      <c r="C436" s="5">
        <v>867594</v>
      </c>
      <c r="D436" s="5" t="str">
        <f>_xlfn.XLOOKUP(fOrcado[[#This Row],[Conta]],'Plano de Contas'!A:A,'Plano de Contas'!C:C)</f>
        <v>(+) RECEITA BRUTA</v>
      </c>
      <c r="E436" s="5" t="str">
        <f>_xlfn.XLOOKUP(fOrcado[[#This Row],[Conta]],'Plano de Contas'!A:A,'Plano de Contas'!D:D)</f>
        <v>01 - Vendas de Produtos</v>
      </c>
    </row>
    <row r="437" spans="1:5" x14ac:dyDescent="0.25">
      <c r="A437" s="23">
        <f t="shared" si="4"/>
        <v>43556</v>
      </c>
      <c r="B437" s="5" t="s">
        <v>66</v>
      </c>
      <c r="C437" s="5">
        <v>215806</v>
      </c>
      <c r="D437" s="5" t="str">
        <f>_xlfn.XLOOKUP(fOrcado[[#This Row],[Conta]],'Plano de Contas'!A:A,'Plano de Contas'!C:C)</f>
        <v>(+) RECEITA BRUTA</v>
      </c>
      <c r="E437" s="5" t="str">
        <f>_xlfn.XLOOKUP(fOrcado[[#This Row],[Conta]],'Plano de Contas'!A:A,'Plano de Contas'!D:D)</f>
        <v>01 - Vendas de Produtos</v>
      </c>
    </row>
    <row r="438" spans="1:5" x14ac:dyDescent="0.25">
      <c r="A438" s="23">
        <f t="shared" si="4"/>
        <v>43556</v>
      </c>
      <c r="B438" s="5" t="s">
        <v>67</v>
      </c>
      <c r="C438" s="5">
        <v>208897</v>
      </c>
      <c r="D438" s="5" t="str">
        <f>_xlfn.XLOOKUP(fOrcado[[#This Row],[Conta]],'Plano de Contas'!A:A,'Plano de Contas'!C:C)</f>
        <v>(+) RECEITA BRUTA</v>
      </c>
      <c r="E438" s="5" t="str">
        <f>_xlfn.XLOOKUP(fOrcado[[#This Row],[Conta]],'Plano de Contas'!A:A,'Plano de Contas'!D:D)</f>
        <v>01 - Vendas de Produtos</v>
      </c>
    </row>
    <row r="439" spans="1:5" x14ac:dyDescent="0.25">
      <c r="A439" s="23">
        <f t="shared" si="4"/>
        <v>43556</v>
      </c>
      <c r="B439" s="5" t="s">
        <v>68</v>
      </c>
      <c r="C439" s="5">
        <v>711653</v>
      </c>
      <c r="D439" s="5" t="str">
        <f>_xlfn.XLOOKUP(fOrcado[[#This Row],[Conta]],'Plano de Contas'!A:A,'Plano de Contas'!C:C)</f>
        <v>(+) RECEITA BRUTA</v>
      </c>
      <c r="E439" s="5" t="str">
        <f>_xlfn.XLOOKUP(fOrcado[[#This Row],[Conta]],'Plano de Contas'!A:A,'Plano de Contas'!D:D)</f>
        <v>01 - Vendas de Produtos</v>
      </c>
    </row>
    <row r="440" spans="1:5" x14ac:dyDescent="0.25">
      <c r="A440" s="23">
        <f t="shared" si="4"/>
        <v>43556</v>
      </c>
      <c r="B440" s="5" t="s">
        <v>69</v>
      </c>
      <c r="C440" s="5">
        <v>348899</v>
      </c>
      <c r="D440" s="5" t="str">
        <f>_xlfn.XLOOKUP(fOrcado[[#This Row],[Conta]],'Plano de Contas'!A:A,'Plano de Contas'!C:C)</f>
        <v>(+) RECEITA BRUTA</v>
      </c>
      <c r="E440" s="5" t="str">
        <f>_xlfn.XLOOKUP(fOrcado[[#This Row],[Conta]],'Plano de Contas'!A:A,'Plano de Contas'!D:D)</f>
        <v>01 - Vendas de Produtos</v>
      </c>
    </row>
    <row r="441" spans="1:5" x14ac:dyDescent="0.25">
      <c r="A441" s="23">
        <f t="shared" si="4"/>
        <v>43556</v>
      </c>
      <c r="B441" s="5" t="s">
        <v>70</v>
      </c>
      <c r="C441" s="5">
        <v>395040</v>
      </c>
      <c r="D441" s="5" t="str">
        <f>_xlfn.XLOOKUP(fOrcado[[#This Row],[Conta]],'Plano de Contas'!A:A,'Plano de Contas'!C:C)</f>
        <v>(+) RECEITA BRUTA</v>
      </c>
      <c r="E441" s="5" t="str">
        <f>_xlfn.XLOOKUP(fOrcado[[#This Row],[Conta]],'Plano de Contas'!A:A,'Plano de Contas'!D:D)</f>
        <v>01 - Vendas de Produtos</v>
      </c>
    </row>
    <row r="442" spans="1:5" x14ac:dyDescent="0.25">
      <c r="A442" s="23">
        <f t="shared" si="4"/>
        <v>43556</v>
      </c>
      <c r="B442" s="5" t="s">
        <v>71</v>
      </c>
      <c r="C442" s="5">
        <v>229864</v>
      </c>
      <c r="D442" s="5" t="str">
        <f>_xlfn.XLOOKUP(fOrcado[[#This Row],[Conta]],'Plano de Contas'!A:A,'Plano de Contas'!C:C)</f>
        <v>(+) RECEITA BRUTA</v>
      </c>
      <c r="E442" s="5" t="str">
        <f>_xlfn.XLOOKUP(fOrcado[[#This Row],[Conta]],'Plano de Contas'!A:A,'Plano de Contas'!D:D)</f>
        <v>01 - Vendas de Produtos</v>
      </c>
    </row>
    <row r="443" spans="1:5" x14ac:dyDescent="0.25">
      <c r="A443" s="23">
        <f t="shared" si="4"/>
        <v>43556</v>
      </c>
      <c r="B443" s="5" t="s">
        <v>72</v>
      </c>
      <c r="C443" s="5">
        <v>707885</v>
      </c>
      <c r="D443" s="5" t="str">
        <f>_xlfn.XLOOKUP(fOrcado[[#This Row],[Conta]],'Plano de Contas'!A:A,'Plano de Contas'!C:C)</f>
        <v>(+) RECEITA BRUTA</v>
      </c>
      <c r="E443" s="5" t="str">
        <f>_xlfn.XLOOKUP(fOrcado[[#This Row],[Conta]],'Plano de Contas'!A:A,'Plano de Contas'!D:D)</f>
        <v>01 - Vendas de Produtos</v>
      </c>
    </row>
    <row r="444" spans="1:5" x14ac:dyDescent="0.25">
      <c r="A444" s="23">
        <f t="shared" si="4"/>
        <v>43556</v>
      </c>
      <c r="B444" s="5" t="s">
        <v>73</v>
      </c>
      <c r="C444" s="5">
        <v>147154</v>
      </c>
      <c r="D444" s="5" t="str">
        <f>_xlfn.XLOOKUP(fOrcado[[#This Row],[Conta]],'Plano de Contas'!A:A,'Plano de Contas'!C:C)</f>
        <v>(+) RECEITA BRUTA</v>
      </c>
      <c r="E444" s="5" t="str">
        <f>_xlfn.XLOOKUP(fOrcado[[#This Row],[Conta]],'Plano de Contas'!A:A,'Plano de Contas'!D:D)</f>
        <v>01 - Vendas de Produtos</v>
      </c>
    </row>
    <row r="445" spans="1:5" x14ac:dyDescent="0.25">
      <c r="A445" s="23">
        <f t="shared" si="4"/>
        <v>43556</v>
      </c>
      <c r="B445" s="5" t="s">
        <v>74</v>
      </c>
      <c r="C445" s="5">
        <v>183829</v>
      </c>
      <c r="D445" s="5" t="str">
        <f>_xlfn.XLOOKUP(fOrcado[[#This Row],[Conta]],'Plano de Contas'!A:A,'Plano de Contas'!C:C)</f>
        <v>(+) RECEITA BRUTA</v>
      </c>
      <c r="E445" s="5" t="str">
        <f>_xlfn.XLOOKUP(fOrcado[[#This Row],[Conta]],'Plano de Contas'!A:A,'Plano de Contas'!D:D)</f>
        <v>01 - Vendas de Produtos</v>
      </c>
    </row>
    <row r="446" spans="1:5" x14ac:dyDescent="0.25">
      <c r="A446" s="23">
        <f t="shared" si="4"/>
        <v>43556</v>
      </c>
      <c r="B446" s="5" t="s">
        <v>75</v>
      </c>
      <c r="C446" s="5">
        <v>171475</v>
      </c>
      <c r="D446" s="5" t="str">
        <f>_xlfn.XLOOKUP(fOrcado[[#This Row],[Conta]],'Plano de Contas'!A:A,'Plano de Contas'!C:C)</f>
        <v>(+) RECEITA BRUTA</v>
      </c>
      <c r="E446" s="5" t="str">
        <f>_xlfn.XLOOKUP(fOrcado[[#This Row],[Conta]],'Plano de Contas'!A:A,'Plano de Contas'!D:D)</f>
        <v>02 - Outras Receitas</v>
      </c>
    </row>
    <row r="447" spans="1:5" x14ac:dyDescent="0.25">
      <c r="A447" s="23">
        <f t="shared" si="4"/>
        <v>43556</v>
      </c>
      <c r="B447" s="5" t="s">
        <v>76</v>
      </c>
      <c r="C447" s="5">
        <v>218861</v>
      </c>
      <c r="D447" s="5" t="str">
        <f>_xlfn.XLOOKUP(fOrcado[[#This Row],[Conta]],'Plano de Contas'!A:A,'Plano de Contas'!C:C)</f>
        <v>(+) RECEITA BRUTA</v>
      </c>
      <c r="E447" s="5" t="str">
        <f>_xlfn.XLOOKUP(fOrcado[[#This Row],[Conta]],'Plano de Contas'!A:A,'Plano de Contas'!D:D)</f>
        <v>02 - Outras Receitas</v>
      </c>
    </row>
    <row r="448" spans="1:5" x14ac:dyDescent="0.25">
      <c r="A448" s="23">
        <f t="shared" si="4"/>
        <v>43556</v>
      </c>
      <c r="B448" s="5" t="s">
        <v>77</v>
      </c>
      <c r="C448" s="5">
        <v>235972</v>
      </c>
      <c r="D448" s="5" t="str">
        <f>_xlfn.XLOOKUP(fOrcado[[#This Row],[Conta]],'Plano de Contas'!A:A,'Plano de Contas'!C:C)</f>
        <v>(+) RECEITA BRUTA</v>
      </c>
      <c r="E448" s="5" t="str">
        <f>_xlfn.XLOOKUP(fOrcado[[#This Row],[Conta]],'Plano de Contas'!A:A,'Plano de Contas'!D:D)</f>
        <v>02 - Outras Receitas</v>
      </c>
    </row>
    <row r="449" spans="1:5" x14ac:dyDescent="0.25">
      <c r="A449" s="23">
        <f t="shared" si="4"/>
        <v>43556</v>
      </c>
      <c r="B449" s="5" t="s">
        <v>78</v>
      </c>
      <c r="C449" s="5">
        <v>196738</v>
      </c>
      <c r="D449" s="5" t="str">
        <f>_xlfn.XLOOKUP(fOrcado[[#This Row],[Conta]],'Plano de Contas'!A:A,'Plano de Contas'!C:C)</f>
        <v>(+) RECEITA BRUTA</v>
      </c>
      <c r="E449" s="5" t="str">
        <f>_xlfn.XLOOKUP(fOrcado[[#This Row],[Conta]],'Plano de Contas'!A:A,'Plano de Contas'!D:D)</f>
        <v>02 - Outras Receitas</v>
      </c>
    </row>
    <row r="450" spans="1:5" x14ac:dyDescent="0.25">
      <c r="A450" s="23">
        <f t="shared" si="4"/>
        <v>43556</v>
      </c>
      <c r="B450" s="5" t="s">
        <v>79</v>
      </c>
      <c r="C450" s="5">
        <v>292454</v>
      </c>
      <c r="D450" s="5" t="str">
        <f>_xlfn.XLOOKUP(fOrcado[[#This Row],[Conta]],'Plano de Contas'!A:A,'Plano de Contas'!C:C)</f>
        <v>(+) RECEITA BRUTA</v>
      </c>
      <c r="E450" s="5" t="str">
        <f>_xlfn.XLOOKUP(fOrcado[[#This Row],[Conta]],'Plano de Contas'!A:A,'Plano de Contas'!D:D)</f>
        <v>02 - Outras Receitas</v>
      </c>
    </row>
    <row r="451" spans="1:5" x14ac:dyDescent="0.25">
      <c r="A451" s="23">
        <f t="shared" si="4"/>
        <v>43556</v>
      </c>
      <c r="B451" s="5" t="s">
        <v>80</v>
      </c>
      <c r="C451" s="5">
        <v>164945</v>
      </c>
      <c r="D451" s="5" t="str">
        <f>_xlfn.XLOOKUP(fOrcado[[#This Row],[Conta]],'Plano de Contas'!A:A,'Plano de Contas'!C:C)</f>
        <v>(+) RECEITA BRUTA</v>
      </c>
      <c r="E451" s="5" t="str">
        <f>_xlfn.XLOOKUP(fOrcado[[#This Row],[Conta]],'Plano de Contas'!A:A,'Plano de Contas'!D:D)</f>
        <v>02 - Outras Receitas</v>
      </c>
    </row>
    <row r="452" spans="1:5" x14ac:dyDescent="0.25">
      <c r="A452" s="23">
        <f t="shared" si="4"/>
        <v>43556</v>
      </c>
      <c r="B452" s="5" t="s">
        <v>81</v>
      </c>
      <c r="C452" s="5">
        <v>71962</v>
      </c>
      <c r="D452" s="5" t="str">
        <f>_xlfn.XLOOKUP(fOrcado[[#This Row],[Conta]],'Plano de Contas'!A:A,'Plano de Contas'!C:C)</f>
        <v>(+) RECEITA BRUTA</v>
      </c>
      <c r="E452" s="5" t="str">
        <f>_xlfn.XLOOKUP(fOrcado[[#This Row],[Conta]],'Plano de Contas'!A:A,'Plano de Contas'!D:D)</f>
        <v>02 - Outras Receitas</v>
      </c>
    </row>
    <row r="453" spans="1:5" x14ac:dyDescent="0.25">
      <c r="A453" s="23">
        <f t="shared" si="4"/>
        <v>43556</v>
      </c>
      <c r="B453" s="5" t="s">
        <v>82</v>
      </c>
      <c r="C453" s="5">
        <v>158656</v>
      </c>
      <c r="D453" s="5" t="str">
        <f>_xlfn.XLOOKUP(fOrcado[[#This Row],[Conta]],'Plano de Contas'!A:A,'Plano de Contas'!C:C)</f>
        <v>(+) RECEITA BRUTA</v>
      </c>
      <c r="E453" s="5" t="str">
        <f>_xlfn.XLOOKUP(fOrcado[[#This Row],[Conta]],'Plano de Contas'!A:A,'Plano de Contas'!D:D)</f>
        <v>02 - Outras Receitas</v>
      </c>
    </row>
    <row r="454" spans="1:5" x14ac:dyDescent="0.25">
      <c r="A454" s="23">
        <f t="shared" si="4"/>
        <v>43556</v>
      </c>
      <c r="B454" s="5" t="s">
        <v>83</v>
      </c>
      <c r="C454" s="5">
        <v>159619</v>
      </c>
      <c r="D454" s="5" t="str">
        <f>_xlfn.XLOOKUP(fOrcado[[#This Row],[Conta]],'Plano de Contas'!A:A,'Plano de Contas'!C:C)</f>
        <v>(+) RECEITA BRUTA</v>
      </c>
      <c r="E454" s="5" t="str">
        <f>_xlfn.XLOOKUP(fOrcado[[#This Row],[Conta]],'Plano de Contas'!A:A,'Plano de Contas'!D:D)</f>
        <v>02 - Outras Receitas</v>
      </c>
    </row>
    <row r="455" spans="1:5" x14ac:dyDescent="0.25">
      <c r="A455" s="23">
        <f t="shared" si="4"/>
        <v>43556</v>
      </c>
      <c r="B455" s="5" t="s">
        <v>84</v>
      </c>
      <c r="C455" s="5">
        <v>176814</v>
      </c>
      <c r="D455" s="5" t="str">
        <f>_xlfn.XLOOKUP(fOrcado[[#This Row],[Conta]],'Plano de Contas'!A:A,'Plano de Contas'!C:C)</f>
        <v>(+) RECEITA BRUTA</v>
      </c>
      <c r="E455" s="5" t="str">
        <f>_xlfn.XLOOKUP(fOrcado[[#This Row],[Conta]],'Plano de Contas'!A:A,'Plano de Contas'!D:D)</f>
        <v>02 - Outras Receitas</v>
      </c>
    </row>
    <row r="456" spans="1:5" x14ac:dyDescent="0.25">
      <c r="A456" s="23">
        <f t="shared" si="4"/>
        <v>43556</v>
      </c>
      <c r="B456" s="5" t="s">
        <v>85</v>
      </c>
      <c r="C456" s="5">
        <v>271732</v>
      </c>
      <c r="D456" s="5" t="str">
        <f>_xlfn.XLOOKUP(fOrcado[[#This Row],[Conta]],'Plano de Contas'!A:A,'Plano de Contas'!C:C)</f>
        <v>(+) RECEITA BRUTA</v>
      </c>
      <c r="E456" s="5" t="str">
        <f>_xlfn.XLOOKUP(fOrcado[[#This Row],[Conta]],'Plano de Contas'!A:A,'Plano de Contas'!D:D)</f>
        <v>02 - Outras Receitas</v>
      </c>
    </row>
    <row r="457" spans="1:5" x14ac:dyDescent="0.25">
      <c r="A457" s="23">
        <f t="shared" si="4"/>
        <v>43556</v>
      </c>
      <c r="B457" s="5" t="s">
        <v>86</v>
      </c>
      <c r="C457" s="5">
        <v>121169</v>
      </c>
      <c r="D457" s="5" t="str">
        <f>_xlfn.XLOOKUP(fOrcado[[#This Row],[Conta]],'Plano de Contas'!A:A,'Plano de Contas'!C:C)</f>
        <v>(+) RECEITA BRUTA</v>
      </c>
      <c r="E457" s="5" t="str">
        <f>_xlfn.XLOOKUP(fOrcado[[#This Row],[Conta]],'Plano de Contas'!A:A,'Plano de Contas'!D:D)</f>
        <v>02 - Outras Receitas</v>
      </c>
    </row>
    <row r="458" spans="1:5" x14ac:dyDescent="0.25">
      <c r="A458" s="23">
        <f t="shared" si="4"/>
        <v>43556</v>
      </c>
      <c r="B458" s="5" t="s">
        <v>87</v>
      </c>
      <c r="C458" s="5">
        <v>191908</v>
      </c>
      <c r="D458" s="5" t="str">
        <f>_xlfn.XLOOKUP(fOrcado[[#This Row],[Conta]],'Plano de Contas'!A:A,'Plano de Contas'!C:C)</f>
        <v>(+) RECEITA BRUTA</v>
      </c>
      <c r="E458" s="5" t="str">
        <f>_xlfn.XLOOKUP(fOrcado[[#This Row],[Conta]],'Plano de Contas'!A:A,'Plano de Contas'!D:D)</f>
        <v>02 - Outras Receitas</v>
      </c>
    </row>
    <row r="459" spans="1:5" x14ac:dyDescent="0.25">
      <c r="A459" s="23">
        <f t="shared" si="4"/>
        <v>43556</v>
      </c>
      <c r="B459" s="5" t="s">
        <v>88</v>
      </c>
      <c r="C459" s="5">
        <v>133952</v>
      </c>
      <c r="D459" s="5" t="str">
        <f>_xlfn.XLOOKUP(fOrcado[[#This Row],[Conta]],'Plano de Contas'!A:A,'Plano de Contas'!C:C)</f>
        <v>(+) RECEITA BRUTA</v>
      </c>
      <c r="E459" s="5" t="str">
        <f>_xlfn.XLOOKUP(fOrcado[[#This Row],[Conta]],'Plano de Contas'!A:A,'Plano de Contas'!D:D)</f>
        <v>02 - Outras Receitas</v>
      </c>
    </row>
    <row r="460" spans="1:5" x14ac:dyDescent="0.25">
      <c r="A460" s="23">
        <f t="shared" si="4"/>
        <v>43556</v>
      </c>
      <c r="B460" s="5" t="s">
        <v>89</v>
      </c>
      <c r="C460" s="5">
        <v>161351</v>
      </c>
      <c r="D460" s="5" t="str">
        <f>_xlfn.XLOOKUP(fOrcado[[#This Row],[Conta]],'Plano de Contas'!A:A,'Plano de Contas'!C:C)</f>
        <v>(+) RECEITA BRUTA</v>
      </c>
      <c r="E460" s="5" t="str">
        <f>_xlfn.XLOOKUP(fOrcado[[#This Row],[Conta]],'Plano de Contas'!A:A,'Plano de Contas'!D:D)</f>
        <v>02 - Outras Receitas</v>
      </c>
    </row>
    <row r="461" spans="1:5" x14ac:dyDescent="0.25">
      <c r="A461" s="23">
        <f t="shared" si="4"/>
        <v>43556</v>
      </c>
      <c r="B461" s="5" t="s">
        <v>90</v>
      </c>
      <c r="C461" s="5">
        <v>274492</v>
      </c>
      <c r="D461" s="5" t="str">
        <f>_xlfn.XLOOKUP(fOrcado[[#This Row],[Conta]],'Plano de Contas'!A:A,'Plano de Contas'!C:C)</f>
        <v>(+) RECEITA BRUTA</v>
      </c>
      <c r="E461" s="5" t="str">
        <f>_xlfn.XLOOKUP(fOrcado[[#This Row],[Conta]],'Plano de Contas'!A:A,'Plano de Contas'!D:D)</f>
        <v>02 - Outras Receitas</v>
      </c>
    </row>
    <row r="462" spans="1:5" x14ac:dyDescent="0.25">
      <c r="A462" s="23">
        <f t="shared" si="4"/>
        <v>43556</v>
      </c>
      <c r="B462" s="5" t="s">
        <v>91</v>
      </c>
      <c r="C462" s="5">
        <v>229144</v>
      </c>
      <c r="D462" s="5" t="str">
        <f>_xlfn.XLOOKUP(fOrcado[[#This Row],[Conta]],'Plano de Contas'!A:A,'Plano de Contas'!C:C)</f>
        <v>(+) RECEITA BRUTA</v>
      </c>
      <c r="E462" s="5" t="str">
        <f>_xlfn.XLOOKUP(fOrcado[[#This Row],[Conta]],'Plano de Contas'!A:A,'Plano de Contas'!D:D)</f>
        <v>02 - Outras Receitas</v>
      </c>
    </row>
    <row r="463" spans="1:5" x14ac:dyDescent="0.25">
      <c r="A463" s="23">
        <f t="shared" ref="A463:A526" si="5">EDATE(A323,1)</f>
        <v>43556</v>
      </c>
      <c r="B463" s="5" t="s">
        <v>92</v>
      </c>
      <c r="C463" s="5">
        <v>179365</v>
      </c>
      <c r="D463" s="5" t="str">
        <f>_xlfn.XLOOKUP(fOrcado[[#This Row],[Conta]],'Plano de Contas'!A:A,'Plano de Contas'!C:C)</f>
        <v>(+) RECEITA BRUTA</v>
      </c>
      <c r="E463" s="5" t="str">
        <f>_xlfn.XLOOKUP(fOrcado[[#This Row],[Conta]],'Plano de Contas'!A:A,'Plano de Contas'!D:D)</f>
        <v>02 - Outras Receitas</v>
      </c>
    </row>
    <row r="464" spans="1:5" x14ac:dyDescent="0.25">
      <c r="A464" s="23">
        <f t="shared" si="5"/>
        <v>43556</v>
      </c>
      <c r="B464" s="5" t="s">
        <v>93</v>
      </c>
      <c r="C464" s="5">
        <v>212360</v>
      </c>
      <c r="D464" s="5" t="str">
        <f>_xlfn.XLOOKUP(fOrcado[[#This Row],[Conta]],'Plano de Contas'!A:A,'Plano de Contas'!C:C)</f>
        <v>(+) RECEITA BRUTA</v>
      </c>
      <c r="E464" s="5" t="str">
        <f>_xlfn.XLOOKUP(fOrcado[[#This Row],[Conta]],'Plano de Contas'!A:A,'Plano de Contas'!D:D)</f>
        <v>02 - Outras Receitas</v>
      </c>
    </row>
    <row r="465" spans="1:5" x14ac:dyDescent="0.25">
      <c r="A465" s="23">
        <f t="shared" si="5"/>
        <v>43556</v>
      </c>
      <c r="B465" s="5" t="s">
        <v>94</v>
      </c>
      <c r="C465" s="5">
        <v>203933</v>
      </c>
      <c r="D465" s="5" t="str">
        <f>_xlfn.XLOOKUP(fOrcado[[#This Row],[Conta]],'Plano de Contas'!A:A,'Plano de Contas'!C:C)</f>
        <v>(+) RECEITA BRUTA</v>
      </c>
      <c r="E465" s="5" t="str">
        <f>_xlfn.XLOOKUP(fOrcado[[#This Row],[Conta]],'Plano de Contas'!A:A,'Plano de Contas'!D:D)</f>
        <v>02 - Outras Receitas</v>
      </c>
    </row>
    <row r="466" spans="1:5" x14ac:dyDescent="0.25">
      <c r="A466" s="23">
        <f t="shared" si="5"/>
        <v>43556</v>
      </c>
      <c r="B466" s="5" t="s">
        <v>95</v>
      </c>
      <c r="C466" s="5">
        <v>165576</v>
      </c>
      <c r="D466" s="5" t="str">
        <f>_xlfn.XLOOKUP(fOrcado[[#This Row],[Conta]],'Plano de Contas'!A:A,'Plano de Contas'!C:C)</f>
        <v>(+) RECEITA BRUTA</v>
      </c>
      <c r="E466" s="5" t="str">
        <f>_xlfn.XLOOKUP(fOrcado[[#This Row],[Conta]],'Plano de Contas'!A:A,'Plano de Contas'!D:D)</f>
        <v>02 - Outras Receitas</v>
      </c>
    </row>
    <row r="467" spans="1:5" x14ac:dyDescent="0.25">
      <c r="A467" s="23">
        <f t="shared" si="5"/>
        <v>43556</v>
      </c>
      <c r="B467" s="5" t="s">
        <v>96</v>
      </c>
      <c r="C467" s="5">
        <v>145523</v>
      </c>
      <c r="D467" s="5" t="str">
        <f>_xlfn.XLOOKUP(fOrcado[[#This Row],[Conta]],'Plano de Contas'!A:A,'Plano de Contas'!C:C)</f>
        <v>(+) RECEITA BRUTA</v>
      </c>
      <c r="E467" s="5" t="str">
        <f>_xlfn.XLOOKUP(fOrcado[[#This Row],[Conta]],'Plano de Contas'!A:A,'Plano de Contas'!D:D)</f>
        <v>02 - Outras Receitas</v>
      </c>
    </row>
    <row r="468" spans="1:5" x14ac:dyDescent="0.25">
      <c r="A468" s="23">
        <f t="shared" si="5"/>
        <v>43556</v>
      </c>
      <c r="B468" s="5" t="s">
        <v>97</v>
      </c>
      <c r="C468" s="5">
        <v>256971</v>
      </c>
      <c r="D468" s="5" t="str">
        <f>_xlfn.XLOOKUP(fOrcado[[#This Row],[Conta]],'Plano de Contas'!A:A,'Plano de Contas'!C:C)</f>
        <v>(+) RECEITA BRUTA</v>
      </c>
      <c r="E468" s="5" t="str">
        <f>_xlfn.XLOOKUP(fOrcado[[#This Row],[Conta]],'Plano de Contas'!A:A,'Plano de Contas'!D:D)</f>
        <v>02 - Outras Receitas</v>
      </c>
    </row>
    <row r="469" spans="1:5" x14ac:dyDescent="0.25">
      <c r="A469" s="23">
        <f t="shared" si="5"/>
        <v>43556</v>
      </c>
      <c r="B469" s="5" t="s">
        <v>98</v>
      </c>
      <c r="C469" s="5">
        <v>208400</v>
      </c>
      <c r="D469" s="5" t="str">
        <f>_xlfn.XLOOKUP(fOrcado[[#This Row],[Conta]],'Plano de Contas'!A:A,'Plano de Contas'!C:C)</f>
        <v>(+) RECEITA BRUTA</v>
      </c>
      <c r="E469" s="5" t="str">
        <f>_xlfn.XLOOKUP(fOrcado[[#This Row],[Conta]],'Plano de Contas'!A:A,'Plano de Contas'!D:D)</f>
        <v>02 - Outras Receitas</v>
      </c>
    </row>
    <row r="470" spans="1:5" x14ac:dyDescent="0.25">
      <c r="A470" s="23">
        <f t="shared" si="5"/>
        <v>43556</v>
      </c>
      <c r="B470" s="5" t="s">
        <v>99</v>
      </c>
      <c r="C470" s="5">
        <v>184322</v>
      </c>
      <c r="D470" s="5" t="str">
        <f>_xlfn.XLOOKUP(fOrcado[[#This Row],[Conta]],'Plano de Contas'!A:A,'Plano de Contas'!C:C)</f>
        <v>(+) RECEITA BRUTA</v>
      </c>
      <c r="E470" s="5" t="str">
        <f>_xlfn.XLOOKUP(fOrcado[[#This Row],[Conta]],'Plano de Contas'!A:A,'Plano de Contas'!D:D)</f>
        <v>02 - Outras Receitas</v>
      </c>
    </row>
    <row r="471" spans="1:5" x14ac:dyDescent="0.25">
      <c r="A471" s="23">
        <f t="shared" si="5"/>
        <v>43556</v>
      </c>
      <c r="B471" s="5" t="s">
        <v>100</v>
      </c>
      <c r="C471" s="5">
        <v>247343</v>
      </c>
      <c r="D471" s="5" t="str">
        <f>_xlfn.XLOOKUP(fOrcado[[#This Row],[Conta]],'Plano de Contas'!A:A,'Plano de Contas'!C:C)</f>
        <v>(+) RECEITA BRUTA</v>
      </c>
      <c r="E471" s="5" t="str">
        <f>_xlfn.XLOOKUP(fOrcado[[#This Row],[Conta]],'Plano de Contas'!A:A,'Plano de Contas'!D:D)</f>
        <v>02 - Outras Receitas</v>
      </c>
    </row>
    <row r="472" spans="1:5" x14ac:dyDescent="0.25">
      <c r="A472" s="23">
        <f t="shared" si="5"/>
        <v>43556</v>
      </c>
      <c r="B472" s="5" t="s">
        <v>101</v>
      </c>
      <c r="C472" s="5">
        <v>148378</v>
      </c>
      <c r="D472" s="5" t="str">
        <f>_xlfn.XLOOKUP(fOrcado[[#This Row],[Conta]],'Plano de Contas'!A:A,'Plano de Contas'!C:C)</f>
        <v>(+) RECEITA BRUTA</v>
      </c>
      <c r="E472" s="5" t="str">
        <f>_xlfn.XLOOKUP(fOrcado[[#This Row],[Conta]],'Plano de Contas'!A:A,'Plano de Contas'!D:D)</f>
        <v>02 - Outras Receitas</v>
      </c>
    </row>
    <row r="473" spans="1:5" x14ac:dyDescent="0.25">
      <c r="A473" s="23">
        <f t="shared" si="5"/>
        <v>43556</v>
      </c>
      <c r="B473" s="5" t="s">
        <v>102</v>
      </c>
      <c r="C473" s="5">
        <v>278943</v>
      </c>
      <c r="D473" s="5" t="str">
        <f>_xlfn.XLOOKUP(fOrcado[[#This Row],[Conta]],'Plano de Contas'!A:A,'Plano de Contas'!C:C)</f>
        <v>(+) RECEITA BRUTA</v>
      </c>
      <c r="E473" s="5" t="str">
        <f>_xlfn.XLOOKUP(fOrcado[[#This Row],[Conta]],'Plano de Contas'!A:A,'Plano de Contas'!D:D)</f>
        <v>02 - Outras Receitas</v>
      </c>
    </row>
    <row r="474" spans="1:5" x14ac:dyDescent="0.25">
      <c r="A474" s="23">
        <f t="shared" si="5"/>
        <v>43556</v>
      </c>
      <c r="B474" s="5" t="s">
        <v>103</v>
      </c>
      <c r="C474" s="5">
        <v>54497</v>
      </c>
      <c r="D474" s="5" t="str">
        <f>_xlfn.XLOOKUP(fOrcado[[#This Row],[Conta]],'Plano de Contas'!A:A,'Plano de Contas'!C:C)</f>
        <v>(+) RECEITA BRUTA</v>
      </c>
      <c r="E474" s="5" t="str">
        <f>_xlfn.XLOOKUP(fOrcado[[#This Row],[Conta]],'Plano de Contas'!A:A,'Plano de Contas'!D:D)</f>
        <v>02 - Outras Receitas</v>
      </c>
    </row>
    <row r="475" spans="1:5" x14ac:dyDescent="0.25">
      <c r="A475" s="23">
        <f t="shared" si="5"/>
        <v>43556</v>
      </c>
      <c r="B475" s="5" t="s">
        <v>104</v>
      </c>
      <c r="C475" s="5">
        <v>188014</v>
      </c>
      <c r="D475" s="5" t="str">
        <f>_xlfn.XLOOKUP(fOrcado[[#This Row],[Conta]],'Plano de Contas'!A:A,'Plano de Contas'!C:C)</f>
        <v>(+) RECEITA BRUTA</v>
      </c>
      <c r="E475" s="5" t="str">
        <f>_xlfn.XLOOKUP(fOrcado[[#This Row],[Conta]],'Plano de Contas'!A:A,'Plano de Contas'!D:D)</f>
        <v>02 - Outras Receitas</v>
      </c>
    </row>
    <row r="476" spans="1:5" x14ac:dyDescent="0.25">
      <c r="A476" s="23">
        <f t="shared" si="5"/>
        <v>43556</v>
      </c>
      <c r="B476" s="5" t="s">
        <v>105</v>
      </c>
      <c r="C476" s="5">
        <v>264700</v>
      </c>
      <c r="D476" s="5" t="str">
        <f>_xlfn.XLOOKUP(fOrcado[[#This Row],[Conta]],'Plano de Contas'!A:A,'Plano de Contas'!C:C)</f>
        <v>(+) RECEITA BRUTA</v>
      </c>
      <c r="E476" s="5" t="str">
        <f>_xlfn.XLOOKUP(fOrcado[[#This Row],[Conta]],'Plano de Contas'!A:A,'Plano de Contas'!D:D)</f>
        <v>02 - Outras Receitas</v>
      </c>
    </row>
    <row r="477" spans="1:5" x14ac:dyDescent="0.25">
      <c r="A477" s="23">
        <f t="shared" si="5"/>
        <v>43556</v>
      </c>
      <c r="B477" s="5" t="s">
        <v>106</v>
      </c>
      <c r="C477" s="5">
        <v>197236</v>
      </c>
      <c r="D477" s="5" t="str">
        <f>_xlfn.XLOOKUP(fOrcado[[#This Row],[Conta]],'Plano de Contas'!A:A,'Plano de Contas'!C:C)</f>
        <v>(+) RECEITA BRUTA</v>
      </c>
      <c r="E477" s="5" t="str">
        <f>_xlfn.XLOOKUP(fOrcado[[#This Row],[Conta]],'Plano de Contas'!A:A,'Plano de Contas'!D:D)</f>
        <v>02 - Outras Receitas</v>
      </c>
    </row>
    <row r="478" spans="1:5" x14ac:dyDescent="0.25">
      <c r="A478" s="23">
        <f t="shared" si="5"/>
        <v>43556</v>
      </c>
      <c r="B478" s="5" t="s">
        <v>107</v>
      </c>
      <c r="C478" s="5">
        <v>72755</v>
      </c>
      <c r="D478" s="5" t="str">
        <f>_xlfn.XLOOKUP(fOrcado[[#This Row],[Conta]],'Plano de Contas'!A:A,'Plano de Contas'!C:C)</f>
        <v>(+) RECEITA BRUTA</v>
      </c>
      <c r="E478" s="5" t="str">
        <f>_xlfn.XLOOKUP(fOrcado[[#This Row],[Conta]],'Plano de Contas'!A:A,'Plano de Contas'!D:D)</f>
        <v>02 - Outras Receitas</v>
      </c>
    </row>
    <row r="479" spans="1:5" x14ac:dyDescent="0.25">
      <c r="A479" s="23">
        <f t="shared" si="5"/>
        <v>43556</v>
      </c>
      <c r="B479" s="5" t="s">
        <v>108</v>
      </c>
      <c r="C479" s="5">
        <v>141066</v>
      </c>
      <c r="D479" s="5" t="str">
        <f>_xlfn.XLOOKUP(fOrcado[[#This Row],[Conta]],'Plano de Contas'!A:A,'Plano de Contas'!C:C)</f>
        <v>(+) RECEITA BRUTA</v>
      </c>
      <c r="E479" s="5" t="str">
        <f>_xlfn.XLOOKUP(fOrcado[[#This Row],[Conta]],'Plano de Contas'!A:A,'Plano de Contas'!D:D)</f>
        <v>02 - Outras Receitas</v>
      </c>
    </row>
    <row r="480" spans="1:5" x14ac:dyDescent="0.25">
      <c r="A480" s="23">
        <f t="shared" si="5"/>
        <v>43556</v>
      </c>
      <c r="B480" s="5" t="s">
        <v>109</v>
      </c>
      <c r="C480" s="5">
        <v>122656</v>
      </c>
      <c r="D480" s="5" t="str">
        <f>_xlfn.XLOOKUP(fOrcado[[#This Row],[Conta]],'Plano de Contas'!A:A,'Plano de Contas'!C:C)</f>
        <v>(+) RECEITA BRUTA</v>
      </c>
      <c r="E480" s="5" t="str">
        <f>_xlfn.XLOOKUP(fOrcado[[#This Row],[Conta]],'Plano de Contas'!A:A,'Plano de Contas'!D:D)</f>
        <v>02 - Outras Receitas</v>
      </c>
    </row>
    <row r="481" spans="1:5" x14ac:dyDescent="0.25">
      <c r="A481" s="23">
        <f t="shared" si="5"/>
        <v>43556</v>
      </c>
      <c r="B481" s="5" t="s">
        <v>110</v>
      </c>
      <c r="C481" s="5">
        <v>-5218</v>
      </c>
      <c r="D481" s="5" t="str">
        <f>_xlfn.XLOOKUP(fOrcado[[#This Row],[Conta]],'Plano de Contas'!A:A,'Plano de Contas'!C:C)</f>
        <v>(-) Deduções da Receita</v>
      </c>
      <c r="E481" s="5" t="str">
        <f>_xlfn.XLOOKUP(fOrcado[[#This Row],[Conta]],'Plano de Contas'!A:A,'Plano de Contas'!D:D)</f>
        <v>03 - Devoluções de Produtos</v>
      </c>
    </row>
    <row r="482" spans="1:5" x14ac:dyDescent="0.25">
      <c r="A482" s="23">
        <f t="shared" si="5"/>
        <v>43556</v>
      </c>
      <c r="B482" s="5" t="s">
        <v>111</v>
      </c>
      <c r="C482" s="5">
        <v>-5533</v>
      </c>
      <c r="D482" s="5" t="str">
        <f>_xlfn.XLOOKUP(fOrcado[[#This Row],[Conta]],'Plano de Contas'!A:A,'Plano de Contas'!C:C)</f>
        <v>(-) Deduções da Receita</v>
      </c>
      <c r="E482" s="5" t="str">
        <f>_xlfn.XLOOKUP(fOrcado[[#This Row],[Conta]],'Plano de Contas'!A:A,'Plano de Contas'!D:D)</f>
        <v>03 - Devoluções de Produtos</v>
      </c>
    </row>
    <row r="483" spans="1:5" x14ac:dyDescent="0.25">
      <c r="A483" s="23">
        <f t="shared" si="5"/>
        <v>43556</v>
      </c>
      <c r="B483" s="5" t="s">
        <v>112</v>
      </c>
      <c r="C483" s="5">
        <v>-6459</v>
      </c>
      <c r="D483" s="5" t="str">
        <f>_xlfn.XLOOKUP(fOrcado[[#This Row],[Conta]],'Plano de Contas'!A:A,'Plano de Contas'!C:C)</f>
        <v>(-) Deduções da Receita</v>
      </c>
      <c r="E483" s="5" t="str">
        <f>_xlfn.XLOOKUP(fOrcado[[#This Row],[Conta]],'Plano de Contas'!A:A,'Plano de Contas'!D:D)</f>
        <v>03 - Devoluções de Produtos</v>
      </c>
    </row>
    <row r="484" spans="1:5" x14ac:dyDescent="0.25">
      <c r="A484" s="23">
        <f t="shared" si="5"/>
        <v>43556</v>
      </c>
      <c r="B484" s="5" t="s">
        <v>113</v>
      </c>
      <c r="C484" s="5">
        <v>-7972</v>
      </c>
      <c r="D484" s="5" t="str">
        <f>_xlfn.XLOOKUP(fOrcado[[#This Row],[Conta]],'Plano de Contas'!A:A,'Plano de Contas'!C:C)</f>
        <v>(-) Deduções da Receita</v>
      </c>
      <c r="E484" s="5" t="str">
        <f>_xlfn.XLOOKUP(fOrcado[[#This Row],[Conta]],'Plano de Contas'!A:A,'Plano de Contas'!D:D)</f>
        <v>03 - Devoluções de Produtos</v>
      </c>
    </row>
    <row r="485" spans="1:5" x14ac:dyDescent="0.25">
      <c r="A485" s="23">
        <f t="shared" si="5"/>
        <v>43556</v>
      </c>
      <c r="B485" s="5" t="s">
        <v>114</v>
      </c>
      <c r="C485" s="5">
        <v>-5057</v>
      </c>
      <c r="D485" s="5" t="str">
        <f>_xlfn.XLOOKUP(fOrcado[[#This Row],[Conta]],'Plano de Contas'!A:A,'Plano de Contas'!C:C)</f>
        <v>(-) Deduções da Receita</v>
      </c>
      <c r="E485" s="5" t="str">
        <f>_xlfn.XLOOKUP(fOrcado[[#This Row],[Conta]],'Plano de Contas'!A:A,'Plano de Contas'!D:D)</f>
        <v>03 - Devoluções de Produtos</v>
      </c>
    </row>
    <row r="486" spans="1:5" x14ac:dyDescent="0.25">
      <c r="A486" s="23">
        <f t="shared" si="5"/>
        <v>43556</v>
      </c>
      <c r="B486" s="5" t="s">
        <v>115</v>
      </c>
      <c r="C486" s="5">
        <v>-4098</v>
      </c>
      <c r="D486" s="5" t="str">
        <f>_xlfn.XLOOKUP(fOrcado[[#This Row],[Conta]],'Plano de Contas'!A:A,'Plano de Contas'!C:C)</f>
        <v>(-) Deduções da Receita</v>
      </c>
      <c r="E486" s="5" t="str">
        <f>_xlfn.XLOOKUP(fOrcado[[#This Row],[Conta]],'Plano de Contas'!A:A,'Plano de Contas'!D:D)</f>
        <v>03 - Devoluções de Produtos</v>
      </c>
    </row>
    <row r="487" spans="1:5" x14ac:dyDescent="0.25">
      <c r="A487" s="23">
        <f t="shared" si="5"/>
        <v>43556</v>
      </c>
      <c r="B487" s="5" t="s">
        <v>116</v>
      </c>
      <c r="C487" s="5">
        <v>-1901</v>
      </c>
      <c r="D487" s="5" t="str">
        <f>_xlfn.XLOOKUP(fOrcado[[#This Row],[Conta]],'Plano de Contas'!A:A,'Plano de Contas'!C:C)</f>
        <v>(-) Deduções da Receita</v>
      </c>
      <c r="E487" s="5" t="str">
        <f>_xlfn.XLOOKUP(fOrcado[[#This Row],[Conta]],'Plano de Contas'!A:A,'Plano de Contas'!D:D)</f>
        <v>03 - Devoluções de Produtos</v>
      </c>
    </row>
    <row r="488" spans="1:5" x14ac:dyDescent="0.25">
      <c r="A488" s="23">
        <f t="shared" si="5"/>
        <v>43556</v>
      </c>
      <c r="B488" s="5" t="s">
        <v>117</v>
      </c>
      <c r="C488" s="5">
        <v>-6120</v>
      </c>
      <c r="D488" s="5" t="str">
        <f>_xlfn.XLOOKUP(fOrcado[[#This Row],[Conta]],'Plano de Contas'!A:A,'Plano de Contas'!C:C)</f>
        <v>(-) Deduções da Receita</v>
      </c>
      <c r="E488" s="5" t="str">
        <f>_xlfn.XLOOKUP(fOrcado[[#This Row],[Conta]],'Plano de Contas'!A:A,'Plano de Contas'!D:D)</f>
        <v>03 - Devoluções de Produtos</v>
      </c>
    </row>
    <row r="489" spans="1:5" x14ac:dyDescent="0.25">
      <c r="A489" s="23">
        <f t="shared" si="5"/>
        <v>43556</v>
      </c>
      <c r="B489" s="5" t="s">
        <v>118</v>
      </c>
      <c r="C489" s="5">
        <v>-2464</v>
      </c>
      <c r="D489" s="5" t="str">
        <f>_xlfn.XLOOKUP(fOrcado[[#This Row],[Conta]],'Plano de Contas'!A:A,'Plano de Contas'!C:C)</f>
        <v>(-) Deduções da Receita</v>
      </c>
      <c r="E489" s="5" t="str">
        <f>_xlfn.XLOOKUP(fOrcado[[#This Row],[Conta]],'Plano de Contas'!A:A,'Plano de Contas'!D:D)</f>
        <v>03 - Devoluções de Produtos</v>
      </c>
    </row>
    <row r="490" spans="1:5" x14ac:dyDescent="0.25">
      <c r="A490" s="23">
        <f t="shared" si="5"/>
        <v>43556</v>
      </c>
      <c r="B490" s="5" t="s">
        <v>119</v>
      </c>
      <c r="C490" s="5">
        <v>-7679</v>
      </c>
      <c r="D490" s="5" t="str">
        <f>_xlfn.XLOOKUP(fOrcado[[#This Row],[Conta]],'Plano de Contas'!A:A,'Plano de Contas'!C:C)</f>
        <v>(-) Deduções da Receita</v>
      </c>
      <c r="E490" s="5" t="str">
        <f>_xlfn.XLOOKUP(fOrcado[[#This Row],[Conta]],'Plano de Contas'!A:A,'Plano de Contas'!D:D)</f>
        <v>03 - Devoluções de Produtos</v>
      </c>
    </row>
    <row r="491" spans="1:5" x14ac:dyDescent="0.25">
      <c r="A491" s="23">
        <f t="shared" si="5"/>
        <v>43556</v>
      </c>
      <c r="B491" s="5" t="s">
        <v>120</v>
      </c>
      <c r="C491" s="5">
        <v>-2607</v>
      </c>
      <c r="D491" s="5" t="str">
        <f>_xlfn.XLOOKUP(fOrcado[[#This Row],[Conta]],'Plano de Contas'!A:A,'Plano de Contas'!C:C)</f>
        <v>(-) Deduções da Receita</v>
      </c>
      <c r="E491" s="5" t="str">
        <f>_xlfn.XLOOKUP(fOrcado[[#This Row],[Conta]],'Plano de Contas'!A:A,'Plano de Contas'!D:D)</f>
        <v>03 - Devoluções de Produtos</v>
      </c>
    </row>
    <row r="492" spans="1:5" x14ac:dyDescent="0.25">
      <c r="A492" s="23">
        <f t="shared" si="5"/>
        <v>43556</v>
      </c>
      <c r="B492" s="5" t="s">
        <v>121</v>
      </c>
      <c r="C492" s="5">
        <v>-5468</v>
      </c>
      <c r="D492" s="5" t="str">
        <f>_xlfn.XLOOKUP(fOrcado[[#This Row],[Conta]],'Plano de Contas'!A:A,'Plano de Contas'!C:C)</f>
        <v>(-) Deduções da Receita</v>
      </c>
      <c r="E492" s="5" t="str">
        <f>_xlfn.XLOOKUP(fOrcado[[#This Row],[Conta]],'Plano de Contas'!A:A,'Plano de Contas'!D:D)</f>
        <v>03 - Devoluções de Produtos</v>
      </c>
    </row>
    <row r="493" spans="1:5" x14ac:dyDescent="0.25">
      <c r="A493" s="23">
        <f t="shared" si="5"/>
        <v>43556</v>
      </c>
      <c r="B493" s="5" t="s">
        <v>122</v>
      </c>
      <c r="C493" s="5">
        <v>-4103</v>
      </c>
      <c r="D493" s="5" t="str">
        <f>_xlfn.XLOOKUP(fOrcado[[#This Row],[Conta]],'Plano de Contas'!A:A,'Plano de Contas'!C:C)</f>
        <v>(-) Deduções da Receita</v>
      </c>
      <c r="E493" s="5" t="str">
        <f>_xlfn.XLOOKUP(fOrcado[[#This Row],[Conta]],'Plano de Contas'!A:A,'Plano de Contas'!D:D)</f>
        <v>03 - Devoluções de Produtos</v>
      </c>
    </row>
    <row r="494" spans="1:5" x14ac:dyDescent="0.25">
      <c r="A494" s="23">
        <f t="shared" si="5"/>
        <v>43556</v>
      </c>
      <c r="B494" s="5" t="s">
        <v>123</v>
      </c>
      <c r="C494" s="5">
        <v>-8319</v>
      </c>
      <c r="D494" s="5" t="str">
        <f>_xlfn.XLOOKUP(fOrcado[[#This Row],[Conta]],'Plano de Contas'!A:A,'Plano de Contas'!C:C)</f>
        <v>(-) Deduções da Receita</v>
      </c>
      <c r="E494" s="5" t="str">
        <f>_xlfn.XLOOKUP(fOrcado[[#This Row],[Conta]],'Plano de Contas'!A:A,'Plano de Contas'!D:D)</f>
        <v>03 - Devoluções de Produtos</v>
      </c>
    </row>
    <row r="495" spans="1:5" x14ac:dyDescent="0.25">
      <c r="A495" s="23">
        <f t="shared" si="5"/>
        <v>43556</v>
      </c>
      <c r="B495" s="5" t="s">
        <v>124</v>
      </c>
      <c r="C495" s="5">
        <v>-7002</v>
      </c>
      <c r="D495" s="5" t="str">
        <f>_xlfn.XLOOKUP(fOrcado[[#This Row],[Conta]],'Plano de Contas'!A:A,'Plano de Contas'!C:C)</f>
        <v>(-) Deduções da Receita</v>
      </c>
      <c r="E495" s="5" t="str">
        <f>_xlfn.XLOOKUP(fOrcado[[#This Row],[Conta]],'Plano de Contas'!A:A,'Plano de Contas'!D:D)</f>
        <v>03 - Devoluções de Produtos</v>
      </c>
    </row>
    <row r="496" spans="1:5" x14ac:dyDescent="0.25">
      <c r="A496" s="23">
        <f t="shared" si="5"/>
        <v>43556</v>
      </c>
      <c r="B496" s="5" t="s">
        <v>125</v>
      </c>
      <c r="C496" s="5">
        <v>-2465</v>
      </c>
      <c r="D496" s="5" t="str">
        <f>_xlfn.XLOOKUP(fOrcado[[#This Row],[Conta]],'Plano de Contas'!A:A,'Plano de Contas'!C:C)</f>
        <v>(-) Deduções da Receita</v>
      </c>
      <c r="E496" s="5" t="str">
        <f>_xlfn.XLOOKUP(fOrcado[[#This Row],[Conta]],'Plano de Contas'!A:A,'Plano de Contas'!D:D)</f>
        <v>03 - Devoluções de Produtos</v>
      </c>
    </row>
    <row r="497" spans="1:5" x14ac:dyDescent="0.25">
      <c r="A497" s="23">
        <f t="shared" si="5"/>
        <v>43556</v>
      </c>
      <c r="B497" s="5" t="s">
        <v>126</v>
      </c>
      <c r="C497" s="5">
        <v>-1115</v>
      </c>
      <c r="D497" s="5" t="str">
        <f>_xlfn.XLOOKUP(fOrcado[[#This Row],[Conta]],'Plano de Contas'!A:A,'Plano de Contas'!C:C)</f>
        <v>(-) Deduções da Receita</v>
      </c>
      <c r="E497" s="5" t="str">
        <f>_xlfn.XLOOKUP(fOrcado[[#This Row],[Conta]],'Plano de Contas'!A:A,'Plano de Contas'!D:D)</f>
        <v>03 - Devoluções de Produtos</v>
      </c>
    </row>
    <row r="498" spans="1:5" x14ac:dyDescent="0.25">
      <c r="A498" s="23">
        <f t="shared" si="5"/>
        <v>43556</v>
      </c>
      <c r="B498" s="5" t="s">
        <v>127</v>
      </c>
      <c r="C498" s="5">
        <v>-7629</v>
      </c>
      <c r="D498" s="5" t="str">
        <f>_xlfn.XLOOKUP(fOrcado[[#This Row],[Conta]],'Plano de Contas'!A:A,'Plano de Contas'!C:C)</f>
        <v>(-) Deduções da Receita</v>
      </c>
      <c r="E498" s="5" t="str">
        <f>_xlfn.XLOOKUP(fOrcado[[#This Row],[Conta]],'Plano de Contas'!A:A,'Plano de Contas'!D:D)</f>
        <v>03 - Devoluções de Produtos</v>
      </c>
    </row>
    <row r="499" spans="1:5" x14ac:dyDescent="0.25">
      <c r="A499" s="23">
        <f t="shared" si="5"/>
        <v>43556</v>
      </c>
      <c r="B499" s="5" t="s">
        <v>128</v>
      </c>
      <c r="C499" s="5">
        <v>-7085</v>
      </c>
      <c r="D499" s="5" t="str">
        <f>_xlfn.XLOOKUP(fOrcado[[#This Row],[Conta]],'Plano de Contas'!A:A,'Plano de Contas'!C:C)</f>
        <v>(-) Deduções da Receita</v>
      </c>
      <c r="E499" s="5" t="str">
        <f>_xlfn.XLOOKUP(fOrcado[[#This Row],[Conta]],'Plano de Contas'!A:A,'Plano de Contas'!D:D)</f>
        <v>03 - Devoluções de Produtos</v>
      </c>
    </row>
    <row r="500" spans="1:5" x14ac:dyDescent="0.25">
      <c r="A500" s="23">
        <f t="shared" si="5"/>
        <v>43556</v>
      </c>
      <c r="B500" s="5" t="s">
        <v>129</v>
      </c>
      <c r="C500" s="5">
        <v>-5156</v>
      </c>
      <c r="D500" s="5" t="str">
        <f>_xlfn.XLOOKUP(fOrcado[[#This Row],[Conta]],'Plano de Contas'!A:A,'Plano de Contas'!C:C)</f>
        <v>(-) Deduções da Receita</v>
      </c>
      <c r="E500" s="5" t="str">
        <f>_xlfn.XLOOKUP(fOrcado[[#This Row],[Conta]],'Plano de Contas'!A:A,'Plano de Contas'!D:D)</f>
        <v>03 - Devoluções de Produtos</v>
      </c>
    </row>
    <row r="501" spans="1:5" x14ac:dyDescent="0.25">
      <c r="A501" s="23">
        <f t="shared" si="5"/>
        <v>43556</v>
      </c>
      <c r="B501" s="5" t="s">
        <v>130</v>
      </c>
      <c r="C501" s="5">
        <v>-5382</v>
      </c>
      <c r="D501" s="5" t="str">
        <f>_xlfn.XLOOKUP(fOrcado[[#This Row],[Conta]],'Plano de Contas'!A:A,'Plano de Contas'!C:C)</f>
        <v>(-) Deduções da Receita</v>
      </c>
      <c r="E501" s="5" t="str">
        <f>_xlfn.XLOOKUP(fOrcado[[#This Row],[Conta]],'Plano de Contas'!A:A,'Plano de Contas'!D:D)</f>
        <v>03 - Devoluções de Produtos</v>
      </c>
    </row>
    <row r="502" spans="1:5" x14ac:dyDescent="0.25">
      <c r="A502" s="23">
        <f t="shared" si="5"/>
        <v>43556</v>
      </c>
      <c r="B502" s="5" t="s">
        <v>131</v>
      </c>
      <c r="C502" s="5">
        <v>-7922</v>
      </c>
      <c r="D502" s="5" t="str">
        <f>_xlfn.XLOOKUP(fOrcado[[#This Row],[Conta]],'Plano de Contas'!A:A,'Plano de Contas'!C:C)</f>
        <v>(-) Deduções da Receita</v>
      </c>
      <c r="E502" s="5" t="str">
        <f>_xlfn.XLOOKUP(fOrcado[[#This Row],[Conta]],'Plano de Contas'!A:A,'Plano de Contas'!D:D)</f>
        <v>03 - Devoluções de Produtos</v>
      </c>
    </row>
    <row r="503" spans="1:5" x14ac:dyDescent="0.25">
      <c r="A503" s="23">
        <f t="shared" si="5"/>
        <v>43556</v>
      </c>
      <c r="B503" s="5" t="s">
        <v>132</v>
      </c>
      <c r="C503" s="5">
        <v>-6865</v>
      </c>
      <c r="D503" s="5" t="str">
        <f>_xlfn.XLOOKUP(fOrcado[[#This Row],[Conta]],'Plano de Contas'!A:A,'Plano de Contas'!C:C)</f>
        <v>(-) Deduções da Receita</v>
      </c>
      <c r="E503" s="5" t="str">
        <f>_xlfn.XLOOKUP(fOrcado[[#This Row],[Conta]],'Plano de Contas'!A:A,'Plano de Contas'!D:D)</f>
        <v>03 - Devoluções de Produtos</v>
      </c>
    </row>
    <row r="504" spans="1:5" x14ac:dyDescent="0.25">
      <c r="A504" s="23">
        <f t="shared" si="5"/>
        <v>43556</v>
      </c>
      <c r="B504" s="5" t="s">
        <v>133</v>
      </c>
      <c r="C504" s="5">
        <v>-1479</v>
      </c>
      <c r="D504" s="5" t="str">
        <f>_xlfn.XLOOKUP(fOrcado[[#This Row],[Conta]],'Plano de Contas'!A:A,'Plano de Contas'!C:C)</f>
        <v>(-) Deduções da Receita</v>
      </c>
      <c r="E504" s="5" t="str">
        <f>_xlfn.XLOOKUP(fOrcado[[#This Row],[Conta]],'Plano de Contas'!A:A,'Plano de Contas'!D:D)</f>
        <v>03 - Devoluções de Produtos</v>
      </c>
    </row>
    <row r="505" spans="1:5" x14ac:dyDescent="0.25">
      <c r="A505" s="23">
        <f t="shared" si="5"/>
        <v>43556</v>
      </c>
      <c r="B505" s="5" t="s">
        <v>134</v>
      </c>
      <c r="C505" s="5">
        <v>-3472</v>
      </c>
      <c r="D505" s="5" t="str">
        <f>_xlfn.XLOOKUP(fOrcado[[#This Row],[Conta]],'Plano de Contas'!A:A,'Plano de Contas'!C:C)</f>
        <v>(-) Deduções da Receita</v>
      </c>
      <c r="E505" s="5" t="str">
        <f>_xlfn.XLOOKUP(fOrcado[[#This Row],[Conta]],'Plano de Contas'!A:A,'Plano de Contas'!D:D)</f>
        <v>03 - Devoluções de Produtos</v>
      </c>
    </row>
    <row r="506" spans="1:5" x14ac:dyDescent="0.25">
      <c r="A506" s="23">
        <f t="shared" si="5"/>
        <v>43556</v>
      </c>
      <c r="B506" s="5" t="s">
        <v>135</v>
      </c>
      <c r="C506" s="5">
        <v>-5835</v>
      </c>
      <c r="D506" s="5" t="str">
        <f>_xlfn.XLOOKUP(fOrcado[[#This Row],[Conta]],'Plano de Contas'!A:A,'Plano de Contas'!C:C)</f>
        <v>(-) Deduções da Receita</v>
      </c>
      <c r="E506" s="5" t="str">
        <f>_xlfn.XLOOKUP(fOrcado[[#This Row],[Conta]],'Plano de Contas'!A:A,'Plano de Contas'!D:D)</f>
        <v>03 - Devoluções de Produtos</v>
      </c>
    </row>
    <row r="507" spans="1:5" x14ac:dyDescent="0.25">
      <c r="A507" s="23">
        <f t="shared" si="5"/>
        <v>43556</v>
      </c>
      <c r="B507" s="5" t="s">
        <v>136</v>
      </c>
      <c r="C507" s="5">
        <v>-5227</v>
      </c>
      <c r="D507" s="5" t="str">
        <f>_xlfn.XLOOKUP(fOrcado[[#This Row],[Conta]],'Plano de Contas'!A:A,'Plano de Contas'!C:C)</f>
        <v>(-) Deduções da Receita</v>
      </c>
      <c r="E507" s="5" t="str">
        <f>_xlfn.XLOOKUP(fOrcado[[#This Row],[Conta]],'Plano de Contas'!A:A,'Plano de Contas'!D:D)</f>
        <v>04 - Taxas de Serviço</v>
      </c>
    </row>
    <row r="508" spans="1:5" x14ac:dyDescent="0.25">
      <c r="A508" s="23">
        <f t="shared" si="5"/>
        <v>43556</v>
      </c>
      <c r="B508" s="5" t="s">
        <v>137</v>
      </c>
      <c r="C508" s="5">
        <v>-7106</v>
      </c>
      <c r="D508" s="5" t="str">
        <f>_xlfn.XLOOKUP(fOrcado[[#This Row],[Conta]],'Plano de Contas'!A:A,'Plano de Contas'!C:C)</f>
        <v>(-) Deduções da Receita</v>
      </c>
      <c r="E508" s="5" t="str">
        <f>_xlfn.XLOOKUP(fOrcado[[#This Row],[Conta]],'Plano de Contas'!A:A,'Plano de Contas'!D:D)</f>
        <v>04 - Taxas de Serviço</v>
      </c>
    </row>
    <row r="509" spans="1:5" x14ac:dyDescent="0.25">
      <c r="A509" s="23">
        <f t="shared" si="5"/>
        <v>43556</v>
      </c>
      <c r="B509" s="5" t="s">
        <v>138</v>
      </c>
      <c r="C509" s="5">
        <v>-5299</v>
      </c>
      <c r="D509" s="5" t="str">
        <f>_xlfn.XLOOKUP(fOrcado[[#This Row],[Conta]],'Plano de Contas'!A:A,'Plano de Contas'!C:C)</f>
        <v>(-) Deduções da Receita</v>
      </c>
      <c r="E509" s="5" t="str">
        <f>_xlfn.XLOOKUP(fOrcado[[#This Row],[Conta]],'Plano de Contas'!A:A,'Plano de Contas'!D:D)</f>
        <v>04 - Taxas de Serviço</v>
      </c>
    </row>
    <row r="510" spans="1:5" x14ac:dyDescent="0.25">
      <c r="A510" s="23">
        <f t="shared" si="5"/>
        <v>43556</v>
      </c>
      <c r="B510" s="5" t="s">
        <v>139</v>
      </c>
      <c r="C510" s="5">
        <v>-9293</v>
      </c>
      <c r="D510" s="5" t="str">
        <f>_xlfn.XLOOKUP(fOrcado[[#This Row],[Conta]],'Plano de Contas'!A:A,'Plano de Contas'!C:C)</f>
        <v>(-) Deduções da Receita</v>
      </c>
      <c r="E510" s="5" t="str">
        <f>_xlfn.XLOOKUP(fOrcado[[#This Row],[Conta]],'Plano de Contas'!A:A,'Plano de Contas'!D:D)</f>
        <v>04 - Taxas de Serviço</v>
      </c>
    </row>
    <row r="511" spans="1:5" x14ac:dyDescent="0.25">
      <c r="A511" s="23">
        <f t="shared" si="5"/>
        <v>43556</v>
      </c>
      <c r="B511" s="5" t="s">
        <v>140</v>
      </c>
      <c r="C511" s="5">
        <v>-294125</v>
      </c>
      <c r="D511" s="5" t="str">
        <f>_xlfn.XLOOKUP(fOrcado[[#This Row],[Conta]],'Plano de Contas'!A:A,'Plano de Contas'!C:C)</f>
        <v>(-) Custos de Vendas</v>
      </c>
      <c r="E511" s="5" t="str">
        <f>_xlfn.XLOOKUP(fOrcado[[#This Row],[Conta]],'Plano de Contas'!A:A,'Plano de Contas'!D:D)</f>
        <v>05 - Custo do Produto</v>
      </c>
    </row>
    <row r="512" spans="1:5" x14ac:dyDescent="0.25">
      <c r="A512" s="23">
        <f t="shared" si="5"/>
        <v>43556</v>
      </c>
      <c r="B512" s="5" t="s">
        <v>141</v>
      </c>
      <c r="C512" s="5">
        <v>-270024</v>
      </c>
      <c r="D512" s="5" t="str">
        <f>_xlfn.XLOOKUP(fOrcado[[#This Row],[Conta]],'Plano de Contas'!A:A,'Plano de Contas'!C:C)</f>
        <v>(-) Custos de Vendas</v>
      </c>
      <c r="E512" s="5" t="str">
        <f>_xlfn.XLOOKUP(fOrcado[[#This Row],[Conta]],'Plano de Contas'!A:A,'Plano de Contas'!D:D)</f>
        <v>05 - Custo do Produto</v>
      </c>
    </row>
    <row r="513" spans="1:5" x14ac:dyDescent="0.25">
      <c r="A513" s="23">
        <f t="shared" si="5"/>
        <v>43556</v>
      </c>
      <c r="B513" s="5" t="s">
        <v>142</v>
      </c>
      <c r="C513" s="5">
        <v>-232909</v>
      </c>
      <c r="D513" s="5" t="str">
        <f>_xlfn.XLOOKUP(fOrcado[[#This Row],[Conta]],'Plano de Contas'!A:A,'Plano de Contas'!C:C)</f>
        <v>(-) Custos de Vendas</v>
      </c>
      <c r="E513" s="5" t="str">
        <f>_xlfn.XLOOKUP(fOrcado[[#This Row],[Conta]],'Plano de Contas'!A:A,'Plano de Contas'!D:D)</f>
        <v>05 - Custo do Produto</v>
      </c>
    </row>
    <row r="514" spans="1:5" x14ac:dyDescent="0.25">
      <c r="A514" s="23">
        <f t="shared" si="5"/>
        <v>43556</v>
      </c>
      <c r="B514" s="5" t="s">
        <v>143</v>
      </c>
      <c r="C514" s="5">
        <v>-274942</v>
      </c>
      <c r="D514" s="5" t="str">
        <f>_xlfn.XLOOKUP(fOrcado[[#This Row],[Conta]],'Plano de Contas'!A:A,'Plano de Contas'!C:C)</f>
        <v>(-) Custos de Vendas</v>
      </c>
      <c r="E514" s="5" t="str">
        <f>_xlfn.XLOOKUP(fOrcado[[#This Row],[Conta]],'Plano de Contas'!A:A,'Plano de Contas'!D:D)</f>
        <v>05 - Custo do Produto</v>
      </c>
    </row>
    <row r="515" spans="1:5" x14ac:dyDescent="0.25">
      <c r="A515" s="23">
        <f t="shared" si="5"/>
        <v>43556</v>
      </c>
      <c r="B515" s="5" t="s">
        <v>144</v>
      </c>
      <c r="C515" s="5">
        <v>-273810</v>
      </c>
      <c r="D515" s="5" t="str">
        <f>_xlfn.XLOOKUP(fOrcado[[#This Row],[Conta]],'Plano de Contas'!A:A,'Plano de Contas'!C:C)</f>
        <v>(-) Custos de Vendas</v>
      </c>
      <c r="E515" s="5" t="str">
        <f>_xlfn.XLOOKUP(fOrcado[[#This Row],[Conta]],'Plano de Contas'!A:A,'Plano de Contas'!D:D)</f>
        <v>05 - Custo do Produto</v>
      </c>
    </row>
    <row r="516" spans="1:5" x14ac:dyDescent="0.25">
      <c r="A516" s="23">
        <f t="shared" si="5"/>
        <v>43556</v>
      </c>
      <c r="B516" s="5" t="s">
        <v>145</v>
      </c>
      <c r="C516" s="5">
        <v>-298808</v>
      </c>
      <c r="D516" s="5" t="str">
        <f>_xlfn.XLOOKUP(fOrcado[[#This Row],[Conta]],'Plano de Contas'!A:A,'Plano de Contas'!C:C)</f>
        <v>(-) Custos de Vendas</v>
      </c>
      <c r="E516" s="5" t="str">
        <f>_xlfn.XLOOKUP(fOrcado[[#This Row],[Conta]],'Plano de Contas'!A:A,'Plano de Contas'!D:D)</f>
        <v>05 - Custo do Produto</v>
      </c>
    </row>
    <row r="517" spans="1:5" x14ac:dyDescent="0.25">
      <c r="A517" s="23">
        <f t="shared" si="5"/>
        <v>43556</v>
      </c>
      <c r="B517" s="5" t="s">
        <v>146</v>
      </c>
      <c r="C517" s="5">
        <v>-92566</v>
      </c>
      <c r="D517" s="5" t="str">
        <f>_xlfn.XLOOKUP(fOrcado[[#This Row],[Conta]],'Plano de Contas'!A:A,'Plano de Contas'!C:C)</f>
        <v>(-) Custos de Vendas</v>
      </c>
      <c r="E517" s="5" t="str">
        <f>_xlfn.XLOOKUP(fOrcado[[#This Row],[Conta]],'Plano de Contas'!A:A,'Plano de Contas'!D:D)</f>
        <v>05 - Custo do Produto</v>
      </c>
    </row>
    <row r="518" spans="1:5" x14ac:dyDescent="0.25">
      <c r="A518" s="23">
        <f t="shared" si="5"/>
        <v>43556</v>
      </c>
      <c r="B518" s="5" t="s">
        <v>147</v>
      </c>
      <c r="C518" s="5">
        <v>-227530</v>
      </c>
      <c r="D518" s="5" t="str">
        <f>_xlfn.XLOOKUP(fOrcado[[#This Row],[Conta]],'Plano de Contas'!A:A,'Plano de Contas'!C:C)</f>
        <v>(-) Custos de Vendas</v>
      </c>
      <c r="E518" s="5" t="str">
        <f>_xlfn.XLOOKUP(fOrcado[[#This Row],[Conta]],'Plano de Contas'!A:A,'Plano de Contas'!D:D)</f>
        <v>05 - Custo do Produto</v>
      </c>
    </row>
    <row r="519" spans="1:5" x14ac:dyDescent="0.25">
      <c r="A519" s="23">
        <f t="shared" si="5"/>
        <v>43556</v>
      </c>
      <c r="B519" s="5" t="s">
        <v>148</v>
      </c>
      <c r="C519" s="5">
        <v>-289902</v>
      </c>
      <c r="D519" s="5" t="str">
        <f>_xlfn.XLOOKUP(fOrcado[[#This Row],[Conta]],'Plano de Contas'!A:A,'Plano de Contas'!C:C)</f>
        <v>(-) Custos de Vendas</v>
      </c>
      <c r="E519" s="5" t="str">
        <f>_xlfn.XLOOKUP(fOrcado[[#This Row],[Conta]],'Plano de Contas'!A:A,'Plano de Contas'!D:D)</f>
        <v>05 - Custo do Produto</v>
      </c>
    </row>
    <row r="520" spans="1:5" x14ac:dyDescent="0.25">
      <c r="A520" s="23">
        <f t="shared" si="5"/>
        <v>43556</v>
      </c>
      <c r="B520" s="5" t="s">
        <v>149</v>
      </c>
      <c r="C520" s="5">
        <v>-82537</v>
      </c>
      <c r="D520" s="5" t="str">
        <f>_xlfn.XLOOKUP(fOrcado[[#This Row],[Conta]],'Plano de Contas'!A:A,'Plano de Contas'!C:C)</f>
        <v>(-) Custos de Vendas</v>
      </c>
      <c r="E520" s="5" t="str">
        <f>_xlfn.XLOOKUP(fOrcado[[#This Row],[Conta]],'Plano de Contas'!A:A,'Plano de Contas'!D:D)</f>
        <v>05 - Custo do Produto</v>
      </c>
    </row>
    <row r="521" spans="1:5" x14ac:dyDescent="0.25">
      <c r="A521" s="23">
        <f t="shared" si="5"/>
        <v>43556</v>
      </c>
      <c r="B521" s="5" t="s">
        <v>150</v>
      </c>
      <c r="C521" s="5">
        <v>-126780</v>
      </c>
      <c r="D521" s="5" t="str">
        <f>_xlfn.XLOOKUP(fOrcado[[#This Row],[Conta]],'Plano de Contas'!A:A,'Plano de Contas'!C:C)</f>
        <v>(-) Custos de Vendas</v>
      </c>
      <c r="E521" s="5" t="str">
        <f>_xlfn.XLOOKUP(fOrcado[[#This Row],[Conta]],'Plano de Contas'!A:A,'Plano de Contas'!D:D)</f>
        <v>05 - Custo do Produto</v>
      </c>
    </row>
    <row r="522" spans="1:5" x14ac:dyDescent="0.25">
      <c r="A522" s="23">
        <f t="shared" si="5"/>
        <v>43556</v>
      </c>
      <c r="B522" s="5" t="s">
        <v>151</v>
      </c>
      <c r="C522" s="5">
        <v>-124262</v>
      </c>
      <c r="D522" s="5" t="str">
        <f>_xlfn.XLOOKUP(fOrcado[[#This Row],[Conta]],'Plano de Contas'!A:A,'Plano de Contas'!C:C)</f>
        <v>(-) Custos de Vendas</v>
      </c>
      <c r="E522" s="5" t="str">
        <f>_xlfn.XLOOKUP(fOrcado[[#This Row],[Conta]],'Plano de Contas'!A:A,'Plano de Contas'!D:D)</f>
        <v>05 - Custo do Produto</v>
      </c>
    </row>
    <row r="523" spans="1:5" x14ac:dyDescent="0.25">
      <c r="A523" s="23">
        <f t="shared" si="5"/>
        <v>43556</v>
      </c>
      <c r="B523" s="5" t="s">
        <v>152</v>
      </c>
      <c r="C523" s="5">
        <v>-266542</v>
      </c>
      <c r="D523" s="5" t="str">
        <f>_xlfn.XLOOKUP(fOrcado[[#This Row],[Conta]],'Plano de Contas'!A:A,'Plano de Contas'!C:C)</f>
        <v>(-) Custos de Vendas</v>
      </c>
      <c r="E523" s="5" t="str">
        <f>_xlfn.XLOOKUP(fOrcado[[#This Row],[Conta]],'Plano de Contas'!A:A,'Plano de Contas'!D:D)</f>
        <v>05 - Custo do Produto</v>
      </c>
    </row>
    <row r="524" spans="1:5" x14ac:dyDescent="0.25">
      <c r="A524" s="23">
        <f t="shared" si="5"/>
        <v>43556</v>
      </c>
      <c r="B524" s="5" t="s">
        <v>153</v>
      </c>
      <c r="C524" s="5">
        <v>-185129</v>
      </c>
      <c r="D524" s="5" t="str">
        <f>_xlfn.XLOOKUP(fOrcado[[#This Row],[Conta]],'Plano de Contas'!A:A,'Plano de Contas'!C:C)</f>
        <v>(-) Custos de Vendas</v>
      </c>
      <c r="E524" s="5" t="str">
        <f>_xlfn.XLOOKUP(fOrcado[[#This Row],[Conta]],'Plano de Contas'!A:A,'Plano de Contas'!D:D)</f>
        <v>05 - Custo do Produto</v>
      </c>
    </row>
    <row r="525" spans="1:5" x14ac:dyDescent="0.25">
      <c r="A525" s="23">
        <f t="shared" si="5"/>
        <v>43556</v>
      </c>
      <c r="B525" s="5" t="s">
        <v>154</v>
      </c>
      <c r="C525" s="5">
        <v>-153508</v>
      </c>
      <c r="D525" s="5" t="str">
        <f>_xlfn.XLOOKUP(fOrcado[[#This Row],[Conta]],'Plano de Contas'!A:A,'Plano de Contas'!C:C)</f>
        <v>(-) Custos de Vendas</v>
      </c>
      <c r="E525" s="5" t="str">
        <f>_xlfn.XLOOKUP(fOrcado[[#This Row],[Conta]],'Plano de Contas'!A:A,'Plano de Contas'!D:D)</f>
        <v>05 - Custo do Produto</v>
      </c>
    </row>
    <row r="526" spans="1:5" x14ac:dyDescent="0.25">
      <c r="A526" s="23">
        <f t="shared" si="5"/>
        <v>43556</v>
      </c>
      <c r="B526" s="5" t="s">
        <v>155</v>
      </c>
      <c r="C526" s="5">
        <v>-129227</v>
      </c>
      <c r="D526" s="5" t="str">
        <f>_xlfn.XLOOKUP(fOrcado[[#This Row],[Conta]],'Plano de Contas'!A:A,'Plano de Contas'!C:C)</f>
        <v>(-) Custos de Vendas</v>
      </c>
      <c r="E526" s="5" t="str">
        <f>_xlfn.XLOOKUP(fOrcado[[#This Row],[Conta]],'Plano de Contas'!A:A,'Plano de Contas'!D:D)</f>
        <v>05 - Custo do Produto</v>
      </c>
    </row>
    <row r="527" spans="1:5" x14ac:dyDescent="0.25">
      <c r="A527" s="23">
        <f t="shared" ref="A527:A590" si="6">EDATE(A387,1)</f>
        <v>43556</v>
      </c>
      <c r="B527" s="5" t="s">
        <v>156</v>
      </c>
      <c r="C527" s="5">
        <v>-256246</v>
      </c>
      <c r="D527" s="5" t="str">
        <f>_xlfn.XLOOKUP(fOrcado[[#This Row],[Conta]],'Plano de Contas'!A:A,'Plano de Contas'!C:C)</f>
        <v>(-) Custos de Vendas</v>
      </c>
      <c r="E527" s="5" t="str">
        <f>_xlfn.XLOOKUP(fOrcado[[#This Row],[Conta]],'Plano de Contas'!A:A,'Plano de Contas'!D:D)</f>
        <v>05 - Custo do Produto</v>
      </c>
    </row>
    <row r="528" spans="1:5" x14ac:dyDescent="0.25">
      <c r="A528" s="23">
        <f t="shared" si="6"/>
        <v>43556</v>
      </c>
      <c r="B528" s="5" t="s">
        <v>157</v>
      </c>
      <c r="C528" s="5">
        <v>-196724</v>
      </c>
      <c r="D528" s="5" t="str">
        <f>_xlfn.XLOOKUP(fOrcado[[#This Row],[Conta]],'Plano de Contas'!A:A,'Plano de Contas'!C:C)</f>
        <v>(-) Custos de Vendas</v>
      </c>
      <c r="E528" s="5" t="str">
        <f>_xlfn.XLOOKUP(fOrcado[[#This Row],[Conta]],'Plano de Contas'!A:A,'Plano de Contas'!D:D)</f>
        <v>05 - Custo do Produto</v>
      </c>
    </row>
    <row r="529" spans="1:5" x14ac:dyDescent="0.25">
      <c r="A529" s="23">
        <f t="shared" si="6"/>
        <v>43556</v>
      </c>
      <c r="B529" s="5" t="s">
        <v>158</v>
      </c>
      <c r="C529" s="5">
        <v>-154067</v>
      </c>
      <c r="D529" s="5" t="str">
        <f>_xlfn.XLOOKUP(fOrcado[[#This Row],[Conta]],'Plano de Contas'!A:A,'Plano de Contas'!C:C)</f>
        <v>(-) Custos de Vendas</v>
      </c>
      <c r="E529" s="5" t="str">
        <f>_xlfn.XLOOKUP(fOrcado[[#This Row],[Conta]],'Plano de Contas'!A:A,'Plano de Contas'!D:D)</f>
        <v>05 - Custo do Produto</v>
      </c>
    </row>
    <row r="530" spans="1:5" x14ac:dyDescent="0.25">
      <c r="A530" s="23">
        <f t="shared" si="6"/>
        <v>43556</v>
      </c>
      <c r="B530" s="5" t="s">
        <v>159</v>
      </c>
      <c r="C530" s="5">
        <v>-189046</v>
      </c>
      <c r="D530" s="5" t="str">
        <f>_xlfn.XLOOKUP(fOrcado[[#This Row],[Conta]],'Plano de Contas'!A:A,'Plano de Contas'!C:C)</f>
        <v>(-) Custos de Vendas</v>
      </c>
      <c r="E530" s="5" t="str">
        <f>_xlfn.XLOOKUP(fOrcado[[#This Row],[Conta]],'Plano de Contas'!A:A,'Plano de Contas'!D:D)</f>
        <v>05 - Custo do Produto</v>
      </c>
    </row>
    <row r="531" spans="1:5" x14ac:dyDescent="0.25">
      <c r="A531" s="23">
        <f t="shared" si="6"/>
        <v>43556</v>
      </c>
      <c r="B531" s="5" t="s">
        <v>160</v>
      </c>
      <c r="C531" s="5">
        <v>-287755</v>
      </c>
      <c r="D531" s="5" t="str">
        <f>_xlfn.XLOOKUP(fOrcado[[#This Row],[Conta]],'Plano de Contas'!A:A,'Plano de Contas'!C:C)</f>
        <v>(-) Custos de Vendas</v>
      </c>
      <c r="E531" s="5" t="str">
        <f>_xlfn.XLOOKUP(fOrcado[[#This Row],[Conta]],'Plano de Contas'!A:A,'Plano de Contas'!D:D)</f>
        <v>05 - Custo do Produto</v>
      </c>
    </row>
    <row r="532" spans="1:5" x14ac:dyDescent="0.25">
      <c r="A532" s="23">
        <f t="shared" si="6"/>
        <v>43556</v>
      </c>
      <c r="B532" s="5" t="s">
        <v>161</v>
      </c>
      <c r="C532" s="5">
        <v>-103843</v>
      </c>
      <c r="D532" s="5" t="str">
        <f>_xlfn.XLOOKUP(fOrcado[[#This Row],[Conta]],'Plano de Contas'!A:A,'Plano de Contas'!C:C)</f>
        <v>(-) Custos de Vendas</v>
      </c>
      <c r="E532" s="5" t="str">
        <f>_xlfn.XLOOKUP(fOrcado[[#This Row],[Conta]],'Plano de Contas'!A:A,'Plano de Contas'!D:D)</f>
        <v>05 - Custo do Produto</v>
      </c>
    </row>
    <row r="533" spans="1:5" x14ac:dyDescent="0.25">
      <c r="A533" s="23">
        <f t="shared" si="6"/>
        <v>43556</v>
      </c>
      <c r="B533" s="5" t="s">
        <v>162</v>
      </c>
      <c r="C533" s="5">
        <v>-136074</v>
      </c>
      <c r="D533" s="5" t="str">
        <f>_xlfn.XLOOKUP(fOrcado[[#This Row],[Conta]],'Plano de Contas'!A:A,'Plano de Contas'!C:C)</f>
        <v>(-) Custos de Vendas</v>
      </c>
      <c r="E533" s="5" t="str">
        <f>_xlfn.XLOOKUP(fOrcado[[#This Row],[Conta]],'Plano de Contas'!A:A,'Plano de Contas'!D:D)</f>
        <v>05 - Custo do Produto</v>
      </c>
    </row>
    <row r="534" spans="1:5" x14ac:dyDescent="0.25">
      <c r="A534" s="23">
        <f t="shared" si="6"/>
        <v>43556</v>
      </c>
      <c r="B534" s="5" t="s">
        <v>163</v>
      </c>
      <c r="C534" s="5">
        <v>-227677</v>
      </c>
      <c r="D534" s="5" t="str">
        <f>_xlfn.XLOOKUP(fOrcado[[#This Row],[Conta]],'Plano de Contas'!A:A,'Plano de Contas'!C:C)</f>
        <v>(-) Custos de Vendas</v>
      </c>
      <c r="E534" s="5" t="str">
        <f>_xlfn.XLOOKUP(fOrcado[[#This Row],[Conta]],'Plano de Contas'!A:A,'Plano de Contas'!D:D)</f>
        <v>05 - Custo do Produto</v>
      </c>
    </row>
    <row r="535" spans="1:5" x14ac:dyDescent="0.25">
      <c r="A535" s="23">
        <f t="shared" si="6"/>
        <v>43556</v>
      </c>
      <c r="B535" s="5" t="s">
        <v>164</v>
      </c>
      <c r="C535" s="5">
        <v>-55822</v>
      </c>
      <c r="D535" s="5" t="str">
        <f>_xlfn.XLOOKUP(fOrcado[[#This Row],[Conta]],'Plano de Contas'!A:A,'Plano de Contas'!C:C)</f>
        <v>(-) Custos de Vendas</v>
      </c>
      <c r="E535" s="5" t="str">
        <f>_xlfn.XLOOKUP(fOrcado[[#This Row],[Conta]],'Plano de Contas'!A:A,'Plano de Contas'!D:D)</f>
        <v>06 - Outros Custos</v>
      </c>
    </row>
    <row r="536" spans="1:5" x14ac:dyDescent="0.25">
      <c r="A536" s="23">
        <f t="shared" si="6"/>
        <v>43556</v>
      </c>
      <c r="B536" s="5" t="s">
        <v>165</v>
      </c>
      <c r="C536" s="5">
        <v>-91747</v>
      </c>
      <c r="D536" s="5" t="str">
        <f>_xlfn.XLOOKUP(fOrcado[[#This Row],[Conta]],'Plano de Contas'!A:A,'Plano de Contas'!C:C)</f>
        <v>(-) Custos de Vendas</v>
      </c>
      <c r="E536" s="5" t="str">
        <f>_xlfn.XLOOKUP(fOrcado[[#This Row],[Conta]],'Plano de Contas'!A:A,'Plano de Contas'!D:D)</f>
        <v>06 - Outros Custos</v>
      </c>
    </row>
    <row r="537" spans="1:5" x14ac:dyDescent="0.25">
      <c r="A537" s="23">
        <f t="shared" si="6"/>
        <v>43556</v>
      </c>
      <c r="B537" s="5" t="s">
        <v>166</v>
      </c>
      <c r="C537" s="5">
        <v>-93287</v>
      </c>
      <c r="D537" s="5" t="str">
        <f>_xlfn.XLOOKUP(fOrcado[[#This Row],[Conta]],'Plano de Contas'!A:A,'Plano de Contas'!C:C)</f>
        <v>(-) Custos de Vendas</v>
      </c>
      <c r="E537" s="5" t="str">
        <f>_xlfn.XLOOKUP(fOrcado[[#This Row],[Conta]],'Plano de Contas'!A:A,'Plano de Contas'!D:D)</f>
        <v>06 - Outros Custos</v>
      </c>
    </row>
    <row r="538" spans="1:5" x14ac:dyDescent="0.25">
      <c r="A538" s="23">
        <f t="shared" si="6"/>
        <v>43556</v>
      </c>
      <c r="B538" s="5" t="s">
        <v>167</v>
      </c>
      <c r="C538" s="5">
        <v>-373534</v>
      </c>
      <c r="D538" s="5" t="str">
        <f>_xlfn.XLOOKUP(fOrcado[[#This Row],[Conta]],'Plano de Contas'!A:A,'Plano de Contas'!C:C)</f>
        <v>(-) Despesas Gerais</v>
      </c>
      <c r="E538" s="5" t="str">
        <f>_xlfn.XLOOKUP(fOrcado[[#This Row],[Conta]],'Plano de Contas'!A:A,'Plano de Contas'!D:D)</f>
        <v>07 - Despesas Administrativas</v>
      </c>
    </row>
    <row r="539" spans="1:5" x14ac:dyDescent="0.25">
      <c r="A539" s="23">
        <f t="shared" si="6"/>
        <v>43556</v>
      </c>
      <c r="B539" s="5" t="s">
        <v>168</v>
      </c>
      <c r="C539" s="5">
        <v>-150583</v>
      </c>
      <c r="D539" s="5" t="str">
        <f>_xlfn.XLOOKUP(fOrcado[[#This Row],[Conta]],'Plano de Contas'!A:A,'Plano de Contas'!C:C)</f>
        <v>(-) Despesas Gerais</v>
      </c>
      <c r="E539" s="5" t="str">
        <f>_xlfn.XLOOKUP(fOrcado[[#This Row],[Conta]],'Plano de Contas'!A:A,'Plano de Contas'!D:D)</f>
        <v>07 - Despesas Administrativas</v>
      </c>
    </row>
    <row r="540" spans="1:5" x14ac:dyDescent="0.25">
      <c r="A540" s="23">
        <f t="shared" si="6"/>
        <v>43556</v>
      </c>
      <c r="B540" s="5" t="s">
        <v>169</v>
      </c>
      <c r="C540" s="5">
        <v>-386469</v>
      </c>
      <c r="D540" s="5" t="str">
        <f>_xlfn.XLOOKUP(fOrcado[[#This Row],[Conta]],'Plano de Contas'!A:A,'Plano de Contas'!C:C)</f>
        <v>(-) Despesas Gerais</v>
      </c>
      <c r="E540" s="5" t="str">
        <f>_xlfn.XLOOKUP(fOrcado[[#This Row],[Conta]],'Plano de Contas'!A:A,'Plano de Contas'!D:D)</f>
        <v>07 - Despesas Administrativas</v>
      </c>
    </row>
    <row r="541" spans="1:5" x14ac:dyDescent="0.25">
      <c r="A541" s="23">
        <f t="shared" si="6"/>
        <v>43556</v>
      </c>
      <c r="B541" s="5" t="s">
        <v>170</v>
      </c>
      <c r="C541" s="5">
        <v>-341876</v>
      </c>
      <c r="D541" s="5" t="str">
        <f>_xlfn.XLOOKUP(fOrcado[[#This Row],[Conta]],'Plano de Contas'!A:A,'Plano de Contas'!C:C)</f>
        <v>(-) Despesas Gerais</v>
      </c>
      <c r="E541" s="5" t="str">
        <f>_xlfn.XLOOKUP(fOrcado[[#This Row],[Conta]],'Plano de Contas'!A:A,'Plano de Contas'!D:D)</f>
        <v>07 - Despesas Administrativas</v>
      </c>
    </row>
    <row r="542" spans="1:5" x14ac:dyDescent="0.25">
      <c r="A542" s="23">
        <f t="shared" si="6"/>
        <v>43556</v>
      </c>
      <c r="B542" s="5" t="s">
        <v>171</v>
      </c>
      <c r="C542" s="5">
        <v>-374501</v>
      </c>
      <c r="D542" s="5" t="str">
        <f>_xlfn.XLOOKUP(fOrcado[[#This Row],[Conta]],'Plano de Contas'!A:A,'Plano de Contas'!C:C)</f>
        <v>(-) Despesas Gerais</v>
      </c>
      <c r="E542" s="5" t="str">
        <f>_xlfn.XLOOKUP(fOrcado[[#This Row],[Conta]],'Plano de Contas'!A:A,'Plano de Contas'!D:D)</f>
        <v>07 - Despesas Administrativas</v>
      </c>
    </row>
    <row r="543" spans="1:5" x14ac:dyDescent="0.25">
      <c r="A543" s="23">
        <f t="shared" si="6"/>
        <v>43556</v>
      </c>
      <c r="B543" s="5" t="s">
        <v>172</v>
      </c>
      <c r="C543" s="5">
        <v>-307717</v>
      </c>
      <c r="D543" s="5" t="str">
        <f>_xlfn.XLOOKUP(fOrcado[[#This Row],[Conta]],'Plano de Contas'!A:A,'Plano de Contas'!C:C)</f>
        <v>(-) Despesas Gerais</v>
      </c>
      <c r="E543" s="5" t="str">
        <f>_xlfn.XLOOKUP(fOrcado[[#This Row],[Conta]],'Plano de Contas'!A:A,'Plano de Contas'!D:D)</f>
        <v>07 - Despesas Administrativas</v>
      </c>
    </row>
    <row r="544" spans="1:5" x14ac:dyDescent="0.25">
      <c r="A544" s="23">
        <f t="shared" si="6"/>
        <v>43556</v>
      </c>
      <c r="B544" s="5" t="s">
        <v>173</v>
      </c>
      <c r="C544" s="5">
        <v>-45837</v>
      </c>
      <c r="D544" s="5" t="str">
        <f>_xlfn.XLOOKUP(fOrcado[[#This Row],[Conta]],'Plano de Contas'!A:A,'Plano de Contas'!C:C)</f>
        <v>(-) Despesas Gerais</v>
      </c>
      <c r="E544" s="5" t="str">
        <f>_xlfn.XLOOKUP(fOrcado[[#This Row],[Conta]],'Plano de Contas'!A:A,'Plano de Contas'!D:D)</f>
        <v>08 - Despesas Financeiras</v>
      </c>
    </row>
    <row r="545" spans="1:5" x14ac:dyDescent="0.25">
      <c r="A545" s="23">
        <f t="shared" si="6"/>
        <v>43556</v>
      </c>
      <c r="B545" s="5" t="s">
        <v>174</v>
      </c>
      <c r="C545" s="5">
        <v>-51845</v>
      </c>
      <c r="D545" s="5" t="str">
        <f>_xlfn.XLOOKUP(fOrcado[[#This Row],[Conta]],'Plano de Contas'!A:A,'Plano de Contas'!C:C)</f>
        <v>(-) Despesas Gerais</v>
      </c>
      <c r="E545" s="5" t="str">
        <f>_xlfn.XLOOKUP(fOrcado[[#This Row],[Conta]],'Plano de Contas'!A:A,'Plano de Contas'!D:D)</f>
        <v>08 - Despesas Financeiras</v>
      </c>
    </row>
    <row r="546" spans="1:5" x14ac:dyDescent="0.25">
      <c r="A546" s="23">
        <f t="shared" si="6"/>
        <v>43556</v>
      </c>
      <c r="B546" s="5" t="s">
        <v>175</v>
      </c>
      <c r="C546" s="5">
        <v>-46519</v>
      </c>
      <c r="D546" s="5" t="str">
        <f>_xlfn.XLOOKUP(fOrcado[[#This Row],[Conta]],'Plano de Contas'!A:A,'Plano de Contas'!C:C)</f>
        <v>(-) Despesas Gerais</v>
      </c>
      <c r="E546" s="5" t="str">
        <f>_xlfn.XLOOKUP(fOrcado[[#This Row],[Conta]],'Plano de Contas'!A:A,'Plano de Contas'!D:D)</f>
        <v>08 - Despesas Financeiras</v>
      </c>
    </row>
    <row r="547" spans="1:5" x14ac:dyDescent="0.25">
      <c r="A547" s="23">
        <f t="shared" si="6"/>
        <v>43556</v>
      </c>
      <c r="B547" s="5" t="s">
        <v>176</v>
      </c>
      <c r="C547" s="5">
        <v>-57701</v>
      </c>
      <c r="D547" s="5" t="str">
        <f>_xlfn.XLOOKUP(fOrcado[[#This Row],[Conta]],'Plano de Contas'!A:A,'Plano de Contas'!C:C)</f>
        <v>(-) Despesas Gerais</v>
      </c>
      <c r="E547" s="5" t="str">
        <f>_xlfn.XLOOKUP(fOrcado[[#This Row],[Conta]],'Plano de Contas'!A:A,'Plano de Contas'!D:D)</f>
        <v>08 - Despesas Financeiras</v>
      </c>
    </row>
    <row r="548" spans="1:5" x14ac:dyDescent="0.25">
      <c r="A548" s="23">
        <f t="shared" si="6"/>
        <v>43556</v>
      </c>
      <c r="B548" s="5" t="s">
        <v>177</v>
      </c>
      <c r="C548" s="5">
        <v>-54383</v>
      </c>
      <c r="D548" s="5" t="str">
        <f>_xlfn.XLOOKUP(fOrcado[[#This Row],[Conta]],'Plano de Contas'!A:A,'Plano de Contas'!C:C)</f>
        <v>(-) Despesas Gerais</v>
      </c>
      <c r="E548" s="5" t="str">
        <f>_xlfn.XLOOKUP(fOrcado[[#This Row],[Conta]],'Plano de Contas'!A:A,'Plano de Contas'!D:D)</f>
        <v>08 - Despesas Financeiras</v>
      </c>
    </row>
    <row r="549" spans="1:5" x14ac:dyDescent="0.25">
      <c r="A549" s="23">
        <f t="shared" si="6"/>
        <v>43556</v>
      </c>
      <c r="B549" s="5" t="s">
        <v>178</v>
      </c>
      <c r="C549" s="5">
        <v>-171666</v>
      </c>
      <c r="D549" s="5" t="str">
        <f>_xlfn.XLOOKUP(fOrcado[[#This Row],[Conta]],'Plano de Contas'!A:A,'Plano de Contas'!C:C)</f>
        <v>(-) Despesas Gerais</v>
      </c>
      <c r="E549" s="5" t="str">
        <f>_xlfn.XLOOKUP(fOrcado[[#This Row],[Conta]],'Plano de Contas'!A:A,'Plano de Contas'!D:D)</f>
        <v>09 - Tecnologia da Informação</v>
      </c>
    </row>
    <row r="550" spans="1:5" x14ac:dyDescent="0.25">
      <c r="A550" s="23">
        <f t="shared" si="6"/>
        <v>43556</v>
      </c>
      <c r="B550" s="5" t="s">
        <v>179</v>
      </c>
      <c r="C550" s="5">
        <v>-217829</v>
      </c>
      <c r="D550" s="5" t="str">
        <f>_xlfn.XLOOKUP(fOrcado[[#This Row],[Conta]],'Plano de Contas'!A:A,'Plano de Contas'!C:C)</f>
        <v>(-) Despesas Gerais</v>
      </c>
      <c r="E550" s="5" t="str">
        <f>_xlfn.XLOOKUP(fOrcado[[#This Row],[Conta]],'Plano de Contas'!A:A,'Plano de Contas'!D:D)</f>
        <v>09 - Tecnologia da Informação</v>
      </c>
    </row>
    <row r="551" spans="1:5" x14ac:dyDescent="0.25">
      <c r="A551" s="23">
        <f t="shared" si="6"/>
        <v>43556</v>
      </c>
      <c r="B551" s="5" t="s">
        <v>180</v>
      </c>
      <c r="C551" s="5">
        <v>-265483</v>
      </c>
      <c r="D551" s="5" t="str">
        <f>_xlfn.XLOOKUP(fOrcado[[#This Row],[Conta]],'Plano de Contas'!A:A,'Plano de Contas'!C:C)</f>
        <v>(-) Despesas Gerais</v>
      </c>
      <c r="E551" s="5" t="str">
        <f>_xlfn.XLOOKUP(fOrcado[[#This Row],[Conta]],'Plano de Contas'!A:A,'Plano de Contas'!D:D)</f>
        <v>09 - Tecnologia da Informação</v>
      </c>
    </row>
    <row r="552" spans="1:5" x14ac:dyDescent="0.25">
      <c r="A552" s="23">
        <f t="shared" si="6"/>
        <v>43556</v>
      </c>
      <c r="B552" s="5" t="s">
        <v>181</v>
      </c>
      <c r="C552" s="5">
        <v>-62832</v>
      </c>
      <c r="D552" s="5" t="str">
        <f>_xlfn.XLOOKUP(fOrcado[[#This Row],[Conta]],'Plano de Contas'!A:A,'Plano de Contas'!C:C)</f>
        <v>(-) Despesas Gerais</v>
      </c>
      <c r="E552" s="5" t="str">
        <f>_xlfn.XLOOKUP(fOrcado[[#This Row],[Conta]],'Plano de Contas'!A:A,'Plano de Contas'!D:D)</f>
        <v>10 - Recursos Humanos</v>
      </c>
    </row>
    <row r="553" spans="1:5" x14ac:dyDescent="0.25">
      <c r="A553" s="23">
        <f t="shared" si="6"/>
        <v>43556</v>
      </c>
      <c r="B553" s="5" t="s">
        <v>182</v>
      </c>
      <c r="C553" s="5">
        <v>-61689</v>
      </c>
      <c r="D553" s="5" t="str">
        <f>_xlfn.XLOOKUP(fOrcado[[#This Row],[Conta]],'Plano de Contas'!A:A,'Plano de Contas'!C:C)</f>
        <v>(-) Despesas Gerais</v>
      </c>
      <c r="E553" s="5" t="str">
        <f>_xlfn.XLOOKUP(fOrcado[[#This Row],[Conta]],'Plano de Contas'!A:A,'Plano de Contas'!D:D)</f>
        <v>10 - Recursos Humanos</v>
      </c>
    </row>
    <row r="554" spans="1:5" x14ac:dyDescent="0.25">
      <c r="A554" s="23">
        <f t="shared" si="6"/>
        <v>43556</v>
      </c>
      <c r="B554" s="5" t="s">
        <v>183</v>
      </c>
      <c r="C554" s="5">
        <v>-67176</v>
      </c>
      <c r="D554" s="5" t="str">
        <f>_xlfn.XLOOKUP(fOrcado[[#This Row],[Conta]],'Plano de Contas'!A:A,'Plano de Contas'!C:C)</f>
        <v>(-) Despesas Gerais</v>
      </c>
      <c r="E554" s="5" t="str">
        <f>_xlfn.XLOOKUP(fOrcado[[#This Row],[Conta]],'Plano de Contas'!A:A,'Plano de Contas'!D:D)</f>
        <v>10 - Recursos Humanos</v>
      </c>
    </row>
    <row r="555" spans="1:5" x14ac:dyDescent="0.25">
      <c r="A555" s="23">
        <f t="shared" si="6"/>
        <v>43556</v>
      </c>
      <c r="B555" s="5" t="s">
        <v>184</v>
      </c>
      <c r="C555" s="5">
        <v>-64893</v>
      </c>
      <c r="D555" s="5" t="str">
        <f>_xlfn.XLOOKUP(fOrcado[[#This Row],[Conta]],'Plano de Contas'!A:A,'Plano de Contas'!C:C)</f>
        <v>(-) Despesas Gerais</v>
      </c>
      <c r="E555" s="5" t="str">
        <f>_xlfn.XLOOKUP(fOrcado[[#This Row],[Conta]],'Plano de Contas'!A:A,'Plano de Contas'!D:D)</f>
        <v>10 - Recursos Humanos</v>
      </c>
    </row>
    <row r="556" spans="1:5" x14ac:dyDescent="0.25">
      <c r="A556" s="23">
        <f t="shared" si="6"/>
        <v>43556</v>
      </c>
      <c r="B556" s="5" t="s">
        <v>185</v>
      </c>
      <c r="C556" s="5">
        <v>-107845</v>
      </c>
      <c r="D556" s="5" t="str">
        <f>_xlfn.XLOOKUP(fOrcado[[#This Row],[Conta]],'Plano de Contas'!A:A,'Plano de Contas'!C:C)</f>
        <v>(-) Despesas Gerais</v>
      </c>
      <c r="E556" s="5" t="str">
        <f>_xlfn.XLOOKUP(fOrcado[[#This Row],[Conta]],'Plano de Contas'!A:A,'Plano de Contas'!D:D)</f>
        <v>11 - Relacionamento com Cliente</v>
      </c>
    </row>
    <row r="557" spans="1:5" x14ac:dyDescent="0.25">
      <c r="A557" s="23">
        <f t="shared" si="6"/>
        <v>43556</v>
      </c>
      <c r="B557" s="5" t="s">
        <v>186</v>
      </c>
      <c r="C557" s="5">
        <v>-110325</v>
      </c>
      <c r="D557" s="5" t="str">
        <f>_xlfn.XLOOKUP(fOrcado[[#This Row],[Conta]],'Plano de Contas'!A:A,'Plano de Contas'!C:C)</f>
        <v>(-) Despesas Gerais</v>
      </c>
      <c r="E557" s="5" t="str">
        <f>_xlfn.XLOOKUP(fOrcado[[#This Row],[Conta]],'Plano de Contas'!A:A,'Plano de Contas'!D:D)</f>
        <v>11 - Relacionamento com Cliente</v>
      </c>
    </row>
    <row r="558" spans="1:5" x14ac:dyDescent="0.25">
      <c r="A558" s="23">
        <f t="shared" si="6"/>
        <v>43556</v>
      </c>
      <c r="B558" s="5" t="s">
        <v>187</v>
      </c>
      <c r="C558" s="5">
        <v>-196973</v>
      </c>
      <c r="D558" s="5" t="str">
        <f>_xlfn.XLOOKUP(fOrcado[[#This Row],[Conta]],'Plano de Contas'!A:A,'Plano de Contas'!C:C)</f>
        <v>(-) Despesas Gerais</v>
      </c>
      <c r="E558" s="5" t="str">
        <f>_xlfn.XLOOKUP(fOrcado[[#This Row],[Conta]],'Plano de Contas'!A:A,'Plano de Contas'!D:D)</f>
        <v>12 - Marketing e Divulgação</v>
      </c>
    </row>
    <row r="559" spans="1:5" x14ac:dyDescent="0.25">
      <c r="A559" s="23">
        <f t="shared" si="6"/>
        <v>43556</v>
      </c>
      <c r="B559" s="5" t="s">
        <v>188</v>
      </c>
      <c r="C559" s="5">
        <v>-116802</v>
      </c>
      <c r="D559" s="5" t="str">
        <f>_xlfn.XLOOKUP(fOrcado[[#This Row],[Conta]],'Plano de Contas'!A:A,'Plano de Contas'!C:C)</f>
        <v>(-) Despesas Gerais</v>
      </c>
      <c r="E559" s="5" t="str">
        <f>_xlfn.XLOOKUP(fOrcado[[#This Row],[Conta]],'Plano de Contas'!A:A,'Plano de Contas'!D:D)</f>
        <v>12 - Marketing e Divulgação</v>
      </c>
    </row>
    <row r="560" spans="1:5" x14ac:dyDescent="0.25">
      <c r="A560" s="23">
        <f t="shared" si="6"/>
        <v>43556</v>
      </c>
      <c r="B560" s="5" t="s">
        <v>189</v>
      </c>
      <c r="C560" s="5">
        <v>-8913</v>
      </c>
      <c r="D560" s="5" t="str">
        <f>_xlfn.XLOOKUP(fOrcado[[#This Row],[Conta]],'Plano de Contas'!A:A,'Plano de Contas'!C:C)</f>
        <v>(-) Impostos</v>
      </c>
      <c r="E560" s="5" t="str">
        <f>_xlfn.XLOOKUP(fOrcado[[#This Row],[Conta]],'Plano de Contas'!A:A,'Plano de Contas'!D:D)</f>
        <v>13 - Impostos Estaduais</v>
      </c>
    </row>
    <row r="561" spans="1:5" x14ac:dyDescent="0.25">
      <c r="A561" s="23">
        <f t="shared" si="6"/>
        <v>43556</v>
      </c>
      <c r="B561" s="5" t="s">
        <v>190</v>
      </c>
      <c r="C561" s="5">
        <v>-15702</v>
      </c>
      <c r="D561" s="5" t="str">
        <f>_xlfn.XLOOKUP(fOrcado[[#This Row],[Conta]],'Plano de Contas'!A:A,'Plano de Contas'!C:C)</f>
        <v>(-) Impostos</v>
      </c>
      <c r="E561" s="5" t="str">
        <f>_xlfn.XLOOKUP(fOrcado[[#This Row],[Conta]],'Plano de Contas'!A:A,'Plano de Contas'!D:D)</f>
        <v>14 - Impostos Federais</v>
      </c>
    </row>
    <row r="562" spans="1:5" x14ac:dyDescent="0.25">
      <c r="A562" s="23">
        <f t="shared" si="6"/>
        <v>43586</v>
      </c>
      <c r="B562" s="5" t="s">
        <v>51</v>
      </c>
      <c r="C562" s="5">
        <v>507817</v>
      </c>
      <c r="D562" s="5" t="str">
        <f>_xlfn.XLOOKUP(fOrcado[[#This Row],[Conta]],'Plano de Contas'!A:A,'Plano de Contas'!C:C)</f>
        <v>(+) RECEITA BRUTA</v>
      </c>
      <c r="E562" s="5" t="str">
        <f>_xlfn.XLOOKUP(fOrcado[[#This Row],[Conta]],'Plano de Contas'!A:A,'Plano de Contas'!D:D)</f>
        <v>01 - Vendas de Produtos</v>
      </c>
    </row>
    <row r="563" spans="1:5" x14ac:dyDescent="0.25">
      <c r="A563" s="23">
        <f t="shared" si="6"/>
        <v>43586</v>
      </c>
      <c r="B563" s="5" t="s">
        <v>52</v>
      </c>
      <c r="C563" s="5">
        <v>285441</v>
      </c>
      <c r="D563" s="5" t="str">
        <f>_xlfn.XLOOKUP(fOrcado[[#This Row],[Conta]],'Plano de Contas'!A:A,'Plano de Contas'!C:C)</f>
        <v>(+) RECEITA BRUTA</v>
      </c>
      <c r="E563" s="5" t="str">
        <f>_xlfn.XLOOKUP(fOrcado[[#This Row],[Conta]],'Plano de Contas'!A:A,'Plano de Contas'!D:D)</f>
        <v>01 - Vendas de Produtos</v>
      </c>
    </row>
    <row r="564" spans="1:5" x14ac:dyDescent="0.25">
      <c r="A564" s="23">
        <f t="shared" si="6"/>
        <v>43586</v>
      </c>
      <c r="B564" s="5" t="s">
        <v>53</v>
      </c>
      <c r="C564" s="5">
        <v>347470</v>
      </c>
      <c r="D564" s="5" t="str">
        <f>_xlfn.XLOOKUP(fOrcado[[#This Row],[Conta]],'Plano de Contas'!A:A,'Plano de Contas'!C:C)</f>
        <v>(+) RECEITA BRUTA</v>
      </c>
      <c r="E564" s="5" t="str">
        <f>_xlfn.XLOOKUP(fOrcado[[#This Row],[Conta]],'Plano de Contas'!A:A,'Plano de Contas'!D:D)</f>
        <v>01 - Vendas de Produtos</v>
      </c>
    </row>
    <row r="565" spans="1:5" x14ac:dyDescent="0.25">
      <c r="A565" s="23">
        <f t="shared" si="6"/>
        <v>43586</v>
      </c>
      <c r="B565" s="5" t="s">
        <v>54</v>
      </c>
      <c r="C565" s="5">
        <v>465705</v>
      </c>
      <c r="D565" s="5" t="str">
        <f>_xlfn.XLOOKUP(fOrcado[[#This Row],[Conta]],'Plano de Contas'!A:A,'Plano de Contas'!C:C)</f>
        <v>(+) RECEITA BRUTA</v>
      </c>
      <c r="E565" s="5" t="str">
        <f>_xlfn.XLOOKUP(fOrcado[[#This Row],[Conta]],'Plano de Contas'!A:A,'Plano de Contas'!D:D)</f>
        <v>01 - Vendas de Produtos</v>
      </c>
    </row>
    <row r="566" spans="1:5" x14ac:dyDescent="0.25">
      <c r="A566" s="23">
        <f t="shared" si="6"/>
        <v>43586</v>
      </c>
      <c r="B566" s="5" t="s">
        <v>55</v>
      </c>
      <c r="C566" s="5">
        <v>696490</v>
      </c>
      <c r="D566" s="5" t="str">
        <f>_xlfn.XLOOKUP(fOrcado[[#This Row],[Conta]],'Plano de Contas'!A:A,'Plano de Contas'!C:C)</f>
        <v>(+) RECEITA BRUTA</v>
      </c>
      <c r="E566" s="5" t="str">
        <f>_xlfn.XLOOKUP(fOrcado[[#This Row],[Conta]],'Plano de Contas'!A:A,'Plano de Contas'!D:D)</f>
        <v>01 - Vendas de Produtos</v>
      </c>
    </row>
    <row r="567" spans="1:5" x14ac:dyDescent="0.25">
      <c r="A567" s="23">
        <f t="shared" si="6"/>
        <v>43586</v>
      </c>
      <c r="B567" s="5" t="s">
        <v>56</v>
      </c>
      <c r="C567" s="5">
        <v>921980</v>
      </c>
      <c r="D567" s="5" t="str">
        <f>_xlfn.XLOOKUP(fOrcado[[#This Row],[Conta]],'Plano de Contas'!A:A,'Plano de Contas'!C:C)</f>
        <v>(+) RECEITA BRUTA</v>
      </c>
      <c r="E567" s="5" t="str">
        <f>_xlfn.XLOOKUP(fOrcado[[#This Row],[Conta]],'Plano de Contas'!A:A,'Plano de Contas'!D:D)</f>
        <v>01 - Vendas de Produtos</v>
      </c>
    </row>
    <row r="568" spans="1:5" x14ac:dyDescent="0.25">
      <c r="A568" s="23">
        <f t="shared" si="6"/>
        <v>43586</v>
      </c>
      <c r="B568" s="5" t="s">
        <v>57</v>
      </c>
      <c r="C568" s="5">
        <v>653661</v>
      </c>
      <c r="D568" s="5" t="str">
        <f>_xlfn.XLOOKUP(fOrcado[[#This Row],[Conta]],'Plano de Contas'!A:A,'Plano de Contas'!C:C)</f>
        <v>(+) RECEITA BRUTA</v>
      </c>
      <c r="E568" s="5" t="str">
        <f>_xlfn.XLOOKUP(fOrcado[[#This Row],[Conta]],'Plano de Contas'!A:A,'Plano de Contas'!D:D)</f>
        <v>01 - Vendas de Produtos</v>
      </c>
    </row>
    <row r="569" spans="1:5" x14ac:dyDescent="0.25">
      <c r="A569" s="23">
        <f t="shared" si="6"/>
        <v>43586</v>
      </c>
      <c r="B569" s="5" t="s">
        <v>58</v>
      </c>
      <c r="C569" s="5">
        <v>667665</v>
      </c>
      <c r="D569" s="5" t="str">
        <f>_xlfn.XLOOKUP(fOrcado[[#This Row],[Conta]],'Plano de Contas'!A:A,'Plano de Contas'!C:C)</f>
        <v>(+) RECEITA BRUTA</v>
      </c>
      <c r="E569" s="5" t="str">
        <f>_xlfn.XLOOKUP(fOrcado[[#This Row],[Conta]],'Plano de Contas'!A:A,'Plano de Contas'!D:D)</f>
        <v>01 - Vendas de Produtos</v>
      </c>
    </row>
    <row r="570" spans="1:5" x14ac:dyDescent="0.25">
      <c r="A570" s="23">
        <f t="shared" si="6"/>
        <v>43586</v>
      </c>
      <c r="B570" s="5" t="s">
        <v>59</v>
      </c>
      <c r="C570" s="5">
        <v>962290</v>
      </c>
      <c r="D570" s="5" t="str">
        <f>_xlfn.XLOOKUP(fOrcado[[#This Row],[Conta]],'Plano de Contas'!A:A,'Plano de Contas'!C:C)</f>
        <v>(+) RECEITA BRUTA</v>
      </c>
      <c r="E570" s="5" t="str">
        <f>_xlfn.XLOOKUP(fOrcado[[#This Row],[Conta]],'Plano de Contas'!A:A,'Plano de Contas'!D:D)</f>
        <v>01 - Vendas de Produtos</v>
      </c>
    </row>
    <row r="571" spans="1:5" x14ac:dyDescent="0.25">
      <c r="A571" s="23">
        <f t="shared" si="6"/>
        <v>43586</v>
      </c>
      <c r="B571" s="5" t="s">
        <v>60</v>
      </c>
      <c r="C571" s="5">
        <v>275256</v>
      </c>
      <c r="D571" s="5" t="str">
        <f>_xlfn.XLOOKUP(fOrcado[[#This Row],[Conta]],'Plano de Contas'!A:A,'Plano de Contas'!C:C)</f>
        <v>(+) RECEITA BRUTA</v>
      </c>
      <c r="E571" s="5" t="str">
        <f>_xlfn.XLOOKUP(fOrcado[[#This Row],[Conta]],'Plano de Contas'!A:A,'Plano de Contas'!D:D)</f>
        <v>01 - Vendas de Produtos</v>
      </c>
    </row>
    <row r="572" spans="1:5" x14ac:dyDescent="0.25">
      <c r="A572" s="23">
        <f t="shared" si="6"/>
        <v>43586</v>
      </c>
      <c r="B572" s="5" t="s">
        <v>61</v>
      </c>
      <c r="C572" s="5">
        <v>823154</v>
      </c>
      <c r="D572" s="5" t="str">
        <f>_xlfn.XLOOKUP(fOrcado[[#This Row],[Conta]],'Plano de Contas'!A:A,'Plano de Contas'!C:C)</f>
        <v>(+) RECEITA BRUTA</v>
      </c>
      <c r="E572" s="5" t="str">
        <f>_xlfn.XLOOKUP(fOrcado[[#This Row],[Conta]],'Plano de Contas'!A:A,'Plano de Contas'!D:D)</f>
        <v>01 - Vendas de Produtos</v>
      </c>
    </row>
    <row r="573" spans="1:5" x14ac:dyDescent="0.25">
      <c r="A573" s="23">
        <f t="shared" si="6"/>
        <v>43586</v>
      </c>
      <c r="B573" s="5" t="s">
        <v>62</v>
      </c>
      <c r="C573" s="5">
        <v>532717</v>
      </c>
      <c r="D573" s="5" t="str">
        <f>_xlfn.XLOOKUP(fOrcado[[#This Row],[Conta]],'Plano de Contas'!A:A,'Plano de Contas'!C:C)</f>
        <v>(+) RECEITA BRUTA</v>
      </c>
      <c r="E573" s="5" t="str">
        <f>_xlfn.XLOOKUP(fOrcado[[#This Row],[Conta]],'Plano de Contas'!A:A,'Plano de Contas'!D:D)</f>
        <v>01 - Vendas de Produtos</v>
      </c>
    </row>
    <row r="574" spans="1:5" x14ac:dyDescent="0.25">
      <c r="A574" s="23">
        <f t="shared" si="6"/>
        <v>43586</v>
      </c>
      <c r="B574" s="5" t="s">
        <v>63</v>
      </c>
      <c r="C574" s="5">
        <v>607325</v>
      </c>
      <c r="D574" s="5" t="str">
        <f>_xlfn.XLOOKUP(fOrcado[[#This Row],[Conta]],'Plano de Contas'!A:A,'Plano de Contas'!C:C)</f>
        <v>(+) RECEITA BRUTA</v>
      </c>
      <c r="E574" s="5" t="str">
        <f>_xlfn.XLOOKUP(fOrcado[[#This Row],[Conta]],'Plano de Contas'!A:A,'Plano de Contas'!D:D)</f>
        <v>01 - Vendas de Produtos</v>
      </c>
    </row>
    <row r="575" spans="1:5" x14ac:dyDescent="0.25">
      <c r="A575" s="23">
        <f t="shared" si="6"/>
        <v>43586</v>
      </c>
      <c r="B575" s="5" t="s">
        <v>64</v>
      </c>
      <c r="C575" s="5">
        <v>592612</v>
      </c>
      <c r="D575" s="5" t="str">
        <f>_xlfn.XLOOKUP(fOrcado[[#This Row],[Conta]],'Plano de Contas'!A:A,'Plano de Contas'!C:C)</f>
        <v>(+) RECEITA BRUTA</v>
      </c>
      <c r="E575" s="5" t="str">
        <f>_xlfn.XLOOKUP(fOrcado[[#This Row],[Conta]],'Plano de Contas'!A:A,'Plano de Contas'!D:D)</f>
        <v>01 - Vendas de Produtos</v>
      </c>
    </row>
    <row r="576" spans="1:5" x14ac:dyDescent="0.25">
      <c r="A576" s="23">
        <f t="shared" si="6"/>
        <v>43586</v>
      </c>
      <c r="B576" s="5" t="s">
        <v>65</v>
      </c>
      <c r="C576" s="5">
        <v>928410</v>
      </c>
      <c r="D576" s="5" t="str">
        <f>_xlfn.XLOOKUP(fOrcado[[#This Row],[Conta]],'Plano de Contas'!A:A,'Plano de Contas'!C:C)</f>
        <v>(+) RECEITA BRUTA</v>
      </c>
      <c r="E576" s="5" t="str">
        <f>_xlfn.XLOOKUP(fOrcado[[#This Row],[Conta]],'Plano de Contas'!A:A,'Plano de Contas'!D:D)</f>
        <v>01 - Vendas de Produtos</v>
      </c>
    </row>
    <row r="577" spans="1:5" x14ac:dyDescent="0.25">
      <c r="A577" s="23">
        <f t="shared" si="6"/>
        <v>43586</v>
      </c>
      <c r="B577" s="5" t="s">
        <v>66</v>
      </c>
      <c r="C577" s="5">
        <v>476702</v>
      </c>
      <c r="D577" s="5" t="str">
        <f>_xlfn.XLOOKUP(fOrcado[[#This Row],[Conta]],'Plano de Contas'!A:A,'Plano de Contas'!C:C)</f>
        <v>(+) RECEITA BRUTA</v>
      </c>
      <c r="E577" s="5" t="str">
        <f>_xlfn.XLOOKUP(fOrcado[[#This Row],[Conta]],'Plano de Contas'!A:A,'Plano de Contas'!D:D)</f>
        <v>01 - Vendas de Produtos</v>
      </c>
    </row>
    <row r="578" spans="1:5" x14ac:dyDescent="0.25">
      <c r="A578" s="23">
        <f t="shared" si="6"/>
        <v>43586</v>
      </c>
      <c r="B578" s="5" t="s">
        <v>67</v>
      </c>
      <c r="C578" s="5">
        <v>354258</v>
      </c>
      <c r="D578" s="5" t="str">
        <f>_xlfn.XLOOKUP(fOrcado[[#This Row],[Conta]],'Plano de Contas'!A:A,'Plano de Contas'!C:C)</f>
        <v>(+) RECEITA BRUTA</v>
      </c>
      <c r="E578" s="5" t="str">
        <f>_xlfn.XLOOKUP(fOrcado[[#This Row],[Conta]],'Plano de Contas'!A:A,'Plano de Contas'!D:D)</f>
        <v>01 - Vendas de Produtos</v>
      </c>
    </row>
    <row r="579" spans="1:5" x14ac:dyDescent="0.25">
      <c r="A579" s="23">
        <f t="shared" si="6"/>
        <v>43586</v>
      </c>
      <c r="B579" s="5" t="s">
        <v>68</v>
      </c>
      <c r="C579" s="5">
        <v>995518</v>
      </c>
      <c r="D579" s="5" t="str">
        <f>_xlfn.XLOOKUP(fOrcado[[#This Row],[Conta]],'Plano de Contas'!A:A,'Plano de Contas'!C:C)</f>
        <v>(+) RECEITA BRUTA</v>
      </c>
      <c r="E579" s="5" t="str">
        <f>_xlfn.XLOOKUP(fOrcado[[#This Row],[Conta]],'Plano de Contas'!A:A,'Plano de Contas'!D:D)</f>
        <v>01 - Vendas de Produtos</v>
      </c>
    </row>
    <row r="580" spans="1:5" x14ac:dyDescent="0.25">
      <c r="A580" s="23">
        <f t="shared" si="6"/>
        <v>43586</v>
      </c>
      <c r="B580" s="5" t="s">
        <v>69</v>
      </c>
      <c r="C580" s="5">
        <v>357276</v>
      </c>
      <c r="D580" s="5" t="str">
        <f>_xlfn.XLOOKUP(fOrcado[[#This Row],[Conta]],'Plano de Contas'!A:A,'Plano de Contas'!C:C)</f>
        <v>(+) RECEITA BRUTA</v>
      </c>
      <c r="E580" s="5" t="str">
        <f>_xlfn.XLOOKUP(fOrcado[[#This Row],[Conta]],'Plano de Contas'!A:A,'Plano de Contas'!D:D)</f>
        <v>01 - Vendas de Produtos</v>
      </c>
    </row>
    <row r="581" spans="1:5" x14ac:dyDescent="0.25">
      <c r="A581" s="23">
        <f t="shared" si="6"/>
        <v>43586</v>
      </c>
      <c r="B581" s="5" t="s">
        <v>70</v>
      </c>
      <c r="C581" s="5">
        <v>213246</v>
      </c>
      <c r="D581" s="5" t="str">
        <f>_xlfn.XLOOKUP(fOrcado[[#This Row],[Conta]],'Plano de Contas'!A:A,'Plano de Contas'!C:C)</f>
        <v>(+) RECEITA BRUTA</v>
      </c>
      <c r="E581" s="5" t="str">
        <f>_xlfn.XLOOKUP(fOrcado[[#This Row],[Conta]],'Plano de Contas'!A:A,'Plano de Contas'!D:D)</f>
        <v>01 - Vendas de Produtos</v>
      </c>
    </row>
    <row r="582" spans="1:5" x14ac:dyDescent="0.25">
      <c r="A582" s="23">
        <f t="shared" si="6"/>
        <v>43586</v>
      </c>
      <c r="B582" s="5" t="s">
        <v>71</v>
      </c>
      <c r="C582" s="5">
        <v>742091</v>
      </c>
      <c r="D582" s="5" t="str">
        <f>_xlfn.XLOOKUP(fOrcado[[#This Row],[Conta]],'Plano de Contas'!A:A,'Plano de Contas'!C:C)</f>
        <v>(+) RECEITA BRUTA</v>
      </c>
      <c r="E582" s="5" t="str">
        <f>_xlfn.XLOOKUP(fOrcado[[#This Row],[Conta]],'Plano de Contas'!A:A,'Plano de Contas'!D:D)</f>
        <v>01 - Vendas de Produtos</v>
      </c>
    </row>
    <row r="583" spans="1:5" x14ac:dyDescent="0.25">
      <c r="A583" s="23">
        <f t="shared" si="6"/>
        <v>43586</v>
      </c>
      <c r="B583" s="5" t="s">
        <v>72</v>
      </c>
      <c r="C583" s="5">
        <v>440459</v>
      </c>
      <c r="D583" s="5" t="str">
        <f>_xlfn.XLOOKUP(fOrcado[[#This Row],[Conta]],'Plano de Contas'!A:A,'Plano de Contas'!C:C)</f>
        <v>(+) RECEITA BRUTA</v>
      </c>
      <c r="E583" s="5" t="str">
        <f>_xlfn.XLOOKUP(fOrcado[[#This Row],[Conta]],'Plano de Contas'!A:A,'Plano de Contas'!D:D)</f>
        <v>01 - Vendas de Produtos</v>
      </c>
    </row>
    <row r="584" spans="1:5" x14ac:dyDescent="0.25">
      <c r="A584" s="23">
        <f t="shared" si="6"/>
        <v>43586</v>
      </c>
      <c r="B584" s="5" t="s">
        <v>73</v>
      </c>
      <c r="C584" s="5">
        <v>294934</v>
      </c>
      <c r="D584" s="5" t="str">
        <f>_xlfn.XLOOKUP(fOrcado[[#This Row],[Conta]],'Plano de Contas'!A:A,'Plano de Contas'!C:C)</f>
        <v>(+) RECEITA BRUTA</v>
      </c>
      <c r="E584" s="5" t="str">
        <f>_xlfn.XLOOKUP(fOrcado[[#This Row],[Conta]],'Plano de Contas'!A:A,'Plano de Contas'!D:D)</f>
        <v>01 - Vendas de Produtos</v>
      </c>
    </row>
    <row r="585" spans="1:5" x14ac:dyDescent="0.25">
      <c r="A585" s="23">
        <f t="shared" si="6"/>
        <v>43586</v>
      </c>
      <c r="B585" s="5" t="s">
        <v>74</v>
      </c>
      <c r="C585" s="5">
        <v>141888</v>
      </c>
      <c r="D585" s="5" t="str">
        <f>_xlfn.XLOOKUP(fOrcado[[#This Row],[Conta]],'Plano de Contas'!A:A,'Plano de Contas'!C:C)</f>
        <v>(+) RECEITA BRUTA</v>
      </c>
      <c r="E585" s="5" t="str">
        <f>_xlfn.XLOOKUP(fOrcado[[#This Row],[Conta]],'Plano de Contas'!A:A,'Plano de Contas'!D:D)</f>
        <v>01 - Vendas de Produtos</v>
      </c>
    </row>
    <row r="586" spans="1:5" x14ac:dyDescent="0.25">
      <c r="A586" s="23">
        <f t="shared" si="6"/>
        <v>43586</v>
      </c>
      <c r="B586" s="5" t="s">
        <v>75</v>
      </c>
      <c r="C586" s="5">
        <v>274375</v>
      </c>
      <c r="D586" s="5" t="str">
        <f>_xlfn.XLOOKUP(fOrcado[[#This Row],[Conta]],'Plano de Contas'!A:A,'Plano de Contas'!C:C)</f>
        <v>(+) RECEITA BRUTA</v>
      </c>
      <c r="E586" s="5" t="str">
        <f>_xlfn.XLOOKUP(fOrcado[[#This Row],[Conta]],'Plano de Contas'!A:A,'Plano de Contas'!D:D)</f>
        <v>02 - Outras Receitas</v>
      </c>
    </row>
    <row r="587" spans="1:5" x14ac:dyDescent="0.25">
      <c r="A587" s="23">
        <f t="shared" si="6"/>
        <v>43586</v>
      </c>
      <c r="B587" s="5" t="s">
        <v>76</v>
      </c>
      <c r="C587" s="5">
        <v>178342</v>
      </c>
      <c r="D587" s="5" t="str">
        <f>_xlfn.XLOOKUP(fOrcado[[#This Row],[Conta]],'Plano de Contas'!A:A,'Plano de Contas'!C:C)</f>
        <v>(+) RECEITA BRUTA</v>
      </c>
      <c r="E587" s="5" t="str">
        <f>_xlfn.XLOOKUP(fOrcado[[#This Row],[Conta]],'Plano de Contas'!A:A,'Plano de Contas'!D:D)</f>
        <v>02 - Outras Receitas</v>
      </c>
    </row>
    <row r="588" spans="1:5" x14ac:dyDescent="0.25">
      <c r="A588" s="23">
        <f t="shared" si="6"/>
        <v>43586</v>
      </c>
      <c r="B588" s="5" t="s">
        <v>77</v>
      </c>
      <c r="C588" s="5">
        <v>233873</v>
      </c>
      <c r="D588" s="5" t="str">
        <f>_xlfn.XLOOKUP(fOrcado[[#This Row],[Conta]],'Plano de Contas'!A:A,'Plano de Contas'!C:C)</f>
        <v>(+) RECEITA BRUTA</v>
      </c>
      <c r="E588" s="5" t="str">
        <f>_xlfn.XLOOKUP(fOrcado[[#This Row],[Conta]],'Plano de Contas'!A:A,'Plano de Contas'!D:D)</f>
        <v>02 - Outras Receitas</v>
      </c>
    </row>
    <row r="589" spans="1:5" x14ac:dyDescent="0.25">
      <c r="A589" s="23">
        <f t="shared" si="6"/>
        <v>43586</v>
      </c>
      <c r="B589" s="5" t="s">
        <v>78</v>
      </c>
      <c r="C589" s="5">
        <v>263441</v>
      </c>
      <c r="D589" s="5" t="str">
        <f>_xlfn.XLOOKUP(fOrcado[[#This Row],[Conta]],'Plano de Contas'!A:A,'Plano de Contas'!C:C)</f>
        <v>(+) RECEITA BRUTA</v>
      </c>
      <c r="E589" s="5" t="str">
        <f>_xlfn.XLOOKUP(fOrcado[[#This Row],[Conta]],'Plano de Contas'!A:A,'Plano de Contas'!D:D)</f>
        <v>02 - Outras Receitas</v>
      </c>
    </row>
    <row r="590" spans="1:5" x14ac:dyDescent="0.25">
      <c r="A590" s="23">
        <f t="shared" si="6"/>
        <v>43586</v>
      </c>
      <c r="B590" s="5" t="s">
        <v>79</v>
      </c>
      <c r="C590" s="5">
        <v>178784</v>
      </c>
      <c r="D590" s="5" t="str">
        <f>_xlfn.XLOOKUP(fOrcado[[#This Row],[Conta]],'Plano de Contas'!A:A,'Plano de Contas'!C:C)</f>
        <v>(+) RECEITA BRUTA</v>
      </c>
      <c r="E590" s="5" t="str">
        <f>_xlfn.XLOOKUP(fOrcado[[#This Row],[Conta]],'Plano de Contas'!A:A,'Plano de Contas'!D:D)</f>
        <v>02 - Outras Receitas</v>
      </c>
    </row>
    <row r="591" spans="1:5" x14ac:dyDescent="0.25">
      <c r="A591" s="23">
        <f t="shared" ref="A591:A654" si="7">EDATE(A451,1)</f>
        <v>43586</v>
      </c>
      <c r="B591" s="5" t="s">
        <v>80</v>
      </c>
      <c r="C591" s="5">
        <v>262367</v>
      </c>
      <c r="D591" s="5" t="str">
        <f>_xlfn.XLOOKUP(fOrcado[[#This Row],[Conta]],'Plano de Contas'!A:A,'Plano de Contas'!C:C)</f>
        <v>(+) RECEITA BRUTA</v>
      </c>
      <c r="E591" s="5" t="str">
        <f>_xlfn.XLOOKUP(fOrcado[[#This Row],[Conta]],'Plano de Contas'!A:A,'Plano de Contas'!D:D)</f>
        <v>02 - Outras Receitas</v>
      </c>
    </row>
    <row r="592" spans="1:5" x14ac:dyDescent="0.25">
      <c r="A592" s="23">
        <f t="shared" si="7"/>
        <v>43586</v>
      </c>
      <c r="B592" s="5" t="s">
        <v>81</v>
      </c>
      <c r="C592" s="5">
        <v>124844</v>
      </c>
      <c r="D592" s="5" t="str">
        <f>_xlfn.XLOOKUP(fOrcado[[#This Row],[Conta]],'Plano de Contas'!A:A,'Plano de Contas'!C:C)</f>
        <v>(+) RECEITA BRUTA</v>
      </c>
      <c r="E592" s="5" t="str">
        <f>_xlfn.XLOOKUP(fOrcado[[#This Row],[Conta]],'Plano de Contas'!A:A,'Plano de Contas'!D:D)</f>
        <v>02 - Outras Receitas</v>
      </c>
    </row>
    <row r="593" spans="1:5" x14ac:dyDescent="0.25">
      <c r="A593" s="23">
        <f t="shared" si="7"/>
        <v>43586</v>
      </c>
      <c r="B593" s="5" t="s">
        <v>82</v>
      </c>
      <c r="C593" s="5">
        <v>191305</v>
      </c>
      <c r="D593" s="5" t="str">
        <f>_xlfn.XLOOKUP(fOrcado[[#This Row],[Conta]],'Plano de Contas'!A:A,'Plano de Contas'!C:C)</f>
        <v>(+) RECEITA BRUTA</v>
      </c>
      <c r="E593" s="5" t="str">
        <f>_xlfn.XLOOKUP(fOrcado[[#This Row],[Conta]],'Plano de Contas'!A:A,'Plano de Contas'!D:D)</f>
        <v>02 - Outras Receitas</v>
      </c>
    </row>
    <row r="594" spans="1:5" x14ac:dyDescent="0.25">
      <c r="A594" s="23">
        <f t="shared" si="7"/>
        <v>43586</v>
      </c>
      <c r="B594" s="5" t="s">
        <v>83</v>
      </c>
      <c r="C594" s="5">
        <v>213506</v>
      </c>
      <c r="D594" s="5" t="str">
        <f>_xlfn.XLOOKUP(fOrcado[[#This Row],[Conta]],'Plano de Contas'!A:A,'Plano de Contas'!C:C)</f>
        <v>(+) RECEITA BRUTA</v>
      </c>
      <c r="E594" s="5" t="str">
        <f>_xlfn.XLOOKUP(fOrcado[[#This Row],[Conta]],'Plano de Contas'!A:A,'Plano de Contas'!D:D)</f>
        <v>02 - Outras Receitas</v>
      </c>
    </row>
    <row r="595" spans="1:5" x14ac:dyDescent="0.25">
      <c r="A595" s="23">
        <f t="shared" si="7"/>
        <v>43586</v>
      </c>
      <c r="B595" s="5" t="s">
        <v>84</v>
      </c>
      <c r="C595" s="5">
        <v>99063</v>
      </c>
      <c r="D595" s="5" t="str">
        <f>_xlfn.XLOOKUP(fOrcado[[#This Row],[Conta]],'Plano de Contas'!A:A,'Plano de Contas'!C:C)</f>
        <v>(+) RECEITA BRUTA</v>
      </c>
      <c r="E595" s="5" t="str">
        <f>_xlfn.XLOOKUP(fOrcado[[#This Row],[Conta]],'Plano de Contas'!A:A,'Plano de Contas'!D:D)</f>
        <v>02 - Outras Receitas</v>
      </c>
    </row>
    <row r="596" spans="1:5" x14ac:dyDescent="0.25">
      <c r="A596" s="23">
        <f t="shared" si="7"/>
        <v>43586</v>
      </c>
      <c r="B596" s="5" t="s">
        <v>85</v>
      </c>
      <c r="C596" s="5">
        <v>89638</v>
      </c>
      <c r="D596" s="5" t="str">
        <f>_xlfn.XLOOKUP(fOrcado[[#This Row],[Conta]],'Plano de Contas'!A:A,'Plano de Contas'!C:C)</f>
        <v>(+) RECEITA BRUTA</v>
      </c>
      <c r="E596" s="5" t="str">
        <f>_xlfn.XLOOKUP(fOrcado[[#This Row],[Conta]],'Plano de Contas'!A:A,'Plano de Contas'!D:D)</f>
        <v>02 - Outras Receitas</v>
      </c>
    </row>
    <row r="597" spans="1:5" x14ac:dyDescent="0.25">
      <c r="A597" s="23">
        <f t="shared" si="7"/>
        <v>43586</v>
      </c>
      <c r="B597" s="5" t="s">
        <v>86</v>
      </c>
      <c r="C597" s="5">
        <v>248437</v>
      </c>
      <c r="D597" s="5" t="str">
        <f>_xlfn.XLOOKUP(fOrcado[[#This Row],[Conta]],'Plano de Contas'!A:A,'Plano de Contas'!C:C)</f>
        <v>(+) RECEITA BRUTA</v>
      </c>
      <c r="E597" s="5" t="str">
        <f>_xlfn.XLOOKUP(fOrcado[[#This Row],[Conta]],'Plano de Contas'!A:A,'Plano de Contas'!D:D)</f>
        <v>02 - Outras Receitas</v>
      </c>
    </row>
    <row r="598" spans="1:5" x14ac:dyDescent="0.25">
      <c r="A598" s="23">
        <f t="shared" si="7"/>
        <v>43586</v>
      </c>
      <c r="B598" s="5" t="s">
        <v>87</v>
      </c>
      <c r="C598" s="5">
        <v>190877</v>
      </c>
      <c r="D598" s="5" t="str">
        <f>_xlfn.XLOOKUP(fOrcado[[#This Row],[Conta]],'Plano de Contas'!A:A,'Plano de Contas'!C:C)</f>
        <v>(+) RECEITA BRUTA</v>
      </c>
      <c r="E598" s="5" t="str">
        <f>_xlfn.XLOOKUP(fOrcado[[#This Row],[Conta]],'Plano de Contas'!A:A,'Plano de Contas'!D:D)</f>
        <v>02 - Outras Receitas</v>
      </c>
    </row>
    <row r="599" spans="1:5" x14ac:dyDescent="0.25">
      <c r="A599" s="23">
        <f t="shared" si="7"/>
        <v>43586</v>
      </c>
      <c r="B599" s="5" t="s">
        <v>88</v>
      </c>
      <c r="C599" s="5">
        <v>213637</v>
      </c>
      <c r="D599" s="5" t="str">
        <f>_xlfn.XLOOKUP(fOrcado[[#This Row],[Conta]],'Plano de Contas'!A:A,'Plano de Contas'!C:C)</f>
        <v>(+) RECEITA BRUTA</v>
      </c>
      <c r="E599" s="5" t="str">
        <f>_xlfn.XLOOKUP(fOrcado[[#This Row],[Conta]],'Plano de Contas'!A:A,'Plano de Contas'!D:D)</f>
        <v>02 - Outras Receitas</v>
      </c>
    </row>
    <row r="600" spans="1:5" x14ac:dyDescent="0.25">
      <c r="A600" s="23">
        <f t="shared" si="7"/>
        <v>43586</v>
      </c>
      <c r="B600" s="5" t="s">
        <v>89</v>
      </c>
      <c r="C600" s="5">
        <v>138595</v>
      </c>
      <c r="D600" s="5" t="str">
        <f>_xlfn.XLOOKUP(fOrcado[[#This Row],[Conta]],'Plano de Contas'!A:A,'Plano de Contas'!C:C)</f>
        <v>(+) RECEITA BRUTA</v>
      </c>
      <c r="E600" s="5" t="str">
        <f>_xlfn.XLOOKUP(fOrcado[[#This Row],[Conta]],'Plano de Contas'!A:A,'Plano de Contas'!D:D)</f>
        <v>02 - Outras Receitas</v>
      </c>
    </row>
    <row r="601" spans="1:5" x14ac:dyDescent="0.25">
      <c r="A601" s="23">
        <f t="shared" si="7"/>
        <v>43586</v>
      </c>
      <c r="B601" s="5" t="s">
        <v>90</v>
      </c>
      <c r="C601" s="5">
        <v>87312</v>
      </c>
      <c r="D601" s="5" t="str">
        <f>_xlfn.XLOOKUP(fOrcado[[#This Row],[Conta]],'Plano de Contas'!A:A,'Plano de Contas'!C:C)</f>
        <v>(+) RECEITA BRUTA</v>
      </c>
      <c r="E601" s="5" t="str">
        <f>_xlfn.XLOOKUP(fOrcado[[#This Row],[Conta]],'Plano de Contas'!A:A,'Plano de Contas'!D:D)</f>
        <v>02 - Outras Receitas</v>
      </c>
    </row>
    <row r="602" spans="1:5" x14ac:dyDescent="0.25">
      <c r="A602" s="23">
        <f t="shared" si="7"/>
        <v>43586</v>
      </c>
      <c r="B602" s="5" t="s">
        <v>91</v>
      </c>
      <c r="C602" s="5">
        <v>122580</v>
      </c>
      <c r="D602" s="5" t="str">
        <f>_xlfn.XLOOKUP(fOrcado[[#This Row],[Conta]],'Plano de Contas'!A:A,'Plano de Contas'!C:C)</f>
        <v>(+) RECEITA BRUTA</v>
      </c>
      <c r="E602" s="5" t="str">
        <f>_xlfn.XLOOKUP(fOrcado[[#This Row],[Conta]],'Plano de Contas'!A:A,'Plano de Contas'!D:D)</f>
        <v>02 - Outras Receitas</v>
      </c>
    </row>
    <row r="603" spans="1:5" x14ac:dyDescent="0.25">
      <c r="A603" s="23">
        <f t="shared" si="7"/>
        <v>43586</v>
      </c>
      <c r="B603" s="5" t="s">
        <v>92</v>
      </c>
      <c r="C603" s="5">
        <v>124196</v>
      </c>
      <c r="D603" s="5" t="str">
        <f>_xlfn.XLOOKUP(fOrcado[[#This Row],[Conta]],'Plano de Contas'!A:A,'Plano de Contas'!C:C)</f>
        <v>(+) RECEITA BRUTA</v>
      </c>
      <c r="E603" s="5" t="str">
        <f>_xlfn.XLOOKUP(fOrcado[[#This Row],[Conta]],'Plano de Contas'!A:A,'Plano de Contas'!D:D)</f>
        <v>02 - Outras Receitas</v>
      </c>
    </row>
    <row r="604" spans="1:5" x14ac:dyDescent="0.25">
      <c r="A604" s="23">
        <f t="shared" si="7"/>
        <v>43586</v>
      </c>
      <c r="B604" s="5" t="s">
        <v>93</v>
      </c>
      <c r="C604" s="5">
        <v>147615</v>
      </c>
      <c r="D604" s="5" t="str">
        <f>_xlfn.XLOOKUP(fOrcado[[#This Row],[Conta]],'Plano de Contas'!A:A,'Plano de Contas'!C:C)</f>
        <v>(+) RECEITA BRUTA</v>
      </c>
      <c r="E604" s="5" t="str">
        <f>_xlfn.XLOOKUP(fOrcado[[#This Row],[Conta]],'Plano de Contas'!A:A,'Plano de Contas'!D:D)</f>
        <v>02 - Outras Receitas</v>
      </c>
    </row>
    <row r="605" spans="1:5" x14ac:dyDescent="0.25">
      <c r="A605" s="23">
        <f t="shared" si="7"/>
        <v>43586</v>
      </c>
      <c r="B605" s="5" t="s">
        <v>94</v>
      </c>
      <c r="C605" s="5">
        <v>125121</v>
      </c>
      <c r="D605" s="5" t="str">
        <f>_xlfn.XLOOKUP(fOrcado[[#This Row],[Conta]],'Plano de Contas'!A:A,'Plano de Contas'!C:C)</f>
        <v>(+) RECEITA BRUTA</v>
      </c>
      <c r="E605" s="5" t="str">
        <f>_xlfn.XLOOKUP(fOrcado[[#This Row],[Conta]],'Plano de Contas'!A:A,'Plano de Contas'!D:D)</f>
        <v>02 - Outras Receitas</v>
      </c>
    </row>
    <row r="606" spans="1:5" x14ac:dyDescent="0.25">
      <c r="A606" s="23">
        <f t="shared" si="7"/>
        <v>43586</v>
      </c>
      <c r="B606" s="5" t="s">
        <v>95</v>
      </c>
      <c r="C606" s="5">
        <v>96109</v>
      </c>
      <c r="D606" s="5" t="str">
        <f>_xlfn.XLOOKUP(fOrcado[[#This Row],[Conta]],'Plano de Contas'!A:A,'Plano de Contas'!C:C)</f>
        <v>(+) RECEITA BRUTA</v>
      </c>
      <c r="E606" s="5" t="str">
        <f>_xlfn.XLOOKUP(fOrcado[[#This Row],[Conta]],'Plano de Contas'!A:A,'Plano de Contas'!D:D)</f>
        <v>02 - Outras Receitas</v>
      </c>
    </row>
    <row r="607" spans="1:5" x14ac:dyDescent="0.25">
      <c r="A607" s="23">
        <f t="shared" si="7"/>
        <v>43586</v>
      </c>
      <c r="B607" s="5" t="s">
        <v>96</v>
      </c>
      <c r="C607" s="5">
        <v>76192</v>
      </c>
      <c r="D607" s="5" t="str">
        <f>_xlfn.XLOOKUP(fOrcado[[#This Row],[Conta]],'Plano de Contas'!A:A,'Plano de Contas'!C:C)</f>
        <v>(+) RECEITA BRUTA</v>
      </c>
      <c r="E607" s="5" t="str">
        <f>_xlfn.XLOOKUP(fOrcado[[#This Row],[Conta]],'Plano de Contas'!A:A,'Plano de Contas'!D:D)</f>
        <v>02 - Outras Receitas</v>
      </c>
    </row>
    <row r="608" spans="1:5" x14ac:dyDescent="0.25">
      <c r="A608" s="23">
        <f t="shared" si="7"/>
        <v>43586</v>
      </c>
      <c r="B608" s="5" t="s">
        <v>97</v>
      </c>
      <c r="C608" s="5">
        <v>258945</v>
      </c>
      <c r="D608" s="5" t="str">
        <f>_xlfn.XLOOKUP(fOrcado[[#This Row],[Conta]],'Plano de Contas'!A:A,'Plano de Contas'!C:C)</f>
        <v>(+) RECEITA BRUTA</v>
      </c>
      <c r="E608" s="5" t="str">
        <f>_xlfn.XLOOKUP(fOrcado[[#This Row],[Conta]],'Plano de Contas'!A:A,'Plano de Contas'!D:D)</f>
        <v>02 - Outras Receitas</v>
      </c>
    </row>
    <row r="609" spans="1:5" x14ac:dyDescent="0.25">
      <c r="A609" s="23">
        <f t="shared" si="7"/>
        <v>43586</v>
      </c>
      <c r="B609" s="5" t="s">
        <v>98</v>
      </c>
      <c r="C609" s="5">
        <v>282545</v>
      </c>
      <c r="D609" s="5" t="str">
        <f>_xlfn.XLOOKUP(fOrcado[[#This Row],[Conta]],'Plano de Contas'!A:A,'Plano de Contas'!C:C)</f>
        <v>(+) RECEITA BRUTA</v>
      </c>
      <c r="E609" s="5" t="str">
        <f>_xlfn.XLOOKUP(fOrcado[[#This Row],[Conta]],'Plano de Contas'!A:A,'Plano de Contas'!D:D)</f>
        <v>02 - Outras Receitas</v>
      </c>
    </row>
    <row r="610" spans="1:5" x14ac:dyDescent="0.25">
      <c r="A610" s="23">
        <f t="shared" si="7"/>
        <v>43586</v>
      </c>
      <c r="B610" s="5" t="s">
        <v>99</v>
      </c>
      <c r="C610" s="5">
        <v>75722</v>
      </c>
      <c r="D610" s="5" t="str">
        <f>_xlfn.XLOOKUP(fOrcado[[#This Row],[Conta]],'Plano de Contas'!A:A,'Plano de Contas'!C:C)</f>
        <v>(+) RECEITA BRUTA</v>
      </c>
      <c r="E610" s="5" t="str">
        <f>_xlfn.XLOOKUP(fOrcado[[#This Row],[Conta]],'Plano de Contas'!A:A,'Plano de Contas'!D:D)</f>
        <v>02 - Outras Receitas</v>
      </c>
    </row>
    <row r="611" spans="1:5" x14ac:dyDescent="0.25">
      <c r="A611" s="23">
        <f t="shared" si="7"/>
        <v>43586</v>
      </c>
      <c r="B611" s="5" t="s">
        <v>100</v>
      </c>
      <c r="C611" s="5">
        <v>150398</v>
      </c>
      <c r="D611" s="5" t="str">
        <f>_xlfn.XLOOKUP(fOrcado[[#This Row],[Conta]],'Plano de Contas'!A:A,'Plano de Contas'!C:C)</f>
        <v>(+) RECEITA BRUTA</v>
      </c>
      <c r="E611" s="5" t="str">
        <f>_xlfn.XLOOKUP(fOrcado[[#This Row],[Conta]],'Plano de Contas'!A:A,'Plano de Contas'!D:D)</f>
        <v>02 - Outras Receitas</v>
      </c>
    </row>
    <row r="612" spans="1:5" x14ac:dyDescent="0.25">
      <c r="A612" s="23">
        <f t="shared" si="7"/>
        <v>43586</v>
      </c>
      <c r="B612" s="5" t="s">
        <v>101</v>
      </c>
      <c r="C612" s="5">
        <v>262186</v>
      </c>
      <c r="D612" s="5" t="str">
        <f>_xlfn.XLOOKUP(fOrcado[[#This Row],[Conta]],'Plano de Contas'!A:A,'Plano de Contas'!C:C)</f>
        <v>(+) RECEITA BRUTA</v>
      </c>
      <c r="E612" s="5" t="str">
        <f>_xlfn.XLOOKUP(fOrcado[[#This Row],[Conta]],'Plano de Contas'!A:A,'Plano de Contas'!D:D)</f>
        <v>02 - Outras Receitas</v>
      </c>
    </row>
    <row r="613" spans="1:5" x14ac:dyDescent="0.25">
      <c r="A613" s="23">
        <f t="shared" si="7"/>
        <v>43586</v>
      </c>
      <c r="B613" s="5" t="s">
        <v>102</v>
      </c>
      <c r="C613" s="5">
        <v>68763</v>
      </c>
      <c r="D613" s="5" t="str">
        <f>_xlfn.XLOOKUP(fOrcado[[#This Row],[Conta]],'Plano de Contas'!A:A,'Plano de Contas'!C:C)</f>
        <v>(+) RECEITA BRUTA</v>
      </c>
      <c r="E613" s="5" t="str">
        <f>_xlfn.XLOOKUP(fOrcado[[#This Row],[Conta]],'Plano de Contas'!A:A,'Plano de Contas'!D:D)</f>
        <v>02 - Outras Receitas</v>
      </c>
    </row>
    <row r="614" spans="1:5" x14ac:dyDescent="0.25">
      <c r="A614" s="23">
        <f t="shared" si="7"/>
        <v>43586</v>
      </c>
      <c r="B614" s="5" t="s">
        <v>103</v>
      </c>
      <c r="C614" s="5">
        <v>130359</v>
      </c>
      <c r="D614" s="5" t="str">
        <f>_xlfn.XLOOKUP(fOrcado[[#This Row],[Conta]],'Plano de Contas'!A:A,'Plano de Contas'!C:C)</f>
        <v>(+) RECEITA BRUTA</v>
      </c>
      <c r="E614" s="5" t="str">
        <f>_xlfn.XLOOKUP(fOrcado[[#This Row],[Conta]],'Plano de Contas'!A:A,'Plano de Contas'!D:D)</f>
        <v>02 - Outras Receitas</v>
      </c>
    </row>
    <row r="615" spans="1:5" x14ac:dyDescent="0.25">
      <c r="A615" s="23">
        <f t="shared" si="7"/>
        <v>43586</v>
      </c>
      <c r="B615" s="5" t="s">
        <v>104</v>
      </c>
      <c r="C615" s="5">
        <v>202205</v>
      </c>
      <c r="D615" s="5" t="str">
        <f>_xlfn.XLOOKUP(fOrcado[[#This Row],[Conta]],'Plano de Contas'!A:A,'Plano de Contas'!C:C)</f>
        <v>(+) RECEITA BRUTA</v>
      </c>
      <c r="E615" s="5" t="str">
        <f>_xlfn.XLOOKUP(fOrcado[[#This Row],[Conta]],'Plano de Contas'!A:A,'Plano de Contas'!D:D)</f>
        <v>02 - Outras Receitas</v>
      </c>
    </row>
    <row r="616" spans="1:5" x14ac:dyDescent="0.25">
      <c r="A616" s="23">
        <f t="shared" si="7"/>
        <v>43586</v>
      </c>
      <c r="B616" s="5" t="s">
        <v>105</v>
      </c>
      <c r="C616" s="5">
        <v>119394</v>
      </c>
      <c r="D616" s="5" t="str">
        <f>_xlfn.XLOOKUP(fOrcado[[#This Row],[Conta]],'Plano de Contas'!A:A,'Plano de Contas'!C:C)</f>
        <v>(+) RECEITA BRUTA</v>
      </c>
      <c r="E616" s="5" t="str">
        <f>_xlfn.XLOOKUP(fOrcado[[#This Row],[Conta]],'Plano de Contas'!A:A,'Plano de Contas'!D:D)</f>
        <v>02 - Outras Receitas</v>
      </c>
    </row>
    <row r="617" spans="1:5" x14ac:dyDescent="0.25">
      <c r="A617" s="23">
        <f t="shared" si="7"/>
        <v>43586</v>
      </c>
      <c r="B617" s="5" t="s">
        <v>106</v>
      </c>
      <c r="C617" s="5">
        <v>176201</v>
      </c>
      <c r="D617" s="5" t="str">
        <f>_xlfn.XLOOKUP(fOrcado[[#This Row],[Conta]],'Plano de Contas'!A:A,'Plano de Contas'!C:C)</f>
        <v>(+) RECEITA BRUTA</v>
      </c>
      <c r="E617" s="5" t="str">
        <f>_xlfn.XLOOKUP(fOrcado[[#This Row],[Conta]],'Plano de Contas'!A:A,'Plano de Contas'!D:D)</f>
        <v>02 - Outras Receitas</v>
      </c>
    </row>
    <row r="618" spans="1:5" x14ac:dyDescent="0.25">
      <c r="A618" s="23">
        <f t="shared" si="7"/>
        <v>43586</v>
      </c>
      <c r="B618" s="5" t="s">
        <v>107</v>
      </c>
      <c r="C618" s="5">
        <v>141645</v>
      </c>
      <c r="D618" s="5" t="str">
        <f>_xlfn.XLOOKUP(fOrcado[[#This Row],[Conta]],'Plano de Contas'!A:A,'Plano de Contas'!C:C)</f>
        <v>(+) RECEITA BRUTA</v>
      </c>
      <c r="E618" s="5" t="str">
        <f>_xlfn.XLOOKUP(fOrcado[[#This Row],[Conta]],'Plano de Contas'!A:A,'Plano de Contas'!D:D)</f>
        <v>02 - Outras Receitas</v>
      </c>
    </row>
    <row r="619" spans="1:5" x14ac:dyDescent="0.25">
      <c r="A619" s="23">
        <f t="shared" si="7"/>
        <v>43586</v>
      </c>
      <c r="B619" s="5" t="s">
        <v>108</v>
      </c>
      <c r="C619" s="5">
        <v>71026</v>
      </c>
      <c r="D619" s="5" t="str">
        <f>_xlfn.XLOOKUP(fOrcado[[#This Row],[Conta]],'Plano de Contas'!A:A,'Plano de Contas'!C:C)</f>
        <v>(+) RECEITA BRUTA</v>
      </c>
      <c r="E619" s="5" t="str">
        <f>_xlfn.XLOOKUP(fOrcado[[#This Row],[Conta]],'Plano de Contas'!A:A,'Plano de Contas'!D:D)</f>
        <v>02 - Outras Receitas</v>
      </c>
    </row>
    <row r="620" spans="1:5" x14ac:dyDescent="0.25">
      <c r="A620" s="23">
        <f t="shared" si="7"/>
        <v>43586</v>
      </c>
      <c r="B620" s="5" t="s">
        <v>109</v>
      </c>
      <c r="C620" s="5">
        <v>240575</v>
      </c>
      <c r="D620" s="5" t="str">
        <f>_xlfn.XLOOKUP(fOrcado[[#This Row],[Conta]],'Plano de Contas'!A:A,'Plano de Contas'!C:C)</f>
        <v>(+) RECEITA BRUTA</v>
      </c>
      <c r="E620" s="5" t="str">
        <f>_xlfn.XLOOKUP(fOrcado[[#This Row],[Conta]],'Plano de Contas'!A:A,'Plano de Contas'!D:D)</f>
        <v>02 - Outras Receitas</v>
      </c>
    </row>
    <row r="621" spans="1:5" x14ac:dyDescent="0.25">
      <c r="A621" s="23">
        <f t="shared" si="7"/>
        <v>43586</v>
      </c>
      <c r="B621" s="5" t="s">
        <v>110</v>
      </c>
      <c r="C621" s="5">
        <v>-7298</v>
      </c>
      <c r="D621" s="5" t="str">
        <f>_xlfn.XLOOKUP(fOrcado[[#This Row],[Conta]],'Plano de Contas'!A:A,'Plano de Contas'!C:C)</f>
        <v>(-) Deduções da Receita</v>
      </c>
      <c r="E621" s="5" t="str">
        <f>_xlfn.XLOOKUP(fOrcado[[#This Row],[Conta]],'Plano de Contas'!A:A,'Plano de Contas'!D:D)</f>
        <v>03 - Devoluções de Produtos</v>
      </c>
    </row>
    <row r="622" spans="1:5" x14ac:dyDescent="0.25">
      <c r="A622" s="23">
        <f t="shared" si="7"/>
        <v>43586</v>
      </c>
      <c r="B622" s="5" t="s">
        <v>111</v>
      </c>
      <c r="C622" s="5">
        <v>-9460</v>
      </c>
      <c r="D622" s="5" t="str">
        <f>_xlfn.XLOOKUP(fOrcado[[#This Row],[Conta]],'Plano de Contas'!A:A,'Plano de Contas'!C:C)</f>
        <v>(-) Deduções da Receita</v>
      </c>
      <c r="E622" s="5" t="str">
        <f>_xlfn.XLOOKUP(fOrcado[[#This Row],[Conta]],'Plano de Contas'!A:A,'Plano de Contas'!D:D)</f>
        <v>03 - Devoluções de Produtos</v>
      </c>
    </row>
    <row r="623" spans="1:5" x14ac:dyDescent="0.25">
      <c r="A623" s="23">
        <f t="shared" si="7"/>
        <v>43586</v>
      </c>
      <c r="B623" s="5" t="s">
        <v>112</v>
      </c>
      <c r="C623" s="5">
        <v>-3682</v>
      </c>
      <c r="D623" s="5" t="str">
        <f>_xlfn.XLOOKUP(fOrcado[[#This Row],[Conta]],'Plano de Contas'!A:A,'Plano de Contas'!C:C)</f>
        <v>(-) Deduções da Receita</v>
      </c>
      <c r="E623" s="5" t="str">
        <f>_xlfn.XLOOKUP(fOrcado[[#This Row],[Conta]],'Plano de Contas'!A:A,'Plano de Contas'!D:D)</f>
        <v>03 - Devoluções de Produtos</v>
      </c>
    </row>
    <row r="624" spans="1:5" x14ac:dyDescent="0.25">
      <c r="A624" s="23">
        <f t="shared" si="7"/>
        <v>43586</v>
      </c>
      <c r="B624" s="5" t="s">
        <v>113</v>
      </c>
      <c r="C624" s="5">
        <v>-7376</v>
      </c>
      <c r="D624" s="5" t="str">
        <f>_xlfn.XLOOKUP(fOrcado[[#This Row],[Conta]],'Plano de Contas'!A:A,'Plano de Contas'!C:C)</f>
        <v>(-) Deduções da Receita</v>
      </c>
      <c r="E624" s="5" t="str">
        <f>_xlfn.XLOOKUP(fOrcado[[#This Row],[Conta]],'Plano de Contas'!A:A,'Plano de Contas'!D:D)</f>
        <v>03 - Devoluções de Produtos</v>
      </c>
    </row>
    <row r="625" spans="1:5" x14ac:dyDescent="0.25">
      <c r="A625" s="23">
        <f t="shared" si="7"/>
        <v>43586</v>
      </c>
      <c r="B625" s="5" t="s">
        <v>114</v>
      </c>
      <c r="C625" s="5">
        <v>-7664</v>
      </c>
      <c r="D625" s="5" t="str">
        <f>_xlfn.XLOOKUP(fOrcado[[#This Row],[Conta]],'Plano de Contas'!A:A,'Plano de Contas'!C:C)</f>
        <v>(-) Deduções da Receita</v>
      </c>
      <c r="E625" s="5" t="str">
        <f>_xlfn.XLOOKUP(fOrcado[[#This Row],[Conta]],'Plano de Contas'!A:A,'Plano de Contas'!D:D)</f>
        <v>03 - Devoluções de Produtos</v>
      </c>
    </row>
    <row r="626" spans="1:5" x14ac:dyDescent="0.25">
      <c r="A626" s="23">
        <f t="shared" si="7"/>
        <v>43586</v>
      </c>
      <c r="B626" s="5" t="s">
        <v>115</v>
      </c>
      <c r="C626" s="5">
        <v>-1071</v>
      </c>
      <c r="D626" s="5" t="str">
        <f>_xlfn.XLOOKUP(fOrcado[[#This Row],[Conta]],'Plano de Contas'!A:A,'Plano de Contas'!C:C)</f>
        <v>(-) Deduções da Receita</v>
      </c>
      <c r="E626" s="5" t="str">
        <f>_xlfn.XLOOKUP(fOrcado[[#This Row],[Conta]],'Plano de Contas'!A:A,'Plano de Contas'!D:D)</f>
        <v>03 - Devoluções de Produtos</v>
      </c>
    </row>
    <row r="627" spans="1:5" x14ac:dyDescent="0.25">
      <c r="A627" s="23">
        <f t="shared" si="7"/>
        <v>43586</v>
      </c>
      <c r="B627" s="5" t="s">
        <v>116</v>
      </c>
      <c r="C627" s="5">
        <v>-9473</v>
      </c>
      <c r="D627" s="5" t="str">
        <f>_xlfn.XLOOKUP(fOrcado[[#This Row],[Conta]],'Plano de Contas'!A:A,'Plano de Contas'!C:C)</f>
        <v>(-) Deduções da Receita</v>
      </c>
      <c r="E627" s="5" t="str">
        <f>_xlfn.XLOOKUP(fOrcado[[#This Row],[Conta]],'Plano de Contas'!A:A,'Plano de Contas'!D:D)</f>
        <v>03 - Devoluções de Produtos</v>
      </c>
    </row>
    <row r="628" spans="1:5" x14ac:dyDescent="0.25">
      <c r="A628" s="23">
        <f t="shared" si="7"/>
        <v>43586</v>
      </c>
      <c r="B628" s="5" t="s">
        <v>117</v>
      </c>
      <c r="C628" s="5">
        <v>-9153</v>
      </c>
      <c r="D628" s="5" t="str">
        <f>_xlfn.XLOOKUP(fOrcado[[#This Row],[Conta]],'Plano de Contas'!A:A,'Plano de Contas'!C:C)</f>
        <v>(-) Deduções da Receita</v>
      </c>
      <c r="E628" s="5" t="str">
        <f>_xlfn.XLOOKUP(fOrcado[[#This Row],[Conta]],'Plano de Contas'!A:A,'Plano de Contas'!D:D)</f>
        <v>03 - Devoluções de Produtos</v>
      </c>
    </row>
    <row r="629" spans="1:5" x14ac:dyDescent="0.25">
      <c r="A629" s="23">
        <f t="shared" si="7"/>
        <v>43586</v>
      </c>
      <c r="B629" s="5" t="s">
        <v>118</v>
      </c>
      <c r="C629" s="5">
        <v>-8824</v>
      </c>
      <c r="D629" s="5" t="str">
        <f>_xlfn.XLOOKUP(fOrcado[[#This Row],[Conta]],'Plano de Contas'!A:A,'Plano de Contas'!C:C)</f>
        <v>(-) Deduções da Receita</v>
      </c>
      <c r="E629" s="5" t="str">
        <f>_xlfn.XLOOKUP(fOrcado[[#This Row],[Conta]],'Plano de Contas'!A:A,'Plano de Contas'!D:D)</f>
        <v>03 - Devoluções de Produtos</v>
      </c>
    </row>
    <row r="630" spans="1:5" x14ac:dyDescent="0.25">
      <c r="A630" s="23">
        <f t="shared" si="7"/>
        <v>43586</v>
      </c>
      <c r="B630" s="5" t="s">
        <v>119</v>
      </c>
      <c r="C630" s="5">
        <v>-7180</v>
      </c>
      <c r="D630" s="5" t="str">
        <f>_xlfn.XLOOKUP(fOrcado[[#This Row],[Conta]],'Plano de Contas'!A:A,'Plano de Contas'!C:C)</f>
        <v>(-) Deduções da Receita</v>
      </c>
      <c r="E630" s="5" t="str">
        <f>_xlfn.XLOOKUP(fOrcado[[#This Row],[Conta]],'Plano de Contas'!A:A,'Plano de Contas'!D:D)</f>
        <v>03 - Devoluções de Produtos</v>
      </c>
    </row>
    <row r="631" spans="1:5" x14ac:dyDescent="0.25">
      <c r="A631" s="23">
        <f t="shared" si="7"/>
        <v>43586</v>
      </c>
      <c r="B631" s="5" t="s">
        <v>120</v>
      </c>
      <c r="C631" s="5">
        <v>-9433</v>
      </c>
      <c r="D631" s="5" t="str">
        <f>_xlfn.XLOOKUP(fOrcado[[#This Row],[Conta]],'Plano de Contas'!A:A,'Plano de Contas'!C:C)</f>
        <v>(-) Deduções da Receita</v>
      </c>
      <c r="E631" s="5" t="str">
        <f>_xlfn.XLOOKUP(fOrcado[[#This Row],[Conta]],'Plano de Contas'!A:A,'Plano de Contas'!D:D)</f>
        <v>03 - Devoluções de Produtos</v>
      </c>
    </row>
    <row r="632" spans="1:5" x14ac:dyDescent="0.25">
      <c r="A632" s="23">
        <f t="shared" si="7"/>
        <v>43586</v>
      </c>
      <c r="B632" s="5" t="s">
        <v>121</v>
      </c>
      <c r="C632" s="5">
        <v>-1979</v>
      </c>
      <c r="D632" s="5" t="str">
        <f>_xlfn.XLOOKUP(fOrcado[[#This Row],[Conta]],'Plano de Contas'!A:A,'Plano de Contas'!C:C)</f>
        <v>(-) Deduções da Receita</v>
      </c>
      <c r="E632" s="5" t="str">
        <f>_xlfn.XLOOKUP(fOrcado[[#This Row],[Conta]],'Plano de Contas'!A:A,'Plano de Contas'!D:D)</f>
        <v>03 - Devoluções de Produtos</v>
      </c>
    </row>
    <row r="633" spans="1:5" x14ac:dyDescent="0.25">
      <c r="A633" s="23">
        <f t="shared" si="7"/>
        <v>43586</v>
      </c>
      <c r="B633" s="5" t="s">
        <v>122</v>
      </c>
      <c r="C633" s="5">
        <v>-8489</v>
      </c>
      <c r="D633" s="5" t="str">
        <f>_xlfn.XLOOKUP(fOrcado[[#This Row],[Conta]],'Plano de Contas'!A:A,'Plano de Contas'!C:C)</f>
        <v>(-) Deduções da Receita</v>
      </c>
      <c r="E633" s="5" t="str">
        <f>_xlfn.XLOOKUP(fOrcado[[#This Row],[Conta]],'Plano de Contas'!A:A,'Plano de Contas'!D:D)</f>
        <v>03 - Devoluções de Produtos</v>
      </c>
    </row>
    <row r="634" spans="1:5" x14ac:dyDescent="0.25">
      <c r="A634" s="23">
        <f t="shared" si="7"/>
        <v>43586</v>
      </c>
      <c r="B634" s="5" t="s">
        <v>123</v>
      </c>
      <c r="C634" s="5">
        <v>-3952</v>
      </c>
      <c r="D634" s="5" t="str">
        <f>_xlfn.XLOOKUP(fOrcado[[#This Row],[Conta]],'Plano de Contas'!A:A,'Plano de Contas'!C:C)</f>
        <v>(-) Deduções da Receita</v>
      </c>
      <c r="E634" s="5" t="str">
        <f>_xlfn.XLOOKUP(fOrcado[[#This Row],[Conta]],'Plano de Contas'!A:A,'Plano de Contas'!D:D)</f>
        <v>03 - Devoluções de Produtos</v>
      </c>
    </row>
    <row r="635" spans="1:5" x14ac:dyDescent="0.25">
      <c r="A635" s="23">
        <f t="shared" si="7"/>
        <v>43586</v>
      </c>
      <c r="B635" s="5" t="s">
        <v>124</v>
      </c>
      <c r="C635" s="5">
        <v>-8877</v>
      </c>
      <c r="D635" s="5" t="str">
        <f>_xlfn.XLOOKUP(fOrcado[[#This Row],[Conta]],'Plano de Contas'!A:A,'Plano de Contas'!C:C)</f>
        <v>(-) Deduções da Receita</v>
      </c>
      <c r="E635" s="5" t="str">
        <f>_xlfn.XLOOKUP(fOrcado[[#This Row],[Conta]],'Plano de Contas'!A:A,'Plano de Contas'!D:D)</f>
        <v>03 - Devoluções de Produtos</v>
      </c>
    </row>
    <row r="636" spans="1:5" x14ac:dyDescent="0.25">
      <c r="A636" s="23">
        <f t="shared" si="7"/>
        <v>43586</v>
      </c>
      <c r="B636" s="5" t="s">
        <v>125</v>
      </c>
      <c r="C636" s="5">
        <v>-6780</v>
      </c>
      <c r="D636" s="5" t="str">
        <f>_xlfn.XLOOKUP(fOrcado[[#This Row],[Conta]],'Plano de Contas'!A:A,'Plano de Contas'!C:C)</f>
        <v>(-) Deduções da Receita</v>
      </c>
      <c r="E636" s="5" t="str">
        <f>_xlfn.XLOOKUP(fOrcado[[#This Row],[Conta]],'Plano de Contas'!A:A,'Plano de Contas'!D:D)</f>
        <v>03 - Devoluções de Produtos</v>
      </c>
    </row>
    <row r="637" spans="1:5" x14ac:dyDescent="0.25">
      <c r="A637" s="23">
        <f t="shared" si="7"/>
        <v>43586</v>
      </c>
      <c r="B637" s="5" t="s">
        <v>126</v>
      </c>
      <c r="C637" s="5">
        <v>-6359</v>
      </c>
      <c r="D637" s="5" t="str">
        <f>_xlfn.XLOOKUP(fOrcado[[#This Row],[Conta]],'Plano de Contas'!A:A,'Plano de Contas'!C:C)</f>
        <v>(-) Deduções da Receita</v>
      </c>
      <c r="E637" s="5" t="str">
        <f>_xlfn.XLOOKUP(fOrcado[[#This Row],[Conta]],'Plano de Contas'!A:A,'Plano de Contas'!D:D)</f>
        <v>03 - Devoluções de Produtos</v>
      </c>
    </row>
    <row r="638" spans="1:5" x14ac:dyDescent="0.25">
      <c r="A638" s="23">
        <f t="shared" si="7"/>
        <v>43586</v>
      </c>
      <c r="B638" s="5" t="s">
        <v>127</v>
      </c>
      <c r="C638" s="5">
        <v>-4283</v>
      </c>
      <c r="D638" s="5" t="str">
        <f>_xlfn.XLOOKUP(fOrcado[[#This Row],[Conta]],'Plano de Contas'!A:A,'Plano de Contas'!C:C)</f>
        <v>(-) Deduções da Receita</v>
      </c>
      <c r="E638" s="5" t="str">
        <f>_xlfn.XLOOKUP(fOrcado[[#This Row],[Conta]],'Plano de Contas'!A:A,'Plano de Contas'!D:D)</f>
        <v>03 - Devoluções de Produtos</v>
      </c>
    </row>
    <row r="639" spans="1:5" x14ac:dyDescent="0.25">
      <c r="A639" s="23">
        <f t="shared" si="7"/>
        <v>43586</v>
      </c>
      <c r="B639" s="5" t="s">
        <v>128</v>
      </c>
      <c r="C639" s="5">
        <v>-5354</v>
      </c>
      <c r="D639" s="5" t="str">
        <f>_xlfn.XLOOKUP(fOrcado[[#This Row],[Conta]],'Plano de Contas'!A:A,'Plano de Contas'!C:C)</f>
        <v>(-) Deduções da Receita</v>
      </c>
      <c r="E639" s="5" t="str">
        <f>_xlfn.XLOOKUP(fOrcado[[#This Row],[Conta]],'Plano de Contas'!A:A,'Plano de Contas'!D:D)</f>
        <v>03 - Devoluções de Produtos</v>
      </c>
    </row>
    <row r="640" spans="1:5" x14ac:dyDescent="0.25">
      <c r="A640" s="23">
        <f t="shared" si="7"/>
        <v>43586</v>
      </c>
      <c r="B640" s="5" t="s">
        <v>129</v>
      </c>
      <c r="C640" s="5">
        <v>-2558</v>
      </c>
      <c r="D640" s="5" t="str">
        <f>_xlfn.XLOOKUP(fOrcado[[#This Row],[Conta]],'Plano de Contas'!A:A,'Plano de Contas'!C:C)</f>
        <v>(-) Deduções da Receita</v>
      </c>
      <c r="E640" s="5" t="str">
        <f>_xlfn.XLOOKUP(fOrcado[[#This Row],[Conta]],'Plano de Contas'!A:A,'Plano de Contas'!D:D)</f>
        <v>03 - Devoluções de Produtos</v>
      </c>
    </row>
    <row r="641" spans="1:5" x14ac:dyDescent="0.25">
      <c r="A641" s="23">
        <f t="shared" si="7"/>
        <v>43586</v>
      </c>
      <c r="B641" s="5" t="s">
        <v>130</v>
      </c>
      <c r="C641" s="5">
        <v>-3878</v>
      </c>
      <c r="D641" s="5" t="str">
        <f>_xlfn.XLOOKUP(fOrcado[[#This Row],[Conta]],'Plano de Contas'!A:A,'Plano de Contas'!C:C)</f>
        <v>(-) Deduções da Receita</v>
      </c>
      <c r="E641" s="5" t="str">
        <f>_xlfn.XLOOKUP(fOrcado[[#This Row],[Conta]],'Plano de Contas'!A:A,'Plano de Contas'!D:D)</f>
        <v>03 - Devoluções de Produtos</v>
      </c>
    </row>
    <row r="642" spans="1:5" x14ac:dyDescent="0.25">
      <c r="A642" s="23">
        <f t="shared" si="7"/>
        <v>43586</v>
      </c>
      <c r="B642" s="5" t="s">
        <v>131</v>
      </c>
      <c r="C642" s="5">
        <v>-6483</v>
      </c>
      <c r="D642" s="5" t="str">
        <f>_xlfn.XLOOKUP(fOrcado[[#This Row],[Conta]],'Plano de Contas'!A:A,'Plano de Contas'!C:C)</f>
        <v>(-) Deduções da Receita</v>
      </c>
      <c r="E642" s="5" t="str">
        <f>_xlfn.XLOOKUP(fOrcado[[#This Row],[Conta]],'Plano de Contas'!A:A,'Plano de Contas'!D:D)</f>
        <v>03 - Devoluções de Produtos</v>
      </c>
    </row>
    <row r="643" spans="1:5" x14ac:dyDescent="0.25">
      <c r="A643" s="23">
        <f t="shared" si="7"/>
        <v>43586</v>
      </c>
      <c r="B643" s="5" t="s">
        <v>132</v>
      </c>
      <c r="C643" s="5">
        <v>-9516</v>
      </c>
      <c r="D643" s="5" t="str">
        <f>_xlfn.XLOOKUP(fOrcado[[#This Row],[Conta]],'Plano de Contas'!A:A,'Plano de Contas'!C:C)</f>
        <v>(-) Deduções da Receita</v>
      </c>
      <c r="E643" s="5" t="str">
        <f>_xlfn.XLOOKUP(fOrcado[[#This Row],[Conta]],'Plano de Contas'!A:A,'Plano de Contas'!D:D)</f>
        <v>03 - Devoluções de Produtos</v>
      </c>
    </row>
    <row r="644" spans="1:5" x14ac:dyDescent="0.25">
      <c r="A644" s="23">
        <f t="shared" si="7"/>
        <v>43586</v>
      </c>
      <c r="B644" s="5" t="s">
        <v>133</v>
      </c>
      <c r="C644" s="5">
        <v>-1298</v>
      </c>
      <c r="D644" s="5" t="str">
        <f>_xlfn.XLOOKUP(fOrcado[[#This Row],[Conta]],'Plano de Contas'!A:A,'Plano de Contas'!C:C)</f>
        <v>(-) Deduções da Receita</v>
      </c>
      <c r="E644" s="5" t="str">
        <f>_xlfn.XLOOKUP(fOrcado[[#This Row],[Conta]],'Plano de Contas'!A:A,'Plano de Contas'!D:D)</f>
        <v>03 - Devoluções de Produtos</v>
      </c>
    </row>
    <row r="645" spans="1:5" x14ac:dyDescent="0.25">
      <c r="A645" s="23">
        <f t="shared" si="7"/>
        <v>43586</v>
      </c>
      <c r="B645" s="5" t="s">
        <v>134</v>
      </c>
      <c r="C645" s="5">
        <v>-2870</v>
      </c>
      <c r="D645" s="5" t="str">
        <f>_xlfn.XLOOKUP(fOrcado[[#This Row],[Conta]],'Plano de Contas'!A:A,'Plano de Contas'!C:C)</f>
        <v>(-) Deduções da Receita</v>
      </c>
      <c r="E645" s="5" t="str">
        <f>_xlfn.XLOOKUP(fOrcado[[#This Row],[Conta]],'Plano de Contas'!A:A,'Plano de Contas'!D:D)</f>
        <v>03 - Devoluções de Produtos</v>
      </c>
    </row>
    <row r="646" spans="1:5" x14ac:dyDescent="0.25">
      <c r="A646" s="23">
        <f t="shared" si="7"/>
        <v>43586</v>
      </c>
      <c r="B646" s="5" t="s">
        <v>135</v>
      </c>
      <c r="C646" s="5">
        <v>-3630</v>
      </c>
      <c r="D646" s="5" t="str">
        <f>_xlfn.XLOOKUP(fOrcado[[#This Row],[Conta]],'Plano de Contas'!A:A,'Plano de Contas'!C:C)</f>
        <v>(-) Deduções da Receita</v>
      </c>
      <c r="E646" s="5" t="str">
        <f>_xlfn.XLOOKUP(fOrcado[[#This Row],[Conta]],'Plano de Contas'!A:A,'Plano de Contas'!D:D)</f>
        <v>03 - Devoluções de Produtos</v>
      </c>
    </row>
    <row r="647" spans="1:5" x14ac:dyDescent="0.25">
      <c r="A647" s="23">
        <f t="shared" si="7"/>
        <v>43586</v>
      </c>
      <c r="B647" s="5" t="s">
        <v>136</v>
      </c>
      <c r="C647" s="5">
        <v>-6695</v>
      </c>
      <c r="D647" s="5" t="str">
        <f>_xlfn.XLOOKUP(fOrcado[[#This Row],[Conta]],'Plano de Contas'!A:A,'Plano de Contas'!C:C)</f>
        <v>(-) Deduções da Receita</v>
      </c>
      <c r="E647" s="5" t="str">
        <f>_xlfn.XLOOKUP(fOrcado[[#This Row],[Conta]],'Plano de Contas'!A:A,'Plano de Contas'!D:D)</f>
        <v>04 - Taxas de Serviço</v>
      </c>
    </row>
    <row r="648" spans="1:5" x14ac:dyDescent="0.25">
      <c r="A648" s="23">
        <f t="shared" si="7"/>
        <v>43586</v>
      </c>
      <c r="B648" s="5" t="s">
        <v>137</v>
      </c>
      <c r="C648" s="5">
        <v>-5443</v>
      </c>
      <c r="D648" s="5" t="str">
        <f>_xlfn.XLOOKUP(fOrcado[[#This Row],[Conta]],'Plano de Contas'!A:A,'Plano de Contas'!C:C)</f>
        <v>(-) Deduções da Receita</v>
      </c>
      <c r="E648" s="5" t="str">
        <f>_xlfn.XLOOKUP(fOrcado[[#This Row],[Conta]],'Plano de Contas'!A:A,'Plano de Contas'!D:D)</f>
        <v>04 - Taxas de Serviço</v>
      </c>
    </row>
    <row r="649" spans="1:5" x14ac:dyDescent="0.25">
      <c r="A649" s="23">
        <f t="shared" si="7"/>
        <v>43586</v>
      </c>
      <c r="B649" s="5" t="s">
        <v>138</v>
      </c>
      <c r="C649" s="5">
        <v>-8077</v>
      </c>
      <c r="D649" s="5" t="str">
        <f>_xlfn.XLOOKUP(fOrcado[[#This Row],[Conta]],'Plano de Contas'!A:A,'Plano de Contas'!C:C)</f>
        <v>(-) Deduções da Receita</v>
      </c>
      <c r="E649" s="5" t="str">
        <f>_xlfn.XLOOKUP(fOrcado[[#This Row],[Conta]],'Plano de Contas'!A:A,'Plano de Contas'!D:D)</f>
        <v>04 - Taxas de Serviço</v>
      </c>
    </row>
    <row r="650" spans="1:5" x14ac:dyDescent="0.25">
      <c r="A650" s="23">
        <f t="shared" si="7"/>
        <v>43586</v>
      </c>
      <c r="B650" s="5" t="s">
        <v>139</v>
      </c>
      <c r="C650" s="5">
        <v>-9997</v>
      </c>
      <c r="D650" s="5" t="str">
        <f>_xlfn.XLOOKUP(fOrcado[[#This Row],[Conta]],'Plano de Contas'!A:A,'Plano de Contas'!C:C)</f>
        <v>(-) Deduções da Receita</v>
      </c>
      <c r="E650" s="5" t="str">
        <f>_xlfn.XLOOKUP(fOrcado[[#This Row],[Conta]],'Plano de Contas'!A:A,'Plano de Contas'!D:D)</f>
        <v>04 - Taxas de Serviço</v>
      </c>
    </row>
    <row r="651" spans="1:5" x14ac:dyDescent="0.25">
      <c r="A651" s="23">
        <f t="shared" si="7"/>
        <v>43586</v>
      </c>
      <c r="B651" s="5" t="s">
        <v>140</v>
      </c>
      <c r="C651" s="5">
        <v>-299512</v>
      </c>
      <c r="D651" s="5" t="str">
        <f>_xlfn.XLOOKUP(fOrcado[[#This Row],[Conta]],'Plano de Contas'!A:A,'Plano de Contas'!C:C)</f>
        <v>(-) Custos de Vendas</v>
      </c>
      <c r="E651" s="5" t="str">
        <f>_xlfn.XLOOKUP(fOrcado[[#This Row],[Conta]],'Plano de Contas'!A:A,'Plano de Contas'!D:D)</f>
        <v>05 - Custo do Produto</v>
      </c>
    </row>
    <row r="652" spans="1:5" x14ac:dyDescent="0.25">
      <c r="A652" s="23">
        <f t="shared" si="7"/>
        <v>43586</v>
      </c>
      <c r="B652" s="5" t="s">
        <v>141</v>
      </c>
      <c r="C652" s="5">
        <v>-194536</v>
      </c>
      <c r="D652" s="5" t="str">
        <f>_xlfn.XLOOKUP(fOrcado[[#This Row],[Conta]],'Plano de Contas'!A:A,'Plano de Contas'!C:C)</f>
        <v>(-) Custos de Vendas</v>
      </c>
      <c r="E652" s="5" t="str">
        <f>_xlfn.XLOOKUP(fOrcado[[#This Row],[Conta]],'Plano de Contas'!A:A,'Plano de Contas'!D:D)</f>
        <v>05 - Custo do Produto</v>
      </c>
    </row>
    <row r="653" spans="1:5" x14ac:dyDescent="0.25">
      <c r="A653" s="23">
        <f t="shared" si="7"/>
        <v>43586</v>
      </c>
      <c r="B653" s="5" t="s">
        <v>142</v>
      </c>
      <c r="C653" s="5">
        <v>-129690</v>
      </c>
      <c r="D653" s="5" t="str">
        <f>_xlfn.XLOOKUP(fOrcado[[#This Row],[Conta]],'Plano de Contas'!A:A,'Plano de Contas'!C:C)</f>
        <v>(-) Custos de Vendas</v>
      </c>
      <c r="E653" s="5" t="str">
        <f>_xlfn.XLOOKUP(fOrcado[[#This Row],[Conta]],'Plano de Contas'!A:A,'Plano de Contas'!D:D)</f>
        <v>05 - Custo do Produto</v>
      </c>
    </row>
    <row r="654" spans="1:5" x14ac:dyDescent="0.25">
      <c r="A654" s="23">
        <f t="shared" si="7"/>
        <v>43586</v>
      </c>
      <c r="B654" s="5" t="s">
        <v>143</v>
      </c>
      <c r="C654" s="5">
        <v>-143165</v>
      </c>
      <c r="D654" s="5" t="str">
        <f>_xlfn.XLOOKUP(fOrcado[[#This Row],[Conta]],'Plano de Contas'!A:A,'Plano de Contas'!C:C)</f>
        <v>(-) Custos de Vendas</v>
      </c>
      <c r="E654" s="5" t="str">
        <f>_xlfn.XLOOKUP(fOrcado[[#This Row],[Conta]],'Plano de Contas'!A:A,'Plano de Contas'!D:D)</f>
        <v>05 - Custo do Produto</v>
      </c>
    </row>
    <row r="655" spans="1:5" x14ac:dyDescent="0.25">
      <c r="A655" s="23">
        <f t="shared" ref="A655:A718" si="8">EDATE(A515,1)</f>
        <v>43586</v>
      </c>
      <c r="B655" s="5" t="s">
        <v>144</v>
      </c>
      <c r="C655" s="5">
        <v>-85784</v>
      </c>
      <c r="D655" s="5" t="str">
        <f>_xlfn.XLOOKUP(fOrcado[[#This Row],[Conta]],'Plano de Contas'!A:A,'Plano de Contas'!C:C)</f>
        <v>(-) Custos de Vendas</v>
      </c>
      <c r="E655" s="5" t="str">
        <f>_xlfn.XLOOKUP(fOrcado[[#This Row],[Conta]],'Plano de Contas'!A:A,'Plano de Contas'!D:D)</f>
        <v>05 - Custo do Produto</v>
      </c>
    </row>
    <row r="656" spans="1:5" x14ac:dyDescent="0.25">
      <c r="A656" s="23">
        <f t="shared" si="8"/>
        <v>43586</v>
      </c>
      <c r="B656" s="5" t="s">
        <v>145</v>
      </c>
      <c r="C656" s="5">
        <v>-248211</v>
      </c>
      <c r="D656" s="5" t="str">
        <f>_xlfn.XLOOKUP(fOrcado[[#This Row],[Conta]],'Plano de Contas'!A:A,'Plano de Contas'!C:C)</f>
        <v>(-) Custos de Vendas</v>
      </c>
      <c r="E656" s="5" t="str">
        <f>_xlfn.XLOOKUP(fOrcado[[#This Row],[Conta]],'Plano de Contas'!A:A,'Plano de Contas'!D:D)</f>
        <v>05 - Custo do Produto</v>
      </c>
    </row>
    <row r="657" spans="1:5" x14ac:dyDescent="0.25">
      <c r="A657" s="23">
        <f t="shared" si="8"/>
        <v>43586</v>
      </c>
      <c r="B657" s="5" t="s">
        <v>146</v>
      </c>
      <c r="C657" s="5">
        <v>-120005</v>
      </c>
      <c r="D657" s="5" t="str">
        <f>_xlfn.XLOOKUP(fOrcado[[#This Row],[Conta]],'Plano de Contas'!A:A,'Plano de Contas'!C:C)</f>
        <v>(-) Custos de Vendas</v>
      </c>
      <c r="E657" s="5" t="str">
        <f>_xlfn.XLOOKUP(fOrcado[[#This Row],[Conta]],'Plano de Contas'!A:A,'Plano de Contas'!D:D)</f>
        <v>05 - Custo do Produto</v>
      </c>
    </row>
    <row r="658" spans="1:5" x14ac:dyDescent="0.25">
      <c r="A658" s="23">
        <f t="shared" si="8"/>
        <v>43586</v>
      </c>
      <c r="B658" s="5" t="s">
        <v>147</v>
      </c>
      <c r="C658" s="5">
        <v>-219868</v>
      </c>
      <c r="D658" s="5" t="str">
        <f>_xlfn.XLOOKUP(fOrcado[[#This Row],[Conta]],'Plano de Contas'!A:A,'Plano de Contas'!C:C)</f>
        <v>(-) Custos de Vendas</v>
      </c>
      <c r="E658" s="5" t="str">
        <f>_xlfn.XLOOKUP(fOrcado[[#This Row],[Conta]],'Plano de Contas'!A:A,'Plano de Contas'!D:D)</f>
        <v>05 - Custo do Produto</v>
      </c>
    </row>
    <row r="659" spans="1:5" x14ac:dyDescent="0.25">
      <c r="A659" s="23">
        <f t="shared" si="8"/>
        <v>43586</v>
      </c>
      <c r="B659" s="5" t="s">
        <v>148</v>
      </c>
      <c r="C659" s="5">
        <v>-81222</v>
      </c>
      <c r="D659" s="5" t="str">
        <f>_xlfn.XLOOKUP(fOrcado[[#This Row],[Conta]],'Plano de Contas'!A:A,'Plano de Contas'!C:C)</f>
        <v>(-) Custos de Vendas</v>
      </c>
      <c r="E659" s="5" t="str">
        <f>_xlfn.XLOOKUP(fOrcado[[#This Row],[Conta]],'Plano de Contas'!A:A,'Plano de Contas'!D:D)</f>
        <v>05 - Custo do Produto</v>
      </c>
    </row>
    <row r="660" spans="1:5" x14ac:dyDescent="0.25">
      <c r="A660" s="23">
        <f t="shared" si="8"/>
        <v>43586</v>
      </c>
      <c r="B660" s="5" t="s">
        <v>149</v>
      </c>
      <c r="C660" s="5">
        <v>-100882</v>
      </c>
      <c r="D660" s="5" t="str">
        <f>_xlfn.XLOOKUP(fOrcado[[#This Row],[Conta]],'Plano de Contas'!A:A,'Plano de Contas'!C:C)</f>
        <v>(-) Custos de Vendas</v>
      </c>
      <c r="E660" s="5" t="str">
        <f>_xlfn.XLOOKUP(fOrcado[[#This Row],[Conta]],'Plano de Contas'!A:A,'Plano de Contas'!D:D)</f>
        <v>05 - Custo do Produto</v>
      </c>
    </row>
    <row r="661" spans="1:5" x14ac:dyDescent="0.25">
      <c r="A661" s="23">
        <f t="shared" si="8"/>
        <v>43586</v>
      </c>
      <c r="B661" s="5" t="s">
        <v>150</v>
      </c>
      <c r="C661" s="5">
        <v>-78047</v>
      </c>
      <c r="D661" s="5" t="str">
        <f>_xlfn.XLOOKUP(fOrcado[[#This Row],[Conta]],'Plano de Contas'!A:A,'Plano de Contas'!C:C)</f>
        <v>(-) Custos de Vendas</v>
      </c>
      <c r="E661" s="5" t="str">
        <f>_xlfn.XLOOKUP(fOrcado[[#This Row],[Conta]],'Plano de Contas'!A:A,'Plano de Contas'!D:D)</f>
        <v>05 - Custo do Produto</v>
      </c>
    </row>
    <row r="662" spans="1:5" x14ac:dyDescent="0.25">
      <c r="A662" s="23">
        <f t="shared" si="8"/>
        <v>43586</v>
      </c>
      <c r="B662" s="5" t="s">
        <v>151</v>
      </c>
      <c r="C662" s="5">
        <v>-145073</v>
      </c>
      <c r="D662" s="5" t="str">
        <f>_xlfn.XLOOKUP(fOrcado[[#This Row],[Conta]],'Plano de Contas'!A:A,'Plano de Contas'!C:C)</f>
        <v>(-) Custos de Vendas</v>
      </c>
      <c r="E662" s="5" t="str">
        <f>_xlfn.XLOOKUP(fOrcado[[#This Row],[Conta]],'Plano de Contas'!A:A,'Plano de Contas'!D:D)</f>
        <v>05 - Custo do Produto</v>
      </c>
    </row>
    <row r="663" spans="1:5" x14ac:dyDescent="0.25">
      <c r="A663" s="23">
        <f t="shared" si="8"/>
        <v>43586</v>
      </c>
      <c r="B663" s="5" t="s">
        <v>152</v>
      </c>
      <c r="C663" s="5">
        <v>-152374</v>
      </c>
      <c r="D663" s="5" t="str">
        <f>_xlfn.XLOOKUP(fOrcado[[#This Row],[Conta]],'Plano de Contas'!A:A,'Plano de Contas'!C:C)</f>
        <v>(-) Custos de Vendas</v>
      </c>
      <c r="E663" s="5" t="str">
        <f>_xlfn.XLOOKUP(fOrcado[[#This Row],[Conta]],'Plano de Contas'!A:A,'Plano de Contas'!D:D)</f>
        <v>05 - Custo do Produto</v>
      </c>
    </row>
    <row r="664" spans="1:5" x14ac:dyDescent="0.25">
      <c r="A664" s="23">
        <f t="shared" si="8"/>
        <v>43586</v>
      </c>
      <c r="B664" s="5" t="s">
        <v>153</v>
      </c>
      <c r="C664" s="5">
        <v>-156151</v>
      </c>
      <c r="D664" s="5" t="str">
        <f>_xlfn.XLOOKUP(fOrcado[[#This Row],[Conta]],'Plano de Contas'!A:A,'Plano de Contas'!C:C)</f>
        <v>(-) Custos de Vendas</v>
      </c>
      <c r="E664" s="5" t="str">
        <f>_xlfn.XLOOKUP(fOrcado[[#This Row],[Conta]],'Plano de Contas'!A:A,'Plano de Contas'!D:D)</f>
        <v>05 - Custo do Produto</v>
      </c>
    </row>
    <row r="665" spans="1:5" x14ac:dyDescent="0.25">
      <c r="A665" s="23">
        <f t="shared" si="8"/>
        <v>43586</v>
      </c>
      <c r="B665" s="5" t="s">
        <v>154</v>
      </c>
      <c r="C665" s="5">
        <v>-99411</v>
      </c>
      <c r="D665" s="5" t="str">
        <f>_xlfn.XLOOKUP(fOrcado[[#This Row],[Conta]],'Plano de Contas'!A:A,'Plano de Contas'!C:C)</f>
        <v>(-) Custos de Vendas</v>
      </c>
      <c r="E665" s="5" t="str">
        <f>_xlfn.XLOOKUP(fOrcado[[#This Row],[Conta]],'Plano de Contas'!A:A,'Plano de Contas'!D:D)</f>
        <v>05 - Custo do Produto</v>
      </c>
    </row>
    <row r="666" spans="1:5" x14ac:dyDescent="0.25">
      <c r="A666" s="23">
        <f t="shared" si="8"/>
        <v>43586</v>
      </c>
      <c r="B666" s="5" t="s">
        <v>155</v>
      </c>
      <c r="C666" s="5">
        <v>-254062</v>
      </c>
      <c r="D666" s="5" t="str">
        <f>_xlfn.XLOOKUP(fOrcado[[#This Row],[Conta]],'Plano de Contas'!A:A,'Plano de Contas'!C:C)</f>
        <v>(-) Custos de Vendas</v>
      </c>
      <c r="E666" s="5" t="str">
        <f>_xlfn.XLOOKUP(fOrcado[[#This Row],[Conta]],'Plano de Contas'!A:A,'Plano de Contas'!D:D)</f>
        <v>05 - Custo do Produto</v>
      </c>
    </row>
    <row r="667" spans="1:5" x14ac:dyDescent="0.25">
      <c r="A667" s="23">
        <f t="shared" si="8"/>
        <v>43586</v>
      </c>
      <c r="B667" s="5" t="s">
        <v>156</v>
      </c>
      <c r="C667" s="5">
        <v>-226683</v>
      </c>
      <c r="D667" s="5" t="str">
        <f>_xlfn.XLOOKUP(fOrcado[[#This Row],[Conta]],'Plano de Contas'!A:A,'Plano de Contas'!C:C)</f>
        <v>(-) Custos de Vendas</v>
      </c>
      <c r="E667" s="5" t="str">
        <f>_xlfn.XLOOKUP(fOrcado[[#This Row],[Conta]],'Plano de Contas'!A:A,'Plano de Contas'!D:D)</f>
        <v>05 - Custo do Produto</v>
      </c>
    </row>
    <row r="668" spans="1:5" x14ac:dyDescent="0.25">
      <c r="A668" s="23">
        <f t="shared" si="8"/>
        <v>43586</v>
      </c>
      <c r="B668" s="5" t="s">
        <v>157</v>
      </c>
      <c r="C668" s="5">
        <v>-132695</v>
      </c>
      <c r="D668" s="5" t="str">
        <f>_xlfn.XLOOKUP(fOrcado[[#This Row],[Conta]],'Plano de Contas'!A:A,'Plano de Contas'!C:C)</f>
        <v>(-) Custos de Vendas</v>
      </c>
      <c r="E668" s="5" t="str">
        <f>_xlfn.XLOOKUP(fOrcado[[#This Row],[Conta]],'Plano de Contas'!A:A,'Plano de Contas'!D:D)</f>
        <v>05 - Custo do Produto</v>
      </c>
    </row>
    <row r="669" spans="1:5" x14ac:dyDescent="0.25">
      <c r="A669" s="23">
        <f t="shared" si="8"/>
        <v>43586</v>
      </c>
      <c r="B669" s="5" t="s">
        <v>158</v>
      </c>
      <c r="C669" s="5">
        <v>-157684</v>
      </c>
      <c r="D669" s="5" t="str">
        <f>_xlfn.XLOOKUP(fOrcado[[#This Row],[Conta]],'Plano de Contas'!A:A,'Plano de Contas'!C:C)</f>
        <v>(-) Custos de Vendas</v>
      </c>
      <c r="E669" s="5" t="str">
        <f>_xlfn.XLOOKUP(fOrcado[[#This Row],[Conta]],'Plano de Contas'!A:A,'Plano de Contas'!D:D)</f>
        <v>05 - Custo do Produto</v>
      </c>
    </row>
    <row r="670" spans="1:5" x14ac:dyDescent="0.25">
      <c r="A670" s="23">
        <f t="shared" si="8"/>
        <v>43586</v>
      </c>
      <c r="B670" s="5" t="s">
        <v>159</v>
      </c>
      <c r="C670" s="5">
        <v>-273517</v>
      </c>
      <c r="D670" s="5" t="str">
        <f>_xlfn.XLOOKUP(fOrcado[[#This Row],[Conta]],'Plano de Contas'!A:A,'Plano de Contas'!C:C)</f>
        <v>(-) Custos de Vendas</v>
      </c>
      <c r="E670" s="5" t="str">
        <f>_xlfn.XLOOKUP(fOrcado[[#This Row],[Conta]],'Plano de Contas'!A:A,'Plano de Contas'!D:D)</f>
        <v>05 - Custo do Produto</v>
      </c>
    </row>
    <row r="671" spans="1:5" x14ac:dyDescent="0.25">
      <c r="A671" s="23">
        <f t="shared" si="8"/>
        <v>43586</v>
      </c>
      <c r="B671" s="5" t="s">
        <v>160</v>
      </c>
      <c r="C671" s="5">
        <v>-285806</v>
      </c>
      <c r="D671" s="5" t="str">
        <f>_xlfn.XLOOKUP(fOrcado[[#This Row],[Conta]],'Plano de Contas'!A:A,'Plano de Contas'!C:C)</f>
        <v>(-) Custos de Vendas</v>
      </c>
      <c r="E671" s="5" t="str">
        <f>_xlfn.XLOOKUP(fOrcado[[#This Row],[Conta]],'Plano de Contas'!A:A,'Plano de Contas'!D:D)</f>
        <v>05 - Custo do Produto</v>
      </c>
    </row>
    <row r="672" spans="1:5" x14ac:dyDescent="0.25">
      <c r="A672" s="23">
        <f t="shared" si="8"/>
        <v>43586</v>
      </c>
      <c r="B672" s="5" t="s">
        <v>161</v>
      </c>
      <c r="C672" s="5">
        <v>-221793</v>
      </c>
      <c r="D672" s="5" t="str">
        <f>_xlfn.XLOOKUP(fOrcado[[#This Row],[Conta]],'Plano de Contas'!A:A,'Plano de Contas'!C:C)</f>
        <v>(-) Custos de Vendas</v>
      </c>
      <c r="E672" s="5" t="str">
        <f>_xlfn.XLOOKUP(fOrcado[[#This Row],[Conta]],'Plano de Contas'!A:A,'Plano de Contas'!D:D)</f>
        <v>05 - Custo do Produto</v>
      </c>
    </row>
    <row r="673" spans="1:5" x14ac:dyDescent="0.25">
      <c r="A673" s="23">
        <f t="shared" si="8"/>
        <v>43586</v>
      </c>
      <c r="B673" s="5" t="s">
        <v>162</v>
      </c>
      <c r="C673" s="5">
        <v>-238603</v>
      </c>
      <c r="D673" s="5" t="str">
        <f>_xlfn.XLOOKUP(fOrcado[[#This Row],[Conta]],'Plano de Contas'!A:A,'Plano de Contas'!C:C)</f>
        <v>(-) Custos de Vendas</v>
      </c>
      <c r="E673" s="5" t="str">
        <f>_xlfn.XLOOKUP(fOrcado[[#This Row],[Conta]],'Plano de Contas'!A:A,'Plano de Contas'!D:D)</f>
        <v>05 - Custo do Produto</v>
      </c>
    </row>
    <row r="674" spans="1:5" x14ac:dyDescent="0.25">
      <c r="A674" s="23">
        <f t="shared" si="8"/>
        <v>43586</v>
      </c>
      <c r="B674" s="5" t="s">
        <v>163</v>
      </c>
      <c r="C674" s="5">
        <v>-88756</v>
      </c>
      <c r="D674" s="5" t="str">
        <f>_xlfn.XLOOKUP(fOrcado[[#This Row],[Conta]],'Plano de Contas'!A:A,'Plano de Contas'!C:C)</f>
        <v>(-) Custos de Vendas</v>
      </c>
      <c r="E674" s="5" t="str">
        <f>_xlfn.XLOOKUP(fOrcado[[#This Row],[Conta]],'Plano de Contas'!A:A,'Plano de Contas'!D:D)</f>
        <v>05 - Custo do Produto</v>
      </c>
    </row>
    <row r="675" spans="1:5" x14ac:dyDescent="0.25">
      <c r="A675" s="23">
        <f t="shared" si="8"/>
        <v>43586</v>
      </c>
      <c r="B675" s="5" t="s">
        <v>164</v>
      </c>
      <c r="C675" s="5">
        <v>-62483</v>
      </c>
      <c r="D675" s="5" t="str">
        <f>_xlfn.XLOOKUP(fOrcado[[#This Row],[Conta]],'Plano de Contas'!A:A,'Plano de Contas'!C:C)</f>
        <v>(-) Custos de Vendas</v>
      </c>
      <c r="E675" s="5" t="str">
        <f>_xlfn.XLOOKUP(fOrcado[[#This Row],[Conta]],'Plano de Contas'!A:A,'Plano de Contas'!D:D)</f>
        <v>06 - Outros Custos</v>
      </c>
    </row>
    <row r="676" spans="1:5" x14ac:dyDescent="0.25">
      <c r="A676" s="23">
        <f t="shared" si="8"/>
        <v>43586</v>
      </c>
      <c r="B676" s="5" t="s">
        <v>165</v>
      </c>
      <c r="C676" s="5">
        <v>-98538</v>
      </c>
      <c r="D676" s="5" t="str">
        <f>_xlfn.XLOOKUP(fOrcado[[#This Row],[Conta]],'Plano de Contas'!A:A,'Plano de Contas'!C:C)</f>
        <v>(-) Custos de Vendas</v>
      </c>
      <c r="E676" s="5" t="str">
        <f>_xlfn.XLOOKUP(fOrcado[[#This Row],[Conta]],'Plano de Contas'!A:A,'Plano de Contas'!D:D)</f>
        <v>06 - Outros Custos</v>
      </c>
    </row>
    <row r="677" spans="1:5" x14ac:dyDescent="0.25">
      <c r="A677" s="23">
        <f t="shared" si="8"/>
        <v>43586</v>
      </c>
      <c r="B677" s="5" t="s">
        <v>166</v>
      </c>
      <c r="C677" s="5">
        <v>-75478</v>
      </c>
      <c r="D677" s="5" t="str">
        <f>_xlfn.XLOOKUP(fOrcado[[#This Row],[Conta]],'Plano de Contas'!A:A,'Plano de Contas'!C:C)</f>
        <v>(-) Custos de Vendas</v>
      </c>
      <c r="E677" s="5" t="str">
        <f>_xlfn.XLOOKUP(fOrcado[[#This Row],[Conta]],'Plano de Contas'!A:A,'Plano de Contas'!D:D)</f>
        <v>06 - Outros Custos</v>
      </c>
    </row>
    <row r="678" spans="1:5" x14ac:dyDescent="0.25">
      <c r="A678" s="23">
        <f t="shared" si="8"/>
        <v>43586</v>
      </c>
      <c r="B678" s="5" t="s">
        <v>167</v>
      </c>
      <c r="C678" s="5">
        <v>-342240</v>
      </c>
      <c r="D678" s="5" t="str">
        <f>_xlfn.XLOOKUP(fOrcado[[#This Row],[Conta]],'Plano de Contas'!A:A,'Plano de Contas'!C:C)</f>
        <v>(-) Despesas Gerais</v>
      </c>
      <c r="E678" s="5" t="str">
        <f>_xlfn.XLOOKUP(fOrcado[[#This Row],[Conta]],'Plano de Contas'!A:A,'Plano de Contas'!D:D)</f>
        <v>07 - Despesas Administrativas</v>
      </c>
    </row>
    <row r="679" spans="1:5" x14ac:dyDescent="0.25">
      <c r="A679" s="23">
        <f t="shared" si="8"/>
        <v>43586</v>
      </c>
      <c r="B679" s="5" t="s">
        <v>168</v>
      </c>
      <c r="C679" s="5">
        <v>-286071</v>
      </c>
      <c r="D679" s="5" t="str">
        <f>_xlfn.XLOOKUP(fOrcado[[#This Row],[Conta]],'Plano de Contas'!A:A,'Plano de Contas'!C:C)</f>
        <v>(-) Despesas Gerais</v>
      </c>
      <c r="E679" s="5" t="str">
        <f>_xlfn.XLOOKUP(fOrcado[[#This Row],[Conta]],'Plano de Contas'!A:A,'Plano de Contas'!D:D)</f>
        <v>07 - Despesas Administrativas</v>
      </c>
    </row>
    <row r="680" spans="1:5" x14ac:dyDescent="0.25">
      <c r="A680" s="23">
        <f t="shared" si="8"/>
        <v>43586</v>
      </c>
      <c r="B680" s="5" t="s">
        <v>169</v>
      </c>
      <c r="C680" s="5">
        <v>-203483</v>
      </c>
      <c r="D680" s="5" t="str">
        <f>_xlfn.XLOOKUP(fOrcado[[#This Row],[Conta]],'Plano de Contas'!A:A,'Plano de Contas'!C:C)</f>
        <v>(-) Despesas Gerais</v>
      </c>
      <c r="E680" s="5" t="str">
        <f>_xlfn.XLOOKUP(fOrcado[[#This Row],[Conta]],'Plano de Contas'!A:A,'Plano de Contas'!D:D)</f>
        <v>07 - Despesas Administrativas</v>
      </c>
    </row>
    <row r="681" spans="1:5" x14ac:dyDescent="0.25">
      <c r="A681" s="23">
        <f t="shared" si="8"/>
        <v>43586</v>
      </c>
      <c r="B681" s="5" t="s">
        <v>170</v>
      </c>
      <c r="C681" s="5">
        <v>-344086</v>
      </c>
      <c r="D681" s="5" t="str">
        <f>_xlfn.XLOOKUP(fOrcado[[#This Row],[Conta]],'Plano de Contas'!A:A,'Plano de Contas'!C:C)</f>
        <v>(-) Despesas Gerais</v>
      </c>
      <c r="E681" s="5" t="str">
        <f>_xlfn.XLOOKUP(fOrcado[[#This Row],[Conta]],'Plano de Contas'!A:A,'Plano de Contas'!D:D)</f>
        <v>07 - Despesas Administrativas</v>
      </c>
    </row>
    <row r="682" spans="1:5" x14ac:dyDescent="0.25">
      <c r="A682" s="23">
        <f t="shared" si="8"/>
        <v>43586</v>
      </c>
      <c r="B682" s="5" t="s">
        <v>171</v>
      </c>
      <c r="C682" s="5">
        <v>-343601</v>
      </c>
      <c r="D682" s="5" t="str">
        <f>_xlfn.XLOOKUP(fOrcado[[#This Row],[Conta]],'Plano de Contas'!A:A,'Plano de Contas'!C:C)</f>
        <v>(-) Despesas Gerais</v>
      </c>
      <c r="E682" s="5" t="str">
        <f>_xlfn.XLOOKUP(fOrcado[[#This Row],[Conta]],'Plano de Contas'!A:A,'Plano de Contas'!D:D)</f>
        <v>07 - Despesas Administrativas</v>
      </c>
    </row>
    <row r="683" spans="1:5" x14ac:dyDescent="0.25">
      <c r="A683" s="23">
        <f t="shared" si="8"/>
        <v>43586</v>
      </c>
      <c r="B683" s="5" t="s">
        <v>172</v>
      </c>
      <c r="C683" s="5">
        <v>-162102</v>
      </c>
      <c r="D683" s="5" t="str">
        <f>_xlfn.XLOOKUP(fOrcado[[#This Row],[Conta]],'Plano de Contas'!A:A,'Plano de Contas'!C:C)</f>
        <v>(-) Despesas Gerais</v>
      </c>
      <c r="E683" s="5" t="str">
        <f>_xlfn.XLOOKUP(fOrcado[[#This Row],[Conta]],'Plano de Contas'!A:A,'Plano de Contas'!D:D)</f>
        <v>07 - Despesas Administrativas</v>
      </c>
    </row>
    <row r="684" spans="1:5" x14ac:dyDescent="0.25">
      <c r="A684" s="23">
        <f t="shared" si="8"/>
        <v>43586</v>
      </c>
      <c r="B684" s="5" t="s">
        <v>173</v>
      </c>
      <c r="C684" s="5">
        <v>-49852</v>
      </c>
      <c r="D684" s="5" t="str">
        <f>_xlfn.XLOOKUP(fOrcado[[#This Row],[Conta]],'Plano de Contas'!A:A,'Plano de Contas'!C:C)</f>
        <v>(-) Despesas Gerais</v>
      </c>
      <c r="E684" s="5" t="str">
        <f>_xlfn.XLOOKUP(fOrcado[[#This Row],[Conta]],'Plano de Contas'!A:A,'Plano de Contas'!D:D)</f>
        <v>08 - Despesas Financeiras</v>
      </c>
    </row>
    <row r="685" spans="1:5" x14ac:dyDescent="0.25">
      <c r="A685" s="23">
        <f t="shared" si="8"/>
        <v>43586</v>
      </c>
      <c r="B685" s="5" t="s">
        <v>174</v>
      </c>
      <c r="C685" s="5">
        <v>-47066</v>
      </c>
      <c r="D685" s="5" t="str">
        <f>_xlfn.XLOOKUP(fOrcado[[#This Row],[Conta]],'Plano de Contas'!A:A,'Plano de Contas'!C:C)</f>
        <v>(-) Despesas Gerais</v>
      </c>
      <c r="E685" s="5" t="str">
        <f>_xlfn.XLOOKUP(fOrcado[[#This Row],[Conta]],'Plano de Contas'!A:A,'Plano de Contas'!D:D)</f>
        <v>08 - Despesas Financeiras</v>
      </c>
    </row>
    <row r="686" spans="1:5" x14ac:dyDescent="0.25">
      <c r="A686" s="23">
        <f t="shared" si="8"/>
        <v>43586</v>
      </c>
      <c r="B686" s="5" t="s">
        <v>175</v>
      </c>
      <c r="C686" s="5">
        <v>-55727</v>
      </c>
      <c r="D686" s="5" t="str">
        <f>_xlfn.XLOOKUP(fOrcado[[#This Row],[Conta]],'Plano de Contas'!A:A,'Plano de Contas'!C:C)</f>
        <v>(-) Despesas Gerais</v>
      </c>
      <c r="E686" s="5" t="str">
        <f>_xlfn.XLOOKUP(fOrcado[[#This Row],[Conta]],'Plano de Contas'!A:A,'Plano de Contas'!D:D)</f>
        <v>08 - Despesas Financeiras</v>
      </c>
    </row>
    <row r="687" spans="1:5" x14ac:dyDescent="0.25">
      <c r="A687" s="23">
        <f t="shared" si="8"/>
        <v>43586</v>
      </c>
      <c r="B687" s="5" t="s">
        <v>176</v>
      </c>
      <c r="C687" s="5">
        <v>-50530</v>
      </c>
      <c r="D687" s="5" t="str">
        <f>_xlfn.XLOOKUP(fOrcado[[#This Row],[Conta]],'Plano de Contas'!A:A,'Plano de Contas'!C:C)</f>
        <v>(-) Despesas Gerais</v>
      </c>
      <c r="E687" s="5" t="str">
        <f>_xlfn.XLOOKUP(fOrcado[[#This Row],[Conta]],'Plano de Contas'!A:A,'Plano de Contas'!D:D)</f>
        <v>08 - Despesas Financeiras</v>
      </c>
    </row>
    <row r="688" spans="1:5" x14ac:dyDescent="0.25">
      <c r="A688" s="23">
        <f t="shared" si="8"/>
        <v>43586</v>
      </c>
      <c r="B688" s="5" t="s">
        <v>177</v>
      </c>
      <c r="C688" s="5">
        <v>-46959</v>
      </c>
      <c r="D688" s="5" t="str">
        <f>_xlfn.XLOOKUP(fOrcado[[#This Row],[Conta]],'Plano de Contas'!A:A,'Plano de Contas'!C:C)</f>
        <v>(-) Despesas Gerais</v>
      </c>
      <c r="E688" s="5" t="str">
        <f>_xlfn.XLOOKUP(fOrcado[[#This Row],[Conta]],'Plano de Contas'!A:A,'Plano de Contas'!D:D)</f>
        <v>08 - Despesas Financeiras</v>
      </c>
    </row>
    <row r="689" spans="1:5" x14ac:dyDescent="0.25">
      <c r="A689" s="23">
        <f t="shared" si="8"/>
        <v>43586</v>
      </c>
      <c r="B689" s="5" t="s">
        <v>178</v>
      </c>
      <c r="C689" s="5">
        <v>-185417</v>
      </c>
      <c r="D689" s="5" t="str">
        <f>_xlfn.XLOOKUP(fOrcado[[#This Row],[Conta]],'Plano de Contas'!A:A,'Plano de Contas'!C:C)</f>
        <v>(-) Despesas Gerais</v>
      </c>
      <c r="E689" s="5" t="str">
        <f>_xlfn.XLOOKUP(fOrcado[[#This Row],[Conta]],'Plano de Contas'!A:A,'Plano de Contas'!D:D)</f>
        <v>09 - Tecnologia da Informação</v>
      </c>
    </row>
    <row r="690" spans="1:5" x14ac:dyDescent="0.25">
      <c r="A690" s="23">
        <f t="shared" si="8"/>
        <v>43586</v>
      </c>
      <c r="B690" s="5" t="s">
        <v>179</v>
      </c>
      <c r="C690" s="5">
        <v>-228035</v>
      </c>
      <c r="D690" s="5" t="str">
        <f>_xlfn.XLOOKUP(fOrcado[[#This Row],[Conta]],'Plano de Contas'!A:A,'Plano de Contas'!C:C)</f>
        <v>(-) Despesas Gerais</v>
      </c>
      <c r="E690" s="5" t="str">
        <f>_xlfn.XLOOKUP(fOrcado[[#This Row],[Conta]],'Plano de Contas'!A:A,'Plano de Contas'!D:D)</f>
        <v>09 - Tecnologia da Informação</v>
      </c>
    </row>
    <row r="691" spans="1:5" x14ac:dyDescent="0.25">
      <c r="A691" s="23">
        <f t="shared" si="8"/>
        <v>43586</v>
      </c>
      <c r="B691" s="5" t="s">
        <v>180</v>
      </c>
      <c r="C691" s="5">
        <v>-204594</v>
      </c>
      <c r="D691" s="5" t="str">
        <f>_xlfn.XLOOKUP(fOrcado[[#This Row],[Conta]],'Plano de Contas'!A:A,'Plano de Contas'!C:C)</f>
        <v>(-) Despesas Gerais</v>
      </c>
      <c r="E691" s="5" t="str">
        <f>_xlfn.XLOOKUP(fOrcado[[#This Row],[Conta]],'Plano de Contas'!A:A,'Plano de Contas'!D:D)</f>
        <v>09 - Tecnologia da Informação</v>
      </c>
    </row>
    <row r="692" spans="1:5" x14ac:dyDescent="0.25">
      <c r="A692" s="23">
        <f t="shared" si="8"/>
        <v>43586</v>
      </c>
      <c r="B692" s="5" t="s">
        <v>181</v>
      </c>
      <c r="C692" s="5">
        <v>-51211</v>
      </c>
      <c r="D692" s="5" t="str">
        <f>_xlfn.XLOOKUP(fOrcado[[#This Row],[Conta]],'Plano de Contas'!A:A,'Plano de Contas'!C:C)</f>
        <v>(-) Despesas Gerais</v>
      </c>
      <c r="E692" s="5" t="str">
        <f>_xlfn.XLOOKUP(fOrcado[[#This Row],[Conta]],'Plano de Contas'!A:A,'Plano de Contas'!D:D)</f>
        <v>10 - Recursos Humanos</v>
      </c>
    </row>
    <row r="693" spans="1:5" x14ac:dyDescent="0.25">
      <c r="A693" s="23">
        <f t="shared" si="8"/>
        <v>43586</v>
      </c>
      <c r="B693" s="5" t="s">
        <v>182</v>
      </c>
      <c r="C693" s="5">
        <v>-78398</v>
      </c>
      <c r="D693" s="5" t="str">
        <f>_xlfn.XLOOKUP(fOrcado[[#This Row],[Conta]],'Plano de Contas'!A:A,'Plano de Contas'!C:C)</f>
        <v>(-) Despesas Gerais</v>
      </c>
      <c r="E693" s="5" t="str">
        <f>_xlfn.XLOOKUP(fOrcado[[#This Row],[Conta]],'Plano de Contas'!A:A,'Plano de Contas'!D:D)</f>
        <v>10 - Recursos Humanos</v>
      </c>
    </row>
    <row r="694" spans="1:5" x14ac:dyDescent="0.25">
      <c r="A694" s="23">
        <f t="shared" si="8"/>
        <v>43586</v>
      </c>
      <c r="B694" s="5" t="s">
        <v>183</v>
      </c>
      <c r="C694" s="5">
        <v>-79917</v>
      </c>
      <c r="D694" s="5" t="str">
        <f>_xlfn.XLOOKUP(fOrcado[[#This Row],[Conta]],'Plano de Contas'!A:A,'Plano de Contas'!C:C)</f>
        <v>(-) Despesas Gerais</v>
      </c>
      <c r="E694" s="5" t="str">
        <f>_xlfn.XLOOKUP(fOrcado[[#This Row],[Conta]],'Plano de Contas'!A:A,'Plano de Contas'!D:D)</f>
        <v>10 - Recursos Humanos</v>
      </c>
    </row>
    <row r="695" spans="1:5" x14ac:dyDescent="0.25">
      <c r="A695" s="23">
        <f t="shared" si="8"/>
        <v>43586</v>
      </c>
      <c r="B695" s="5" t="s">
        <v>184</v>
      </c>
      <c r="C695" s="5">
        <v>-57436</v>
      </c>
      <c r="D695" s="5" t="str">
        <f>_xlfn.XLOOKUP(fOrcado[[#This Row],[Conta]],'Plano de Contas'!A:A,'Plano de Contas'!C:C)</f>
        <v>(-) Despesas Gerais</v>
      </c>
      <c r="E695" s="5" t="str">
        <f>_xlfn.XLOOKUP(fOrcado[[#This Row],[Conta]],'Plano de Contas'!A:A,'Plano de Contas'!D:D)</f>
        <v>10 - Recursos Humanos</v>
      </c>
    </row>
    <row r="696" spans="1:5" x14ac:dyDescent="0.25">
      <c r="A696" s="23">
        <f t="shared" si="8"/>
        <v>43586</v>
      </c>
      <c r="B696" s="5" t="s">
        <v>185</v>
      </c>
      <c r="C696" s="5">
        <v>-81935</v>
      </c>
      <c r="D696" s="5" t="str">
        <f>_xlfn.XLOOKUP(fOrcado[[#This Row],[Conta]],'Plano de Contas'!A:A,'Plano de Contas'!C:C)</f>
        <v>(-) Despesas Gerais</v>
      </c>
      <c r="E696" s="5" t="str">
        <f>_xlfn.XLOOKUP(fOrcado[[#This Row],[Conta]],'Plano de Contas'!A:A,'Plano de Contas'!D:D)</f>
        <v>11 - Relacionamento com Cliente</v>
      </c>
    </row>
    <row r="697" spans="1:5" x14ac:dyDescent="0.25">
      <c r="A697" s="23">
        <f t="shared" si="8"/>
        <v>43586</v>
      </c>
      <c r="B697" s="5" t="s">
        <v>186</v>
      </c>
      <c r="C697" s="5">
        <v>-108407</v>
      </c>
      <c r="D697" s="5" t="str">
        <f>_xlfn.XLOOKUP(fOrcado[[#This Row],[Conta]],'Plano de Contas'!A:A,'Plano de Contas'!C:C)</f>
        <v>(-) Despesas Gerais</v>
      </c>
      <c r="E697" s="5" t="str">
        <f>_xlfn.XLOOKUP(fOrcado[[#This Row],[Conta]],'Plano de Contas'!A:A,'Plano de Contas'!D:D)</f>
        <v>11 - Relacionamento com Cliente</v>
      </c>
    </row>
    <row r="698" spans="1:5" x14ac:dyDescent="0.25">
      <c r="A698" s="23">
        <f t="shared" si="8"/>
        <v>43586</v>
      </c>
      <c r="B698" s="5" t="s">
        <v>187</v>
      </c>
      <c r="C698" s="5">
        <v>-158742</v>
      </c>
      <c r="D698" s="5" t="str">
        <f>_xlfn.XLOOKUP(fOrcado[[#This Row],[Conta]],'Plano de Contas'!A:A,'Plano de Contas'!C:C)</f>
        <v>(-) Despesas Gerais</v>
      </c>
      <c r="E698" s="5" t="str">
        <f>_xlfn.XLOOKUP(fOrcado[[#This Row],[Conta]],'Plano de Contas'!A:A,'Plano de Contas'!D:D)</f>
        <v>12 - Marketing e Divulgação</v>
      </c>
    </row>
    <row r="699" spans="1:5" x14ac:dyDescent="0.25">
      <c r="A699" s="23">
        <f t="shared" si="8"/>
        <v>43586</v>
      </c>
      <c r="B699" s="5" t="s">
        <v>188</v>
      </c>
      <c r="C699" s="5">
        <v>-146005</v>
      </c>
      <c r="D699" s="5" t="str">
        <f>_xlfn.XLOOKUP(fOrcado[[#This Row],[Conta]],'Plano de Contas'!A:A,'Plano de Contas'!C:C)</f>
        <v>(-) Despesas Gerais</v>
      </c>
      <c r="E699" s="5" t="str">
        <f>_xlfn.XLOOKUP(fOrcado[[#This Row],[Conta]],'Plano de Contas'!A:A,'Plano de Contas'!D:D)</f>
        <v>12 - Marketing e Divulgação</v>
      </c>
    </row>
    <row r="700" spans="1:5" x14ac:dyDescent="0.25">
      <c r="A700" s="23">
        <f t="shared" si="8"/>
        <v>43586</v>
      </c>
      <c r="B700" s="5" t="s">
        <v>189</v>
      </c>
      <c r="C700" s="5">
        <v>-11651</v>
      </c>
      <c r="D700" s="5" t="str">
        <f>_xlfn.XLOOKUP(fOrcado[[#This Row],[Conta]],'Plano de Contas'!A:A,'Plano de Contas'!C:C)</f>
        <v>(-) Impostos</v>
      </c>
      <c r="E700" s="5" t="str">
        <f>_xlfn.XLOOKUP(fOrcado[[#This Row],[Conta]],'Plano de Contas'!A:A,'Plano de Contas'!D:D)</f>
        <v>13 - Impostos Estaduais</v>
      </c>
    </row>
    <row r="701" spans="1:5" x14ac:dyDescent="0.25">
      <c r="A701" s="23">
        <f t="shared" si="8"/>
        <v>43586</v>
      </c>
      <c r="B701" s="5" t="s">
        <v>190</v>
      </c>
      <c r="C701" s="5">
        <v>-23568</v>
      </c>
      <c r="D701" s="5" t="str">
        <f>_xlfn.XLOOKUP(fOrcado[[#This Row],[Conta]],'Plano de Contas'!A:A,'Plano de Contas'!C:C)</f>
        <v>(-) Impostos</v>
      </c>
      <c r="E701" s="5" t="str">
        <f>_xlfn.XLOOKUP(fOrcado[[#This Row],[Conta]],'Plano de Contas'!A:A,'Plano de Contas'!D:D)</f>
        <v>14 - Impostos Federais</v>
      </c>
    </row>
    <row r="702" spans="1:5" x14ac:dyDescent="0.25">
      <c r="A702" s="23">
        <f t="shared" si="8"/>
        <v>43617</v>
      </c>
      <c r="B702" s="5" t="s">
        <v>51</v>
      </c>
      <c r="C702" s="5">
        <v>568387</v>
      </c>
      <c r="D702" s="5" t="str">
        <f>_xlfn.XLOOKUP(fOrcado[[#This Row],[Conta]],'Plano de Contas'!A:A,'Plano de Contas'!C:C)</f>
        <v>(+) RECEITA BRUTA</v>
      </c>
      <c r="E702" s="5" t="str">
        <f>_xlfn.XLOOKUP(fOrcado[[#This Row],[Conta]],'Plano de Contas'!A:A,'Plano de Contas'!D:D)</f>
        <v>01 - Vendas de Produtos</v>
      </c>
    </row>
    <row r="703" spans="1:5" x14ac:dyDescent="0.25">
      <c r="A703" s="23">
        <f t="shared" si="8"/>
        <v>43617</v>
      </c>
      <c r="B703" s="5" t="s">
        <v>52</v>
      </c>
      <c r="C703" s="5">
        <v>510564</v>
      </c>
      <c r="D703" s="5" t="str">
        <f>_xlfn.XLOOKUP(fOrcado[[#This Row],[Conta]],'Plano de Contas'!A:A,'Plano de Contas'!C:C)</f>
        <v>(+) RECEITA BRUTA</v>
      </c>
      <c r="E703" s="5" t="str">
        <f>_xlfn.XLOOKUP(fOrcado[[#This Row],[Conta]],'Plano de Contas'!A:A,'Plano de Contas'!D:D)</f>
        <v>01 - Vendas de Produtos</v>
      </c>
    </row>
    <row r="704" spans="1:5" x14ac:dyDescent="0.25">
      <c r="A704" s="23">
        <f t="shared" si="8"/>
        <v>43617</v>
      </c>
      <c r="B704" s="5" t="s">
        <v>53</v>
      </c>
      <c r="C704" s="5">
        <v>654883</v>
      </c>
      <c r="D704" s="5" t="str">
        <f>_xlfn.XLOOKUP(fOrcado[[#This Row],[Conta]],'Plano de Contas'!A:A,'Plano de Contas'!C:C)</f>
        <v>(+) RECEITA BRUTA</v>
      </c>
      <c r="E704" s="5" t="str">
        <f>_xlfn.XLOOKUP(fOrcado[[#This Row],[Conta]],'Plano de Contas'!A:A,'Plano de Contas'!D:D)</f>
        <v>01 - Vendas de Produtos</v>
      </c>
    </row>
    <row r="705" spans="1:5" x14ac:dyDescent="0.25">
      <c r="A705" s="23">
        <f t="shared" si="8"/>
        <v>43617</v>
      </c>
      <c r="B705" s="5" t="s">
        <v>54</v>
      </c>
      <c r="C705" s="5">
        <v>516059</v>
      </c>
      <c r="D705" s="5" t="str">
        <f>_xlfn.XLOOKUP(fOrcado[[#This Row],[Conta]],'Plano de Contas'!A:A,'Plano de Contas'!C:C)</f>
        <v>(+) RECEITA BRUTA</v>
      </c>
      <c r="E705" s="5" t="str">
        <f>_xlfn.XLOOKUP(fOrcado[[#This Row],[Conta]],'Plano de Contas'!A:A,'Plano de Contas'!D:D)</f>
        <v>01 - Vendas de Produtos</v>
      </c>
    </row>
    <row r="706" spans="1:5" x14ac:dyDescent="0.25">
      <c r="A706" s="23">
        <f t="shared" si="8"/>
        <v>43617</v>
      </c>
      <c r="B706" s="5" t="s">
        <v>55</v>
      </c>
      <c r="C706" s="5">
        <v>886307</v>
      </c>
      <c r="D706" s="5" t="str">
        <f>_xlfn.XLOOKUP(fOrcado[[#This Row],[Conta]],'Plano de Contas'!A:A,'Plano de Contas'!C:C)</f>
        <v>(+) RECEITA BRUTA</v>
      </c>
      <c r="E706" s="5" t="str">
        <f>_xlfn.XLOOKUP(fOrcado[[#This Row],[Conta]],'Plano de Contas'!A:A,'Plano de Contas'!D:D)</f>
        <v>01 - Vendas de Produtos</v>
      </c>
    </row>
    <row r="707" spans="1:5" x14ac:dyDescent="0.25">
      <c r="A707" s="23">
        <f t="shared" si="8"/>
        <v>43617</v>
      </c>
      <c r="B707" s="5" t="s">
        <v>56</v>
      </c>
      <c r="C707" s="5">
        <v>772357</v>
      </c>
      <c r="D707" s="5" t="str">
        <f>_xlfn.XLOOKUP(fOrcado[[#This Row],[Conta]],'Plano de Contas'!A:A,'Plano de Contas'!C:C)</f>
        <v>(+) RECEITA BRUTA</v>
      </c>
      <c r="E707" s="5" t="str">
        <f>_xlfn.XLOOKUP(fOrcado[[#This Row],[Conta]],'Plano de Contas'!A:A,'Plano de Contas'!D:D)</f>
        <v>01 - Vendas de Produtos</v>
      </c>
    </row>
    <row r="708" spans="1:5" x14ac:dyDescent="0.25">
      <c r="A708" s="23">
        <f t="shared" si="8"/>
        <v>43617</v>
      </c>
      <c r="B708" s="5" t="s">
        <v>57</v>
      </c>
      <c r="C708" s="5">
        <v>362234</v>
      </c>
      <c r="D708" s="5" t="str">
        <f>_xlfn.XLOOKUP(fOrcado[[#This Row],[Conta]],'Plano de Contas'!A:A,'Plano de Contas'!C:C)</f>
        <v>(+) RECEITA BRUTA</v>
      </c>
      <c r="E708" s="5" t="str">
        <f>_xlfn.XLOOKUP(fOrcado[[#This Row],[Conta]],'Plano de Contas'!A:A,'Plano de Contas'!D:D)</f>
        <v>01 - Vendas de Produtos</v>
      </c>
    </row>
    <row r="709" spans="1:5" x14ac:dyDescent="0.25">
      <c r="A709" s="23">
        <f t="shared" si="8"/>
        <v>43617</v>
      </c>
      <c r="B709" s="5" t="s">
        <v>58</v>
      </c>
      <c r="C709" s="5">
        <v>991162</v>
      </c>
      <c r="D709" s="5" t="str">
        <f>_xlfn.XLOOKUP(fOrcado[[#This Row],[Conta]],'Plano de Contas'!A:A,'Plano de Contas'!C:C)</f>
        <v>(+) RECEITA BRUTA</v>
      </c>
      <c r="E709" s="5" t="str">
        <f>_xlfn.XLOOKUP(fOrcado[[#This Row],[Conta]],'Plano de Contas'!A:A,'Plano de Contas'!D:D)</f>
        <v>01 - Vendas de Produtos</v>
      </c>
    </row>
    <row r="710" spans="1:5" x14ac:dyDescent="0.25">
      <c r="A710" s="23">
        <f t="shared" si="8"/>
        <v>43617</v>
      </c>
      <c r="B710" s="5" t="s">
        <v>59</v>
      </c>
      <c r="C710" s="5">
        <v>698004</v>
      </c>
      <c r="D710" s="5" t="str">
        <f>_xlfn.XLOOKUP(fOrcado[[#This Row],[Conta]],'Plano de Contas'!A:A,'Plano de Contas'!C:C)</f>
        <v>(+) RECEITA BRUTA</v>
      </c>
      <c r="E710" s="5" t="str">
        <f>_xlfn.XLOOKUP(fOrcado[[#This Row],[Conta]],'Plano de Contas'!A:A,'Plano de Contas'!D:D)</f>
        <v>01 - Vendas de Produtos</v>
      </c>
    </row>
    <row r="711" spans="1:5" x14ac:dyDescent="0.25">
      <c r="A711" s="23">
        <f t="shared" si="8"/>
        <v>43617</v>
      </c>
      <c r="B711" s="5" t="s">
        <v>60</v>
      </c>
      <c r="C711" s="5">
        <v>665032</v>
      </c>
      <c r="D711" s="5" t="str">
        <f>_xlfn.XLOOKUP(fOrcado[[#This Row],[Conta]],'Plano de Contas'!A:A,'Plano de Contas'!C:C)</f>
        <v>(+) RECEITA BRUTA</v>
      </c>
      <c r="E711" s="5" t="str">
        <f>_xlfn.XLOOKUP(fOrcado[[#This Row],[Conta]],'Plano de Contas'!A:A,'Plano de Contas'!D:D)</f>
        <v>01 - Vendas de Produtos</v>
      </c>
    </row>
    <row r="712" spans="1:5" x14ac:dyDescent="0.25">
      <c r="A712" s="23">
        <f t="shared" si="8"/>
        <v>43617</v>
      </c>
      <c r="B712" s="5" t="s">
        <v>61</v>
      </c>
      <c r="C712" s="5">
        <v>843750</v>
      </c>
      <c r="D712" s="5" t="str">
        <f>_xlfn.XLOOKUP(fOrcado[[#This Row],[Conta]],'Plano de Contas'!A:A,'Plano de Contas'!C:C)</f>
        <v>(+) RECEITA BRUTA</v>
      </c>
      <c r="E712" s="5" t="str">
        <f>_xlfn.XLOOKUP(fOrcado[[#This Row],[Conta]],'Plano de Contas'!A:A,'Plano de Contas'!D:D)</f>
        <v>01 - Vendas de Produtos</v>
      </c>
    </row>
    <row r="713" spans="1:5" x14ac:dyDescent="0.25">
      <c r="A713" s="23">
        <f t="shared" si="8"/>
        <v>43617</v>
      </c>
      <c r="B713" s="5" t="s">
        <v>62</v>
      </c>
      <c r="C713" s="5">
        <v>747998</v>
      </c>
      <c r="D713" s="5" t="str">
        <f>_xlfn.XLOOKUP(fOrcado[[#This Row],[Conta]],'Plano de Contas'!A:A,'Plano de Contas'!C:C)</f>
        <v>(+) RECEITA BRUTA</v>
      </c>
      <c r="E713" s="5" t="str">
        <f>_xlfn.XLOOKUP(fOrcado[[#This Row],[Conta]],'Plano de Contas'!A:A,'Plano de Contas'!D:D)</f>
        <v>01 - Vendas de Produtos</v>
      </c>
    </row>
    <row r="714" spans="1:5" x14ac:dyDescent="0.25">
      <c r="A714" s="23">
        <f t="shared" si="8"/>
        <v>43617</v>
      </c>
      <c r="B714" s="5" t="s">
        <v>63</v>
      </c>
      <c r="C714" s="5">
        <v>764893</v>
      </c>
      <c r="D714" s="5" t="str">
        <f>_xlfn.XLOOKUP(fOrcado[[#This Row],[Conta]],'Plano de Contas'!A:A,'Plano de Contas'!C:C)</f>
        <v>(+) RECEITA BRUTA</v>
      </c>
      <c r="E714" s="5" t="str">
        <f>_xlfn.XLOOKUP(fOrcado[[#This Row],[Conta]],'Plano de Contas'!A:A,'Plano de Contas'!D:D)</f>
        <v>01 - Vendas de Produtos</v>
      </c>
    </row>
    <row r="715" spans="1:5" x14ac:dyDescent="0.25">
      <c r="A715" s="23">
        <f t="shared" si="8"/>
        <v>43617</v>
      </c>
      <c r="B715" s="5" t="s">
        <v>64</v>
      </c>
      <c r="C715" s="5">
        <v>861899</v>
      </c>
      <c r="D715" s="5" t="str">
        <f>_xlfn.XLOOKUP(fOrcado[[#This Row],[Conta]],'Plano de Contas'!A:A,'Plano de Contas'!C:C)</f>
        <v>(+) RECEITA BRUTA</v>
      </c>
      <c r="E715" s="5" t="str">
        <f>_xlfn.XLOOKUP(fOrcado[[#This Row],[Conta]],'Plano de Contas'!A:A,'Plano de Contas'!D:D)</f>
        <v>01 - Vendas de Produtos</v>
      </c>
    </row>
    <row r="716" spans="1:5" x14ac:dyDescent="0.25">
      <c r="A716" s="23">
        <f t="shared" si="8"/>
        <v>43617</v>
      </c>
      <c r="B716" s="5" t="s">
        <v>65</v>
      </c>
      <c r="C716" s="5">
        <v>353032</v>
      </c>
      <c r="D716" s="5" t="str">
        <f>_xlfn.XLOOKUP(fOrcado[[#This Row],[Conta]],'Plano de Contas'!A:A,'Plano de Contas'!C:C)</f>
        <v>(+) RECEITA BRUTA</v>
      </c>
      <c r="E716" s="5" t="str">
        <f>_xlfn.XLOOKUP(fOrcado[[#This Row],[Conta]],'Plano de Contas'!A:A,'Plano de Contas'!D:D)</f>
        <v>01 - Vendas de Produtos</v>
      </c>
    </row>
    <row r="717" spans="1:5" x14ac:dyDescent="0.25">
      <c r="A717" s="23">
        <f t="shared" si="8"/>
        <v>43617</v>
      </c>
      <c r="B717" s="5" t="s">
        <v>66</v>
      </c>
      <c r="C717" s="5">
        <v>579727</v>
      </c>
      <c r="D717" s="5" t="str">
        <f>_xlfn.XLOOKUP(fOrcado[[#This Row],[Conta]],'Plano de Contas'!A:A,'Plano de Contas'!C:C)</f>
        <v>(+) RECEITA BRUTA</v>
      </c>
      <c r="E717" s="5" t="str">
        <f>_xlfn.XLOOKUP(fOrcado[[#This Row],[Conta]],'Plano de Contas'!A:A,'Plano de Contas'!D:D)</f>
        <v>01 - Vendas de Produtos</v>
      </c>
    </row>
    <row r="718" spans="1:5" x14ac:dyDescent="0.25">
      <c r="A718" s="23">
        <f t="shared" si="8"/>
        <v>43617</v>
      </c>
      <c r="B718" s="5" t="s">
        <v>67</v>
      </c>
      <c r="C718" s="5">
        <v>429722</v>
      </c>
      <c r="D718" s="5" t="str">
        <f>_xlfn.XLOOKUP(fOrcado[[#This Row],[Conta]],'Plano de Contas'!A:A,'Plano de Contas'!C:C)</f>
        <v>(+) RECEITA BRUTA</v>
      </c>
      <c r="E718" s="5" t="str">
        <f>_xlfn.XLOOKUP(fOrcado[[#This Row],[Conta]],'Plano de Contas'!A:A,'Plano de Contas'!D:D)</f>
        <v>01 - Vendas de Produtos</v>
      </c>
    </row>
    <row r="719" spans="1:5" x14ac:dyDescent="0.25">
      <c r="A719" s="23">
        <f t="shared" ref="A719:A782" si="9">EDATE(A579,1)</f>
        <v>43617</v>
      </c>
      <c r="B719" s="5" t="s">
        <v>68</v>
      </c>
      <c r="C719" s="5">
        <v>474589</v>
      </c>
      <c r="D719" s="5" t="str">
        <f>_xlfn.XLOOKUP(fOrcado[[#This Row],[Conta]],'Plano de Contas'!A:A,'Plano de Contas'!C:C)</f>
        <v>(+) RECEITA BRUTA</v>
      </c>
      <c r="E719" s="5" t="str">
        <f>_xlfn.XLOOKUP(fOrcado[[#This Row],[Conta]],'Plano de Contas'!A:A,'Plano de Contas'!D:D)</f>
        <v>01 - Vendas de Produtos</v>
      </c>
    </row>
    <row r="720" spans="1:5" x14ac:dyDescent="0.25">
      <c r="A720" s="23">
        <f t="shared" si="9"/>
        <v>43617</v>
      </c>
      <c r="B720" s="5" t="s">
        <v>69</v>
      </c>
      <c r="C720" s="5">
        <v>395063</v>
      </c>
      <c r="D720" s="5" t="str">
        <f>_xlfn.XLOOKUP(fOrcado[[#This Row],[Conta]],'Plano de Contas'!A:A,'Plano de Contas'!C:C)</f>
        <v>(+) RECEITA BRUTA</v>
      </c>
      <c r="E720" s="5" t="str">
        <f>_xlfn.XLOOKUP(fOrcado[[#This Row],[Conta]],'Plano de Contas'!A:A,'Plano de Contas'!D:D)</f>
        <v>01 - Vendas de Produtos</v>
      </c>
    </row>
    <row r="721" spans="1:5" x14ac:dyDescent="0.25">
      <c r="A721" s="23">
        <f t="shared" si="9"/>
        <v>43617</v>
      </c>
      <c r="B721" s="5" t="s">
        <v>70</v>
      </c>
      <c r="C721" s="5">
        <v>791551</v>
      </c>
      <c r="D721" s="5" t="str">
        <f>_xlfn.XLOOKUP(fOrcado[[#This Row],[Conta]],'Plano de Contas'!A:A,'Plano de Contas'!C:C)</f>
        <v>(+) RECEITA BRUTA</v>
      </c>
      <c r="E721" s="5" t="str">
        <f>_xlfn.XLOOKUP(fOrcado[[#This Row],[Conta]],'Plano de Contas'!A:A,'Plano de Contas'!D:D)</f>
        <v>01 - Vendas de Produtos</v>
      </c>
    </row>
    <row r="722" spans="1:5" x14ac:dyDescent="0.25">
      <c r="A722" s="23">
        <f t="shared" si="9"/>
        <v>43617</v>
      </c>
      <c r="B722" s="5" t="s">
        <v>71</v>
      </c>
      <c r="C722" s="5">
        <v>987857</v>
      </c>
      <c r="D722" s="5" t="str">
        <f>_xlfn.XLOOKUP(fOrcado[[#This Row],[Conta]],'Plano de Contas'!A:A,'Plano de Contas'!C:C)</f>
        <v>(+) RECEITA BRUTA</v>
      </c>
      <c r="E722" s="5" t="str">
        <f>_xlfn.XLOOKUP(fOrcado[[#This Row],[Conta]],'Plano de Contas'!A:A,'Plano de Contas'!D:D)</f>
        <v>01 - Vendas de Produtos</v>
      </c>
    </row>
    <row r="723" spans="1:5" x14ac:dyDescent="0.25">
      <c r="A723" s="23">
        <f t="shared" si="9"/>
        <v>43617</v>
      </c>
      <c r="B723" s="5" t="s">
        <v>72</v>
      </c>
      <c r="C723" s="5">
        <v>896477</v>
      </c>
      <c r="D723" s="5" t="str">
        <f>_xlfn.XLOOKUP(fOrcado[[#This Row],[Conta]],'Plano de Contas'!A:A,'Plano de Contas'!C:C)</f>
        <v>(+) RECEITA BRUTA</v>
      </c>
      <c r="E723" s="5" t="str">
        <f>_xlfn.XLOOKUP(fOrcado[[#This Row],[Conta]],'Plano de Contas'!A:A,'Plano de Contas'!D:D)</f>
        <v>01 - Vendas de Produtos</v>
      </c>
    </row>
    <row r="724" spans="1:5" x14ac:dyDescent="0.25">
      <c r="A724" s="23">
        <f t="shared" si="9"/>
        <v>43617</v>
      </c>
      <c r="B724" s="5" t="s">
        <v>73</v>
      </c>
      <c r="C724" s="5">
        <v>144315</v>
      </c>
      <c r="D724" s="5" t="str">
        <f>_xlfn.XLOOKUP(fOrcado[[#This Row],[Conta]],'Plano de Contas'!A:A,'Plano de Contas'!C:C)</f>
        <v>(+) RECEITA BRUTA</v>
      </c>
      <c r="E724" s="5" t="str">
        <f>_xlfn.XLOOKUP(fOrcado[[#This Row],[Conta]],'Plano de Contas'!A:A,'Plano de Contas'!D:D)</f>
        <v>01 - Vendas de Produtos</v>
      </c>
    </row>
    <row r="725" spans="1:5" x14ac:dyDescent="0.25">
      <c r="A725" s="23">
        <f t="shared" si="9"/>
        <v>43617</v>
      </c>
      <c r="B725" s="5" t="s">
        <v>74</v>
      </c>
      <c r="C725" s="5">
        <v>117889</v>
      </c>
      <c r="D725" s="5" t="str">
        <f>_xlfn.XLOOKUP(fOrcado[[#This Row],[Conta]],'Plano de Contas'!A:A,'Plano de Contas'!C:C)</f>
        <v>(+) RECEITA BRUTA</v>
      </c>
      <c r="E725" s="5" t="str">
        <f>_xlfn.XLOOKUP(fOrcado[[#This Row],[Conta]],'Plano de Contas'!A:A,'Plano de Contas'!D:D)</f>
        <v>01 - Vendas de Produtos</v>
      </c>
    </row>
    <row r="726" spans="1:5" x14ac:dyDescent="0.25">
      <c r="A726" s="23">
        <f t="shared" si="9"/>
        <v>43617</v>
      </c>
      <c r="B726" s="5" t="s">
        <v>75</v>
      </c>
      <c r="C726" s="5">
        <v>286653</v>
      </c>
      <c r="D726" s="5" t="str">
        <f>_xlfn.XLOOKUP(fOrcado[[#This Row],[Conta]],'Plano de Contas'!A:A,'Plano de Contas'!C:C)</f>
        <v>(+) RECEITA BRUTA</v>
      </c>
      <c r="E726" s="5" t="str">
        <f>_xlfn.XLOOKUP(fOrcado[[#This Row],[Conta]],'Plano de Contas'!A:A,'Plano de Contas'!D:D)</f>
        <v>02 - Outras Receitas</v>
      </c>
    </row>
    <row r="727" spans="1:5" x14ac:dyDescent="0.25">
      <c r="A727" s="23">
        <f t="shared" si="9"/>
        <v>43617</v>
      </c>
      <c r="B727" s="5" t="s">
        <v>76</v>
      </c>
      <c r="C727" s="5">
        <v>182988</v>
      </c>
      <c r="D727" s="5" t="str">
        <f>_xlfn.XLOOKUP(fOrcado[[#This Row],[Conta]],'Plano de Contas'!A:A,'Plano de Contas'!C:C)</f>
        <v>(+) RECEITA BRUTA</v>
      </c>
      <c r="E727" s="5" t="str">
        <f>_xlfn.XLOOKUP(fOrcado[[#This Row],[Conta]],'Plano de Contas'!A:A,'Plano de Contas'!D:D)</f>
        <v>02 - Outras Receitas</v>
      </c>
    </row>
    <row r="728" spans="1:5" x14ac:dyDescent="0.25">
      <c r="A728" s="23">
        <f t="shared" si="9"/>
        <v>43617</v>
      </c>
      <c r="B728" s="5" t="s">
        <v>77</v>
      </c>
      <c r="C728" s="5">
        <v>80948</v>
      </c>
      <c r="D728" s="5" t="str">
        <f>_xlfn.XLOOKUP(fOrcado[[#This Row],[Conta]],'Plano de Contas'!A:A,'Plano de Contas'!C:C)</f>
        <v>(+) RECEITA BRUTA</v>
      </c>
      <c r="E728" s="5" t="str">
        <f>_xlfn.XLOOKUP(fOrcado[[#This Row],[Conta]],'Plano de Contas'!A:A,'Plano de Contas'!D:D)</f>
        <v>02 - Outras Receitas</v>
      </c>
    </row>
    <row r="729" spans="1:5" x14ac:dyDescent="0.25">
      <c r="A729" s="23">
        <f t="shared" si="9"/>
        <v>43617</v>
      </c>
      <c r="B729" s="5" t="s">
        <v>78</v>
      </c>
      <c r="C729" s="5">
        <v>87775</v>
      </c>
      <c r="D729" s="5" t="str">
        <f>_xlfn.XLOOKUP(fOrcado[[#This Row],[Conta]],'Plano de Contas'!A:A,'Plano de Contas'!C:C)</f>
        <v>(+) RECEITA BRUTA</v>
      </c>
      <c r="E729" s="5" t="str">
        <f>_xlfn.XLOOKUP(fOrcado[[#This Row],[Conta]],'Plano de Contas'!A:A,'Plano de Contas'!D:D)</f>
        <v>02 - Outras Receitas</v>
      </c>
    </row>
    <row r="730" spans="1:5" x14ac:dyDescent="0.25">
      <c r="A730" s="23">
        <f t="shared" si="9"/>
        <v>43617</v>
      </c>
      <c r="B730" s="5" t="s">
        <v>79</v>
      </c>
      <c r="C730" s="5">
        <v>190807</v>
      </c>
      <c r="D730" s="5" t="str">
        <f>_xlfn.XLOOKUP(fOrcado[[#This Row],[Conta]],'Plano de Contas'!A:A,'Plano de Contas'!C:C)</f>
        <v>(+) RECEITA BRUTA</v>
      </c>
      <c r="E730" s="5" t="str">
        <f>_xlfn.XLOOKUP(fOrcado[[#This Row],[Conta]],'Plano de Contas'!A:A,'Plano de Contas'!D:D)</f>
        <v>02 - Outras Receitas</v>
      </c>
    </row>
    <row r="731" spans="1:5" x14ac:dyDescent="0.25">
      <c r="A731" s="23">
        <f t="shared" si="9"/>
        <v>43617</v>
      </c>
      <c r="B731" s="5" t="s">
        <v>80</v>
      </c>
      <c r="C731" s="5">
        <v>270528</v>
      </c>
      <c r="D731" s="5" t="str">
        <f>_xlfn.XLOOKUP(fOrcado[[#This Row],[Conta]],'Plano de Contas'!A:A,'Plano de Contas'!C:C)</f>
        <v>(+) RECEITA BRUTA</v>
      </c>
      <c r="E731" s="5" t="str">
        <f>_xlfn.XLOOKUP(fOrcado[[#This Row],[Conta]],'Plano de Contas'!A:A,'Plano de Contas'!D:D)</f>
        <v>02 - Outras Receitas</v>
      </c>
    </row>
    <row r="732" spans="1:5" x14ac:dyDescent="0.25">
      <c r="A732" s="23">
        <f t="shared" si="9"/>
        <v>43617</v>
      </c>
      <c r="B732" s="5" t="s">
        <v>81</v>
      </c>
      <c r="C732" s="5">
        <v>73396</v>
      </c>
      <c r="D732" s="5" t="str">
        <f>_xlfn.XLOOKUP(fOrcado[[#This Row],[Conta]],'Plano de Contas'!A:A,'Plano de Contas'!C:C)</f>
        <v>(+) RECEITA BRUTA</v>
      </c>
      <c r="E732" s="5" t="str">
        <f>_xlfn.XLOOKUP(fOrcado[[#This Row],[Conta]],'Plano de Contas'!A:A,'Plano de Contas'!D:D)</f>
        <v>02 - Outras Receitas</v>
      </c>
    </row>
    <row r="733" spans="1:5" x14ac:dyDescent="0.25">
      <c r="A733" s="23">
        <f t="shared" si="9"/>
        <v>43617</v>
      </c>
      <c r="B733" s="5" t="s">
        <v>82</v>
      </c>
      <c r="C733" s="5">
        <v>81987</v>
      </c>
      <c r="D733" s="5" t="str">
        <f>_xlfn.XLOOKUP(fOrcado[[#This Row],[Conta]],'Plano de Contas'!A:A,'Plano de Contas'!C:C)</f>
        <v>(+) RECEITA BRUTA</v>
      </c>
      <c r="E733" s="5" t="str">
        <f>_xlfn.XLOOKUP(fOrcado[[#This Row],[Conta]],'Plano de Contas'!A:A,'Plano de Contas'!D:D)</f>
        <v>02 - Outras Receitas</v>
      </c>
    </row>
    <row r="734" spans="1:5" x14ac:dyDescent="0.25">
      <c r="A734" s="23">
        <f t="shared" si="9"/>
        <v>43617</v>
      </c>
      <c r="B734" s="5" t="s">
        <v>83</v>
      </c>
      <c r="C734" s="5">
        <v>88358</v>
      </c>
      <c r="D734" s="5" t="str">
        <f>_xlfn.XLOOKUP(fOrcado[[#This Row],[Conta]],'Plano de Contas'!A:A,'Plano de Contas'!C:C)</f>
        <v>(+) RECEITA BRUTA</v>
      </c>
      <c r="E734" s="5" t="str">
        <f>_xlfn.XLOOKUP(fOrcado[[#This Row],[Conta]],'Plano de Contas'!A:A,'Plano de Contas'!D:D)</f>
        <v>02 - Outras Receitas</v>
      </c>
    </row>
    <row r="735" spans="1:5" x14ac:dyDescent="0.25">
      <c r="A735" s="23">
        <f t="shared" si="9"/>
        <v>43617</v>
      </c>
      <c r="B735" s="5" t="s">
        <v>84</v>
      </c>
      <c r="C735" s="5">
        <v>230234</v>
      </c>
      <c r="D735" s="5" t="str">
        <f>_xlfn.XLOOKUP(fOrcado[[#This Row],[Conta]],'Plano de Contas'!A:A,'Plano de Contas'!C:C)</f>
        <v>(+) RECEITA BRUTA</v>
      </c>
      <c r="E735" s="5" t="str">
        <f>_xlfn.XLOOKUP(fOrcado[[#This Row],[Conta]],'Plano de Contas'!A:A,'Plano de Contas'!D:D)</f>
        <v>02 - Outras Receitas</v>
      </c>
    </row>
    <row r="736" spans="1:5" x14ac:dyDescent="0.25">
      <c r="A736" s="23">
        <f t="shared" si="9"/>
        <v>43617</v>
      </c>
      <c r="B736" s="5" t="s">
        <v>85</v>
      </c>
      <c r="C736" s="5">
        <v>184625</v>
      </c>
      <c r="D736" s="5" t="str">
        <f>_xlfn.XLOOKUP(fOrcado[[#This Row],[Conta]],'Plano de Contas'!A:A,'Plano de Contas'!C:C)</f>
        <v>(+) RECEITA BRUTA</v>
      </c>
      <c r="E736" s="5" t="str">
        <f>_xlfn.XLOOKUP(fOrcado[[#This Row],[Conta]],'Plano de Contas'!A:A,'Plano de Contas'!D:D)</f>
        <v>02 - Outras Receitas</v>
      </c>
    </row>
    <row r="737" spans="1:5" x14ac:dyDescent="0.25">
      <c r="A737" s="23">
        <f t="shared" si="9"/>
        <v>43617</v>
      </c>
      <c r="B737" s="5" t="s">
        <v>86</v>
      </c>
      <c r="C737" s="5">
        <v>235928</v>
      </c>
      <c r="D737" s="5" t="str">
        <f>_xlfn.XLOOKUP(fOrcado[[#This Row],[Conta]],'Plano de Contas'!A:A,'Plano de Contas'!C:C)</f>
        <v>(+) RECEITA BRUTA</v>
      </c>
      <c r="E737" s="5" t="str">
        <f>_xlfn.XLOOKUP(fOrcado[[#This Row],[Conta]],'Plano de Contas'!A:A,'Plano de Contas'!D:D)</f>
        <v>02 - Outras Receitas</v>
      </c>
    </row>
    <row r="738" spans="1:5" x14ac:dyDescent="0.25">
      <c r="A738" s="23">
        <f t="shared" si="9"/>
        <v>43617</v>
      </c>
      <c r="B738" s="5" t="s">
        <v>87</v>
      </c>
      <c r="C738" s="5">
        <v>133452</v>
      </c>
      <c r="D738" s="5" t="str">
        <f>_xlfn.XLOOKUP(fOrcado[[#This Row],[Conta]],'Plano de Contas'!A:A,'Plano de Contas'!C:C)</f>
        <v>(+) RECEITA BRUTA</v>
      </c>
      <c r="E738" s="5" t="str">
        <f>_xlfn.XLOOKUP(fOrcado[[#This Row],[Conta]],'Plano de Contas'!A:A,'Plano de Contas'!D:D)</f>
        <v>02 - Outras Receitas</v>
      </c>
    </row>
    <row r="739" spans="1:5" x14ac:dyDescent="0.25">
      <c r="A739" s="23">
        <f t="shared" si="9"/>
        <v>43617</v>
      </c>
      <c r="B739" s="5" t="s">
        <v>88</v>
      </c>
      <c r="C739" s="5">
        <v>145487</v>
      </c>
      <c r="D739" s="5" t="str">
        <f>_xlfn.XLOOKUP(fOrcado[[#This Row],[Conta]],'Plano de Contas'!A:A,'Plano de Contas'!C:C)</f>
        <v>(+) RECEITA BRUTA</v>
      </c>
      <c r="E739" s="5" t="str">
        <f>_xlfn.XLOOKUP(fOrcado[[#This Row],[Conta]],'Plano de Contas'!A:A,'Plano de Contas'!D:D)</f>
        <v>02 - Outras Receitas</v>
      </c>
    </row>
    <row r="740" spans="1:5" x14ac:dyDescent="0.25">
      <c r="A740" s="23">
        <f t="shared" si="9"/>
        <v>43617</v>
      </c>
      <c r="B740" s="5" t="s">
        <v>89</v>
      </c>
      <c r="C740" s="5">
        <v>297214</v>
      </c>
      <c r="D740" s="5" t="str">
        <f>_xlfn.XLOOKUP(fOrcado[[#This Row],[Conta]],'Plano de Contas'!A:A,'Plano de Contas'!C:C)</f>
        <v>(+) RECEITA BRUTA</v>
      </c>
      <c r="E740" s="5" t="str">
        <f>_xlfn.XLOOKUP(fOrcado[[#This Row],[Conta]],'Plano de Contas'!A:A,'Plano de Contas'!D:D)</f>
        <v>02 - Outras Receitas</v>
      </c>
    </row>
    <row r="741" spans="1:5" x14ac:dyDescent="0.25">
      <c r="A741" s="23">
        <f t="shared" si="9"/>
        <v>43617</v>
      </c>
      <c r="B741" s="5" t="s">
        <v>90</v>
      </c>
      <c r="C741" s="5">
        <v>92371</v>
      </c>
      <c r="D741" s="5" t="str">
        <f>_xlfn.XLOOKUP(fOrcado[[#This Row],[Conta]],'Plano de Contas'!A:A,'Plano de Contas'!C:C)</f>
        <v>(+) RECEITA BRUTA</v>
      </c>
      <c r="E741" s="5" t="str">
        <f>_xlfn.XLOOKUP(fOrcado[[#This Row],[Conta]],'Plano de Contas'!A:A,'Plano de Contas'!D:D)</f>
        <v>02 - Outras Receitas</v>
      </c>
    </row>
    <row r="742" spans="1:5" x14ac:dyDescent="0.25">
      <c r="A742" s="23">
        <f t="shared" si="9"/>
        <v>43617</v>
      </c>
      <c r="B742" s="5" t="s">
        <v>91</v>
      </c>
      <c r="C742" s="5">
        <v>264451</v>
      </c>
      <c r="D742" s="5" t="str">
        <f>_xlfn.XLOOKUP(fOrcado[[#This Row],[Conta]],'Plano de Contas'!A:A,'Plano de Contas'!C:C)</f>
        <v>(+) RECEITA BRUTA</v>
      </c>
      <c r="E742" s="5" t="str">
        <f>_xlfn.XLOOKUP(fOrcado[[#This Row],[Conta]],'Plano de Contas'!A:A,'Plano de Contas'!D:D)</f>
        <v>02 - Outras Receitas</v>
      </c>
    </row>
    <row r="743" spans="1:5" x14ac:dyDescent="0.25">
      <c r="A743" s="23">
        <f t="shared" si="9"/>
        <v>43617</v>
      </c>
      <c r="B743" s="5" t="s">
        <v>92</v>
      </c>
      <c r="C743" s="5">
        <v>268125</v>
      </c>
      <c r="D743" s="5" t="str">
        <f>_xlfn.XLOOKUP(fOrcado[[#This Row],[Conta]],'Plano de Contas'!A:A,'Plano de Contas'!C:C)</f>
        <v>(+) RECEITA BRUTA</v>
      </c>
      <c r="E743" s="5" t="str">
        <f>_xlfn.XLOOKUP(fOrcado[[#This Row],[Conta]],'Plano de Contas'!A:A,'Plano de Contas'!D:D)</f>
        <v>02 - Outras Receitas</v>
      </c>
    </row>
    <row r="744" spans="1:5" x14ac:dyDescent="0.25">
      <c r="A744" s="23">
        <f t="shared" si="9"/>
        <v>43617</v>
      </c>
      <c r="B744" s="5" t="s">
        <v>93</v>
      </c>
      <c r="C744" s="5">
        <v>157935</v>
      </c>
      <c r="D744" s="5" t="str">
        <f>_xlfn.XLOOKUP(fOrcado[[#This Row],[Conta]],'Plano de Contas'!A:A,'Plano de Contas'!C:C)</f>
        <v>(+) RECEITA BRUTA</v>
      </c>
      <c r="E744" s="5" t="str">
        <f>_xlfn.XLOOKUP(fOrcado[[#This Row],[Conta]],'Plano de Contas'!A:A,'Plano de Contas'!D:D)</f>
        <v>02 - Outras Receitas</v>
      </c>
    </row>
    <row r="745" spans="1:5" x14ac:dyDescent="0.25">
      <c r="A745" s="23">
        <f t="shared" si="9"/>
        <v>43617</v>
      </c>
      <c r="B745" s="5" t="s">
        <v>94</v>
      </c>
      <c r="C745" s="5">
        <v>248705</v>
      </c>
      <c r="D745" s="5" t="str">
        <f>_xlfn.XLOOKUP(fOrcado[[#This Row],[Conta]],'Plano de Contas'!A:A,'Plano de Contas'!C:C)</f>
        <v>(+) RECEITA BRUTA</v>
      </c>
      <c r="E745" s="5" t="str">
        <f>_xlfn.XLOOKUP(fOrcado[[#This Row],[Conta]],'Plano de Contas'!A:A,'Plano de Contas'!D:D)</f>
        <v>02 - Outras Receitas</v>
      </c>
    </row>
    <row r="746" spans="1:5" x14ac:dyDescent="0.25">
      <c r="A746" s="23">
        <f t="shared" si="9"/>
        <v>43617</v>
      </c>
      <c r="B746" s="5" t="s">
        <v>95</v>
      </c>
      <c r="C746" s="5">
        <v>151869</v>
      </c>
      <c r="D746" s="5" t="str">
        <f>_xlfn.XLOOKUP(fOrcado[[#This Row],[Conta]],'Plano de Contas'!A:A,'Plano de Contas'!C:C)</f>
        <v>(+) RECEITA BRUTA</v>
      </c>
      <c r="E746" s="5" t="str">
        <f>_xlfn.XLOOKUP(fOrcado[[#This Row],[Conta]],'Plano de Contas'!A:A,'Plano de Contas'!D:D)</f>
        <v>02 - Outras Receitas</v>
      </c>
    </row>
    <row r="747" spans="1:5" x14ac:dyDescent="0.25">
      <c r="A747" s="23">
        <f t="shared" si="9"/>
        <v>43617</v>
      </c>
      <c r="B747" s="5" t="s">
        <v>96</v>
      </c>
      <c r="C747" s="5">
        <v>151056</v>
      </c>
      <c r="D747" s="5" t="str">
        <f>_xlfn.XLOOKUP(fOrcado[[#This Row],[Conta]],'Plano de Contas'!A:A,'Plano de Contas'!C:C)</f>
        <v>(+) RECEITA BRUTA</v>
      </c>
      <c r="E747" s="5" t="str">
        <f>_xlfn.XLOOKUP(fOrcado[[#This Row],[Conta]],'Plano de Contas'!A:A,'Plano de Contas'!D:D)</f>
        <v>02 - Outras Receitas</v>
      </c>
    </row>
    <row r="748" spans="1:5" x14ac:dyDescent="0.25">
      <c r="A748" s="23">
        <f t="shared" si="9"/>
        <v>43617</v>
      </c>
      <c r="B748" s="5" t="s">
        <v>97</v>
      </c>
      <c r="C748" s="5">
        <v>125541</v>
      </c>
      <c r="D748" s="5" t="str">
        <f>_xlfn.XLOOKUP(fOrcado[[#This Row],[Conta]],'Plano de Contas'!A:A,'Plano de Contas'!C:C)</f>
        <v>(+) RECEITA BRUTA</v>
      </c>
      <c r="E748" s="5" t="str">
        <f>_xlfn.XLOOKUP(fOrcado[[#This Row],[Conta]],'Plano de Contas'!A:A,'Plano de Contas'!D:D)</f>
        <v>02 - Outras Receitas</v>
      </c>
    </row>
    <row r="749" spans="1:5" x14ac:dyDescent="0.25">
      <c r="A749" s="23">
        <f t="shared" si="9"/>
        <v>43617</v>
      </c>
      <c r="B749" s="5" t="s">
        <v>98</v>
      </c>
      <c r="C749" s="5">
        <v>194846</v>
      </c>
      <c r="D749" s="5" t="str">
        <f>_xlfn.XLOOKUP(fOrcado[[#This Row],[Conta]],'Plano de Contas'!A:A,'Plano de Contas'!C:C)</f>
        <v>(+) RECEITA BRUTA</v>
      </c>
      <c r="E749" s="5" t="str">
        <f>_xlfn.XLOOKUP(fOrcado[[#This Row],[Conta]],'Plano de Contas'!A:A,'Plano de Contas'!D:D)</f>
        <v>02 - Outras Receitas</v>
      </c>
    </row>
    <row r="750" spans="1:5" x14ac:dyDescent="0.25">
      <c r="A750" s="23">
        <f t="shared" si="9"/>
        <v>43617</v>
      </c>
      <c r="B750" s="5" t="s">
        <v>99</v>
      </c>
      <c r="C750" s="5">
        <v>229461</v>
      </c>
      <c r="D750" s="5" t="str">
        <f>_xlfn.XLOOKUP(fOrcado[[#This Row],[Conta]],'Plano de Contas'!A:A,'Plano de Contas'!C:C)</f>
        <v>(+) RECEITA BRUTA</v>
      </c>
      <c r="E750" s="5" t="str">
        <f>_xlfn.XLOOKUP(fOrcado[[#This Row],[Conta]],'Plano de Contas'!A:A,'Plano de Contas'!D:D)</f>
        <v>02 - Outras Receitas</v>
      </c>
    </row>
    <row r="751" spans="1:5" x14ac:dyDescent="0.25">
      <c r="A751" s="23">
        <f t="shared" si="9"/>
        <v>43617</v>
      </c>
      <c r="B751" s="5" t="s">
        <v>100</v>
      </c>
      <c r="C751" s="5">
        <v>72838</v>
      </c>
      <c r="D751" s="5" t="str">
        <f>_xlfn.XLOOKUP(fOrcado[[#This Row],[Conta]],'Plano de Contas'!A:A,'Plano de Contas'!C:C)</f>
        <v>(+) RECEITA BRUTA</v>
      </c>
      <c r="E751" s="5" t="str">
        <f>_xlfn.XLOOKUP(fOrcado[[#This Row],[Conta]],'Plano de Contas'!A:A,'Plano de Contas'!D:D)</f>
        <v>02 - Outras Receitas</v>
      </c>
    </row>
    <row r="752" spans="1:5" x14ac:dyDescent="0.25">
      <c r="A752" s="23">
        <f t="shared" si="9"/>
        <v>43617</v>
      </c>
      <c r="B752" s="5" t="s">
        <v>101</v>
      </c>
      <c r="C752" s="5">
        <v>73096</v>
      </c>
      <c r="D752" s="5" t="str">
        <f>_xlfn.XLOOKUP(fOrcado[[#This Row],[Conta]],'Plano de Contas'!A:A,'Plano de Contas'!C:C)</f>
        <v>(+) RECEITA BRUTA</v>
      </c>
      <c r="E752" s="5" t="str">
        <f>_xlfn.XLOOKUP(fOrcado[[#This Row],[Conta]],'Plano de Contas'!A:A,'Plano de Contas'!D:D)</f>
        <v>02 - Outras Receitas</v>
      </c>
    </row>
    <row r="753" spans="1:5" x14ac:dyDescent="0.25">
      <c r="A753" s="23">
        <f t="shared" si="9"/>
        <v>43617</v>
      </c>
      <c r="B753" s="5" t="s">
        <v>102</v>
      </c>
      <c r="C753" s="5">
        <v>228648</v>
      </c>
      <c r="D753" s="5" t="str">
        <f>_xlfn.XLOOKUP(fOrcado[[#This Row],[Conta]],'Plano de Contas'!A:A,'Plano de Contas'!C:C)</f>
        <v>(+) RECEITA BRUTA</v>
      </c>
      <c r="E753" s="5" t="str">
        <f>_xlfn.XLOOKUP(fOrcado[[#This Row],[Conta]],'Plano de Contas'!A:A,'Plano de Contas'!D:D)</f>
        <v>02 - Outras Receitas</v>
      </c>
    </row>
    <row r="754" spans="1:5" x14ac:dyDescent="0.25">
      <c r="A754" s="23">
        <f t="shared" si="9"/>
        <v>43617</v>
      </c>
      <c r="B754" s="5" t="s">
        <v>103</v>
      </c>
      <c r="C754" s="5">
        <v>96582</v>
      </c>
      <c r="D754" s="5" t="str">
        <f>_xlfn.XLOOKUP(fOrcado[[#This Row],[Conta]],'Plano de Contas'!A:A,'Plano de Contas'!C:C)</f>
        <v>(+) RECEITA BRUTA</v>
      </c>
      <c r="E754" s="5" t="str">
        <f>_xlfn.XLOOKUP(fOrcado[[#This Row],[Conta]],'Plano de Contas'!A:A,'Plano de Contas'!D:D)</f>
        <v>02 - Outras Receitas</v>
      </c>
    </row>
    <row r="755" spans="1:5" x14ac:dyDescent="0.25">
      <c r="A755" s="23">
        <f t="shared" si="9"/>
        <v>43617</v>
      </c>
      <c r="B755" s="5" t="s">
        <v>104</v>
      </c>
      <c r="C755" s="5">
        <v>109931</v>
      </c>
      <c r="D755" s="5" t="str">
        <f>_xlfn.XLOOKUP(fOrcado[[#This Row],[Conta]],'Plano de Contas'!A:A,'Plano de Contas'!C:C)</f>
        <v>(+) RECEITA BRUTA</v>
      </c>
      <c r="E755" s="5" t="str">
        <f>_xlfn.XLOOKUP(fOrcado[[#This Row],[Conta]],'Plano de Contas'!A:A,'Plano de Contas'!D:D)</f>
        <v>02 - Outras Receitas</v>
      </c>
    </row>
    <row r="756" spans="1:5" x14ac:dyDescent="0.25">
      <c r="A756" s="23">
        <f t="shared" si="9"/>
        <v>43617</v>
      </c>
      <c r="B756" s="5" t="s">
        <v>105</v>
      </c>
      <c r="C756" s="5">
        <v>184032</v>
      </c>
      <c r="D756" s="5" t="str">
        <f>_xlfn.XLOOKUP(fOrcado[[#This Row],[Conta]],'Plano de Contas'!A:A,'Plano de Contas'!C:C)</f>
        <v>(+) RECEITA BRUTA</v>
      </c>
      <c r="E756" s="5" t="str">
        <f>_xlfn.XLOOKUP(fOrcado[[#This Row],[Conta]],'Plano de Contas'!A:A,'Plano de Contas'!D:D)</f>
        <v>02 - Outras Receitas</v>
      </c>
    </row>
    <row r="757" spans="1:5" x14ac:dyDescent="0.25">
      <c r="A757" s="23">
        <f t="shared" si="9"/>
        <v>43617</v>
      </c>
      <c r="B757" s="5" t="s">
        <v>106</v>
      </c>
      <c r="C757" s="5">
        <v>155739</v>
      </c>
      <c r="D757" s="5" t="str">
        <f>_xlfn.XLOOKUP(fOrcado[[#This Row],[Conta]],'Plano de Contas'!A:A,'Plano de Contas'!C:C)</f>
        <v>(+) RECEITA BRUTA</v>
      </c>
      <c r="E757" s="5" t="str">
        <f>_xlfn.XLOOKUP(fOrcado[[#This Row],[Conta]],'Plano de Contas'!A:A,'Plano de Contas'!D:D)</f>
        <v>02 - Outras Receitas</v>
      </c>
    </row>
    <row r="758" spans="1:5" x14ac:dyDescent="0.25">
      <c r="A758" s="23">
        <f t="shared" si="9"/>
        <v>43617</v>
      </c>
      <c r="B758" s="5" t="s">
        <v>107</v>
      </c>
      <c r="C758" s="5">
        <v>263853</v>
      </c>
      <c r="D758" s="5" t="str">
        <f>_xlfn.XLOOKUP(fOrcado[[#This Row],[Conta]],'Plano de Contas'!A:A,'Plano de Contas'!C:C)</f>
        <v>(+) RECEITA BRUTA</v>
      </c>
      <c r="E758" s="5" t="str">
        <f>_xlfn.XLOOKUP(fOrcado[[#This Row],[Conta]],'Plano de Contas'!A:A,'Plano de Contas'!D:D)</f>
        <v>02 - Outras Receitas</v>
      </c>
    </row>
    <row r="759" spans="1:5" x14ac:dyDescent="0.25">
      <c r="A759" s="23">
        <f t="shared" si="9"/>
        <v>43617</v>
      </c>
      <c r="B759" s="5" t="s">
        <v>108</v>
      </c>
      <c r="C759" s="5">
        <v>203627</v>
      </c>
      <c r="D759" s="5" t="str">
        <f>_xlfn.XLOOKUP(fOrcado[[#This Row],[Conta]],'Plano de Contas'!A:A,'Plano de Contas'!C:C)</f>
        <v>(+) RECEITA BRUTA</v>
      </c>
      <c r="E759" s="5" t="str">
        <f>_xlfn.XLOOKUP(fOrcado[[#This Row],[Conta]],'Plano de Contas'!A:A,'Plano de Contas'!D:D)</f>
        <v>02 - Outras Receitas</v>
      </c>
    </row>
    <row r="760" spans="1:5" x14ac:dyDescent="0.25">
      <c r="A760" s="23">
        <f t="shared" si="9"/>
        <v>43617</v>
      </c>
      <c r="B760" s="5" t="s">
        <v>109</v>
      </c>
      <c r="C760" s="5">
        <v>106546</v>
      </c>
      <c r="D760" s="5" t="str">
        <f>_xlfn.XLOOKUP(fOrcado[[#This Row],[Conta]],'Plano de Contas'!A:A,'Plano de Contas'!C:C)</f>
        <v>(+) RECEITA BRUTA</v>
      </c>
      <c r="E760" s="5" t="str">
        <f>_xlfn.XLOOKUP(fOrcado[[#This Row],[Conta]],'Plano de Contas'!A:A,'Plano de Contas'!D:D)</f>
        <v>02 - Outras Receitas</v>
      </c>
    </row>
    <row r="761" spans="1:5" x14ac:dyDescent="0.25">
      <c r="A761" s="23">
        <f t="shared" si="9"/>
        <v>43617</v>
      </c>
      <c r="B761" s="5" t="s">
        <v>110</v>
      </c>
      <c r="C761" s="5">
        <v>-5021</v>
      </c>
      <c r="D761" s="5" t="str">
        <f>_xlfn.XLOOKUP(fOrcado[[#This Row],[Conta]],'Plano de Contas'!A:A,'Plano de Contas'!C:C)</f>
        <v>(-) Deduções da Receita</v>
      </c>
      <c r="E761" s="5" t="str">
        <f>_xlfn.XLOOKUP(fOrcado[[#This Row],[Conta]],'Plano de Contas'!A:A,'Plano de Contas'!D:D)</f>
        <v>03 - Devoluções de Produtos</v>
      </c>
    </row>
    <row r="762" spans="1:5" x14ac:dyDescent="0.25">
      <c r="A762" s="23">
        <f t="shared" si="9"/>
        <v>43617</v>
      </c>
      <c r="B762" s="5" t="s">
        <v>111</v>
      </c>
      <c r="C762" s="5">
        <v>-1017</v>
      </c>
      <c r="D762" s="5" t="str">
        <f>_xlfn.XLOOKUP(fOrcado[[#This Row],[Conta]],'Plano de Contas'!A:A,'Plano de Contas'!C:C)</f>
        <v>(-) Deduções da Receita</v>
      </c>
      <c r="E762" s="5" t="str">
        <f>_xlfn.XLOOKUP(fOrcado[[#This Row],[Conta]],'Plano de Contas'!A:A,'Plano de Contas'!D:D)</f>
        <v>03 - Devoluções de Produtos</v>
      </c>
    </row>
    <row r="763" spans="1:5" x14ac:dyDescent="0.25">
      <c r="A763" s="23">
        <f t="shared" si="9"/>
        <v>43617</v>
      </c>
      <c r="B763" s="5" t="s">
        <v>112</v>
      </c>
      <c r="C763" s="5">
        <v>-3158</v>
      </c>
      <c r="D763" s="5" t="str">
        <f>_xlfn.XLOOKUP(fOrcado[[#This Row],[Conta]],'Plano de Contas'!A:A,'Plano de Contas'!C:C)</f>
        <v>(-) Deduções da Receita</v>
      </c>
      <c r="E763" s="5" t="str">
        <f>_xlfn.XLOOKUP(fOrcado[[#This Row],[Conta]],'Plano de Contas'!A:A,'Plano de Contas'!D:D)</f>
        <v>03 - Devoluções de Produtos</v>
      </c>
    </row>
    <row r="764" spans="1:5" x14ac:dyDescent="0.25">
      <c r="A764" s="23">
        <f t="shared" si="9"/>
        <v>43617</v>
      </c>
      <c r="B764" s="5" t="s">
        <v>113</v>
      </c>
      <c r="C764" s="5">
        <v>-9937</v>
      </c>
      <c r="D764" s="5" t="str">
        <f>_xlfn.XLOOKUP(fOrcado[[#This Row],[Conta]],'Plano de Contas'!A:A,'Plano de Contas'!C:C)</f>
        <v>(-) Deduções da Receita</v>
      </c>
      <c r="E764" s="5" t="str">
        <f>_xlfn.XLOOKUP(fOrcado[[#This Row],[Conta]],'Plano de Contas'!A:A,'Plano de Contas'!D:D)</f>
        <v>03 - Devoluções de Produtos</v>
      </c>
    </row>
    <row r="765" spans="1:5" x14ac:dyDescent="0.25">
      <c r="A765" s="23">
        <f t="shared" si="9"/>
        <v>43617</v>
      </c>
      <c r="B765" s="5" t="s">
        <v>114</v>
      </c>
      <c r="C765" s="5">
        <v>-8665</v>
      </c>
      <c r="D765" s="5" t="str">
        <f>_xlfn.XLOOKUP(fOrcado[[#This Row],[Conta]],'Plano de Contas'!A:A,'Plano de Contas'!C:C)</f>
        <v>(-) Deduções da Receita</v>
      </c>
      <c r="E765" s="5" t="str">
        <f>_xlfn.XLOOKUP(fOrcado[[#This Row],[Conta]],'Plano de Contas'!A:A,'Plano de Contas'!D:D)</f>
        <v>03 - Devoluções de Produtos</v>
      </c>
    </row>
    <row r="766" spans="1:5" x14ac:dyDescent="0.25">
      <c r="A766" s="23">
        <f t="shared" si="9"/>
        <v>43617</v>
      </c>
      <c r="B766" s="5" t="s">
        <v>115</v>
      </c>
      <c r="C766" s="5">
        <v>-5723</v>
      </c>
      <c r="D766" s="5" t="str">
        <f>_xlfn.XLOOKUP(fOrcado[[#This Row],[Conta]],'Plano de Contas'!A:A,'Plano de Contas'!C:C)</f>
        <v>(-) Deduções da Receita</v>
      </c>
      <c r="E766" s="5" t="str">
        <f>_xlfn.XLOOKUP(fOrcado[[#This Row],[Conta]],'Plano de Contas'!A:A,'Plano de Contas'!D:D)</f>
        <v>03 - Devoluções de Produtos</v>
      </c>
    </row>
    <row r="767" spans="1:5" x14ac:dyDescent="0.25">
      <c r="A767" s="23">
        <f t="shared" si="9"/>
        <v>43617</v>
      </c>
      <c r="B767" s="5" t="s">
        <v>116</v>
      </c>
      <c r="C767" s="5">
        <v>-4261</v>
      </c>
      <c r="D767" s="5" t="str">
        <f>_xlfn.XLOOKUP(fOrcado[[#This Row],[Conta]],'Plano de Contas'!A:A,'Plano de Contas'!C:C)</f>
        <v>(-) Deduções da Receita</v>
      </c>
      <c r="E767" s="5" t="str">
        <f>_xlfn.XLOOKUP(fOrcado[[#This Row],[Conta]],'Plano de Contas'!A:A,'Plano de Contas'!D:D)</f>
        <v>03 - Devoluções de Produtos</v>
      </c>
    </row>
    <row r="768" spans="1:5" x14ac:dyDescent="0.25">
      <c r="A768" s="23">
        <f t="shared" si="9"/>
        <v>43617</v>
      </c>
      <c r="B768" s="5" t="s">
        <v>117</v>
      </c>
      <c r="C768" s="5">
        <v>-8202</v>
      </c>
      <c r="D768" s="5" t="str">
        <f>_xlfn.XLOOKUP(fOrcado[[#This Row],[Conta]],'Plano de Contas'!A:A,'Plano de Contas'!C:C)</f>
        <v>(-) Deduções da Receita</v>
      </c>
      <c r="E768" s="5" t="str">
        <f>_xlfn.XLOOKUP(fOrcado[[#This Row],[Conta]],'Plano de Contas'!A:A,'Plano de Contas'!D:D)</f>
        <v>03 - Devoluções de Produtos</v>
      </c>
    </row>
    <row r="769" spans="1:5" x14ac:dyDescent="0.25">
      <c r="A769" s="23">
        <f t="shared" si="9"/>
        <v>43617</v>
      </c>
      <c r="B769" s="5" t="s">
        <v>118</v>
      </c>
      <c r="C769" s="5">
        <v>-5845</v>
      </c>
      <c r="D769" s="5" t="str">
        <f>_xlfn.XLOOKUP(fOrcado[[#This Row],[Conta]],'Plano de Contas'!A:A,'Plano de Contas'!C:C)</f>
        <v>(-) Deduções da Receita</v>
      </c>
      <c r="E769" s="5" t="str">
        <f>_xlfn.XLOOKUP(fOrcado[[#This Row],[Conta]],'Plano de Contas'!A:A,'Plano de Contas'!D:D)</f>
        <v>03 - Devoluções de Produtos</v>
      </c>
    </row>
    <row r="770" spans="1:5" x14ac:dyDescent="0.25">
      <c r="A770" s="23">
        <f t="shared" si="9"/>
        <v>43617</v>
      </c>
      <c r="B770" s="5" t="s">
        <v>119</v>
      </c>
      <c r="C770" s="5">
        <v>-2593</v>
      </c>
      <c r="D770" s="5" t="str">
        <f>_xlfn.XLOOKUP(fOrcado[[#This Row],[Conta]],'Plano de Contas'!A:A,'Plano de Contas'!C:C)</f>
        <v>(-) Deduções da Receita</v>
      </c>
      <c r="E770" s="5" t="str">
        <f>_xlfn.XLOOKUP(fOrcado[[#This Row],[Conta]],'Plano de Contas'!A:A,'Plano de Contas'!D:D)</f>
        <v>03 - Devoluções de Produtos</v>
      </c>
    </row>
    <row r="771" spans="1:5" x14ac:dyDescent="0.25">
      <c r="A771" s="23">
        <f t="shared" si="9"/>
        <v>43617</v>
      </c>
      <c r="B771" s="5" t="s">
        <v>120</v>
      </c>
      <c r="C771" s="5">
        <v>-8300</v>
      </c>
      <c r="D771" s="5" t="str">
        <f>_xlfn.XLOOKUP(fOrcado[[#This Row],[Conta]],'Plano de Contas'!A:A,'Plano de Contas'!C:C)</f>
        <v>(-) Deduções da Receita</v>
      </c>
      <c r="E771" s="5" t="str">
        <f>_xlfn.XLOOKUP(fOrcado[[#This Row],[Conta]],'Plano de Contas'!A:A,'Plano de Contas'!D:D)</f>
        <v>03 - Devoluções de Produtos</v>
      </c>
    </row>
    <row r="772" spans="1:5" x14ac:dyDescent="0.25">
      <c r="A772" s="23">
        <f t="shared" si="9"/>
        <v>43617</v>
      </c>
      <c r="B772" s="5" t="s">
        <v>121</v>
      </c>
      <c r="C772" s="5">
        <v>-1686</v>
      </c>
      <c r="D772" s="5" t="str">
        <f>_xlfn.XLOOKUP(fOrcado[[#This Row],[Conta]],'Plano de Contas'!A:A,'Plano de Contas'!C:C)</f>
        <v>(-) Deduções da Receita</v>
      </c>
      <c r="E772" s="5" t="str">
        <f>_xlfn.XLOOKUP(fOrcado[[#This Row],[Conta]],'Plano de Contas'!A:A,'Plano de Contas'!D:D)</f>
        <v>03 - Devoluções de Produtos</v>
      </c>
    </row>
    <row r="773" spans="1:5" x14ac:dyDescent="0.25">
      <c r="A773" s="23">
        <f t="shared" si="9"/>
        <v>43617</v>
      </c>
      <c r="B773" s="5" t="s">
        <v>122</v>
      </c>
      <c r="C773" s="5">
        <v>-9840</v>
      </c>
      <c r="D773" s="5" t="str">
        <f>_xlfn.XLOOKUP(fOrcado[[#This Row],[Conta]],'Plano de Contas'!A:A,'Plano de Contas'!C:C)</f>
        <v>(-) Deduções da Receita</v>
      </c>
      <c r="E773" s="5" t="str">
        <f>_xlfn.XLOOKUP(fOrcado[[#This Row],[Conta]],'Plano de Contas'!A:A,'Plano de Contas'!D:D)</f>
        <v>03 - Devoluções de Produtos</v>
      </c>
    </row>
    <row r="774" spans="1:5" x14ac:dyDescent="0.25">
      <c r="A774" s="23">
        <f t="shared" si="9"/>
        <v>43617</v>
      </c>
      <c r="B774" s="5" t="s">
        <v>123</v>
      </c>
      <c r="C774" s="5">
        <v>-8510</v>
      </c>
      <c r="D774" s="5" t="str">
        <f>_xlfn.XLOOKUP(fOrcado[[#This Row],[Conta]],'Plano de Contas'!A:A,'Plano de Contas'!C:C)</f>
        <v>(-) Deduções da Receita</v>
      </c>
      <c r="E774" s="5" t="str">
        <f>_xlfn.XLOOKUP(fOrcado[[#This Row],[Conta]],'Plano de Contas'!A:A,'Plano de Contas'!D:D)</f>
        <v>03 - Devoluções de Produtos</v>
      </c>
    </row>
    <row r="775" spans="1:5" x14ac:dyDescent="0.25">
      <c r="A775" s="23">
        <f t="shared" si="9"/>
        <v>43617</v>
      </c>
      <c r="B775" s="5" t="s">
        <v>124</v>
      </c>
      <c r="C775" s="5">
        <v>-7205</v>
      </c>
      <c r="D775" s="5" t="str">
        <f>_xlfn.XLOOKUP(fOrcado[[#This Row],[Conta]],'Plano de Contas'!A:A,'Plano de Contas'!C:C)</f>
        <v>(-) Deduções da Receita</v>
      </c>
      <c r="E775" s="5" t="str">
        <f>_xlfn.XLOOKUP(fOrcado[[#This Row],[Conta]],'Plano de Contas'!A:A,'Plano de Contas'!D:D)</f>
        <v>03 - Devoluções de Produtos</v>
      </c>
    </row>
    <row r="776" spans="1:5" x14ac:dyDescent="0.25">
      <c r="A776" s="23">
        <f t="shared" si="9"/>
        <v>43617</v>
      </c>
      <c r="B776" s="5" t="s">
        <v>125</v>
      </c>
      <c r="C776" s="5">
        <v>-1447</v>
      </c>
      <c r="D776" s="5" t="str">
        <f>_xlfn.XLOOKUP(fOrcado[[#This Row],[Conta]],'Plano de Contas'!A:A,'Plano de Contas'!C:C)</f>
        <v>(-) Deduções da Receita</v>
      </c>
      <c r="E776" s="5" t="str">
        <f>_xlfn.XLOOKUP(fOrcado[[#This Row],[Conta]],'Plano de Contas'!A:A,'Plano de Contas'!D:D)</f>
        <v>03 - Devoluções de Produtos</v>
      </c>
    </row>
    <row r="777" spans="1:5" x14ac:dyDescent="0.25">
      <c r="A777" s="23">
        <f t="shared" si="9"/>
        <v>43617</v>
      </c>
      <c r="B777" s="5" t="s">
        <v>126</v>
      </c>
      <c r="C777" s="5">
        <v>-8651</v>
      </c>
      <c r="D777" s="5" t="str">
        <f>_xlfn.XLOOKUP(fOrcado[[#This Row],[Conta]],'Plano de Contas'!A:A,'Plano de Contas'!C:C)</f>
        <v>(-) Deduções da Receita</v>
      </c>
      <c r="E777" s="5" t="str">
        <f>_xlfn.XLOOKUP(fOrcado[[#This Row],[Conta]],'Plano de Contas'!A:A,'Plano de Contas'!D:D)</f>
        <v>03 - Devoluções de Produtos</v>
      </c>
    </row>
    <row r="778" spans="1:5" x14ac:dyDescent="0.25">
      <c r="A778" s="23">
        <f t="shared" si="9"/>
        <v>43617</v>
      </c>
      <c r="B778" s="5" t="s">
        <v>127</v>
      </c>
      <c r="C778" s="5">
        <v>-7305</v>
      </c>
      <c r="D778" s="5" t="str">
        <f>_xlfn.XLOOKUP(fOrcado[[#This Row],[Conta]],'Plano de Contas'!A:A,'Plano de Contas'!C:C)</f>
        <v>(-) Deduções da Receita</v>
      </c>
      <c r="E778" s="5" t="str">
        <f>_xlfn.XLOOKUP(fOrcado[[#This Row],[Conta]],'Plano de Contas'!A:A,'Plano de Contas'!D:D)</f>
        <v>03 - Devoluções de Produtos</v>
      </c>
    </row>
    <row r="779" spans="1:5" x14ac:dyDescent="0.25">
      <c r="A779" s="23">
        <f t="shared" si="9"/>
        <v>43617</v>
      </c>
      <c r="B779" s="5" t="s">
        <v>128</v>
      </c>
      <c r="C779" s="5">
        <v>-8883</v>
      </c>
      <c r="D779" s="5" t="str">
        <f>_xlfn.XLOOKUP(fOrcado[[#This Row],[Conta]],'Plano de Contas'!A:A,'Plano de Contas'!C:C)</f>
        <v>(-) Deduções da Receita</v>
      </c>
      <c r="E779" s="5" t="str">
        <f>_xlfn.XLOOKUP(fOrcado[[#This Row],[Conta]],'Plano de Contas'!A:A,'Plano de Contas'!D:D)</f>
        <v>03 - Devoluções de Produtos</v>
      </c>
    </row>
    <row r="780" spans="1:5" x14ac:dyDescent="0.25">
      <c r="A780" s="23">
        <f t="shared" si="9"/>
        <v>43617</v>
      </c>
      <c r="B780" s="5" t="s">
        <v>129</v>
      </c>
      <c r="C780" s="5">
        <v>-5846</v>
      </c>
      <c r="D780" s="5" t="str">
        <f>_xlfn.XLOOKUP(fOrcado[[#This Row],[Conta]],'Plano de Contas'!A:A,'Plano de Contas'!C:C)</f>
        <v>(-) Deduções da Receita</v>
      </c>
      <c r="E780" s="5" t="str">
        <f>_xlfn.XLOOKUP(fOrcado[[#This Row],[Conta]],'Plano de Contas'!A:A,'Plano de Contas'!D:D)</f>
        <v>03 - Devoluções de Produtos</v>
      </c>
    </row>
    <row r="781" spans="1:5" x14ac:dyDescent="0.25">
      <c r="A781" s="23">
        <f t="shared" si="9"/>
        <v>43617</v>
      </c>
      <c r="B781" s="5" t="s">
        <v>130</v>
      </c>
      <c r="C781" s="5">
        <v>-8778</v>
      </c>
      <c r="D781" s="5" t="str">
        <f>_xlfn.XLOOKUP(fOrcado[[#This Row],[Conta]],'Plano de Contas'!A:A,'Plano de Contas'!C:C)</f>
        <v>(-) Deduções da Receita</v>
      </c>
      <c r="E781" s="5" t="str">
        <f>_xlfn.XLOOKUP(fOrcado[[#This Row],[Conta]],'Plano de Contas'!A:A,'Plano de Contas'!D:D)</f>
        <v>03 - Devoluções de Produtos</v>
      </c>
    </row>
    <row r="782" spans="1:5" x14ac:dyDescent="0.25">
      <c r="A782" s="23">
        <f t="shared" si="9"/>
        <v>43617</v>
      </c>
      <c r="B782" s="5" t="s">
        <v>131</v>
      </c>
      <c r="C782" s="5">
        <v>-7805</v>
      </c>
      <c r="D782" s="5" t="str">
        <f>_xlfn.XLOOKUP(fOrcado[[#This Row],[Conta]],'Plano de Contas'!A:A,'Plano de Contas'!C:C)</f>
        <v>(-) Deduções da Receita</v>
      </c>
      <c r="E782" s="5" t="str">
        <f>_xlfn.XLOOKUP(fOrcado[[#This Row],[Conta]],'Plano de Contas'!A:A,'Plano de Contas'!D:D)</f>
        <v>03 - Devoluções de Produtos</v>
      </c>
    </row>
    <row r="783" spans="1:5" x14ac:dyDescent="0.25">
      <c r="A783" s="23">
        <f t="shared" ref="A783:A846" si="10">EDATE(A643,1)</f>
        <v>43617</v>
      </c>
      <c r="B783" s="5" t="s">
        <v>132</v>
      </c>
      <c r="C783" s="5">
        <v>-2122</v>
      </c>
      <c r="D783" s="5" t="str">
        <f>_xlfn.XLOOKUP(fOrcado[[#This Row],[Conta]],'Plano de Contas'!A:A,'Plano de Contas'!C:C)</f>
        <v>(-) Deduções da Receita</v>
      </c>
      <c r="E783" s="5" t="str">
        <f>_xlfn.XLOOKUP(fOrcado[[#This Row],[Conta]],'Plano de Contas'!A:A,'Plano de Contas'!D:D)</f>
        <v>03 - Devoluções de Produtos</v>
      </c>
    </row>
    <row r="784" spans="1:5" x14ac:dyDescent="0.25">
      <c r="A784" s="23">
        <f t="shared" si="10"/>
        <v>43617</v>
      </c>
      <c r="B784" s="5" t="s">
        <v>133</v>
      </c>
      <c r="C784" s="5">
        <v>-5194</v>
      </c>
      <c r="D784" s="5" t="str">
        <f>_xlfn.XLOOKUP(fOrcado[[#This Row],[Conta]],'Plano de Contas'!A:A,'Plano de Contas'!C:C)</f>
        <v>(-) Deduções da Receita</v>
      </c>
      <c r="E784" s="5" t="str">
        <f>_xlfn.XLOOKUP(fOrcado[[#This Row],[Conta]],'Plano de Contas'!A:A,'Plano de Contas'!D:D)</f>
        <v>03 - Devoluções de Produtos</v>
      </c>
    </row>
    <row r="785" spans="1:5" x14ac:dyDescent="0.25">
      <c r="A785" s="23">
        <f t="shared" si="10"/>
        <v>43617</v>
      </c>
      <c r="B785" s="5" t="s">
        <v>134</v>
      </c>
      <c r="C785" s="5">
        <v>-2155</v>
      </c>
      <c r="D785" s="5" t="str">
        <f>_xlfn.XLOOKUP(fOrcado[[#This Row],[Conta]],'Plano de Contas'!A:A,'Plano de Contas'!C:C)</f>
        <v>(-) Deduções da Receita</v>
      </c>
      <c r="E785" s="5" t="str">
        <f>_xlfn.XLOOKUP(fOrcado[[#This Row],[Conta]],'Plano de Contas'!A:A,'Plano de Contas'!D:D)</f>
        <v>03 - Devoluções de Produtos</v>
      </c>
    </row>
    <row r="786" spans="1:5" x14ac:dyDescent="0.25">
      <c r="A786" s="23">
        <f t="shared" si="10"/>
        <v>43617</v>
      </c>
      <c r="B786" s="5" t="s">
        <v>135</v>
      </c>
      <c r="C786" s="5">
        <v>-3848</v>
      </c>
      <c r="D786" s="5" t="str">
        <f>_xlfn.XLOOKUP(fOrcado[[#This Row],[Conta]],'Plano de Contas'!A:A,'Plano de Contas'!C:C)</f>
        <v>(-) Deduções da Receita</v>
      </c>
      <c r="E786" s="5" t="str">
        <f>_xlfn.XLOOKUP(fOrcado[[#This Row],[Conta]],'Plano de Contas'!A:A,'Plano de Contas'!D:D)</f>
        <v>03 - Devoluções de Produtos</v>
      </c>
    </row>
    <row r="787" spans="1:5" x14ac:dyDescent="0.25">
      <c r="A787" s="23">
        <f t="shared" si="10"/>
        <v>43617</v>
      </c>
      <c r="B787" s="5" t="s">
        <v>136</v>
      </c>
      <c r="C787" s="5">
        <v>-7379</v>
      </c>
      <c r="D787" s="5" t="str">
        <f>_xlfn.XLOOKUP(fOrcado[[#This Row],[Conta]],'Plano de Contas'!A:A,'Plano de Contas'!C:C)</f>
        <v>(-) Deduções da Receita</v>
      </c>
      <c r="E787" s="5" t="str">
        <f>_xlfn.XLOOKUP(fOrcado[[#This Row],[Conta]],'Plano de Contas'!A:A,'Plano de Contas'!D:D)</f>
        <v>04 - Taxas de Serviço</v>
      </c>
    </row>
    <row r="788" spans="1:5" x14ac:dyDescent="0.25">
      <c r="A788" s="23">
        <f t="shared" si="10"/>
        <v>43617</v>
      </c>
      <c r="B788" s="5" t="s">
        <v>137</v>
      </c>
      <c r="C788" s="5">
        <v>-5727</v>
      </c>
      <c r="D788" s="5" t="str">
        <f>_xlfn.XLOOKUP(fOrcado[[#This Row],[Conta]],'Plano de Contas'!A:A,'Plano de Contas'!C:C)</f>
        <v>(-) Deduções da Receita</v>
      </c>
      <c r="E788" s="5" t="str">
        <f>_xlfn.XLOOKUP(fOrcado[[#This Row],[Conta]],'Plano de Contas'!A:A,'Plano de Contas'!D:D)</f>
        <v>04 - Taxas de Serviço</v>
      </c>
    </row>
    <row r="789" spans="1:5" x14ac:dyDescent="0.25">
      <c r="A789" s="23">
        <f t="shared" si="10"/>
        <v>43617</v>
      </c>
      <c r="B789" s="5" t="s">
        <v>138</v>
      </c>
      <c r="C789" s="5">
        <v>-5461</v>
      </c>
      <c r="D789" s="5" t="str">
        <f>_xlfn.XLOOKUP(fOrcado[[#This Row],[Conta]],'Plano de Contas'!A:A,'Plano de Contas'!C:C)</f>
        <v>(-) Deduções da Receita</v>
      </c>
      <c r="E789" s="5" t="str">
        <f>_xlfn.XLOOKUP(fOrcado[[#This Row],[Conta]],'Plano de Contas'!A:A,'Plano de Contas'!D:D)</f>
        <v>04 - Taxas de Serviço</v>
      </c>
    </row>
    <row r="790" spans="1:5" x14ac:dyDescent="0.25">
      <c r="A790" s="23">
        <f t="shared" si="10"/>
        <v>43617</v>
      </c>
      <c r="B790" s="5" t="s">
        <v>139</v>
      </c>
      <c r="C790" s="5">
        <v>-7725</v>
      </c>
      <c r="D790" s="5" t="str">
        <f>_xlfn.XLOOKUP(fOrcado[[#This Row],[Conta]],'Plano de Contas'!A:A,'Plano de Contas'!C:C)</f>
        <v>(-) Deduções da Receita</v>
      </c>
      <c r="E790" s="5" t="str">
        <f>_xlfn.XLOOKUP(fOrcado[[#This Row],[Conta]],'Plano de Contas'!A:A,'Plano de Contas'!D:D)</f>
        <v>04 - Taxas de Serviço</v>
      </c>
    </row>
    <row r="791" spans="1:5" x14ac:dyDescent="0.25">
      <c r="A791" s="23">
        <f t="shared" si="10"/>
        <v>43617</v>
      </c>
      <c r="B791" s="5" t="s">
        <v>140</v>
      </c>
      <c r="C791" s="5">
        <v>-197339</v>
      </c>
      <c r="D791" s="5" t="str">
        <f>_xlfn.XLOOKUP(fOrcado[[#This Row],[Conta]],'Plano de Contas'!A:A,'Plano de Contas'!C:C)</f>
        <v>(-) Custos de Vendas</v>
      </c>
      <c r="E791" s="5" t="str">
        <f>_xlfn.XLOOKUP(fOrcado[[#This Row],[Conta]],'Plano de Contas'!A:A,'Plano de Contas'!D:D)</f>
        <v>05 - Custo do Produto</v>
      </c>
    </row>
    <row r="792" spans="1:5" x14ac:dyDescent="0.25">
      <c r="A792" s="23">
        <f t="shared" si="10"/>
        <v>43617</v>
      </c>
      <c r="B792" s="5" t="s">
        <v>141</v>
      </c>
      <c r="C792" s="5">
        <v>-276445</v>
      </c>
      <c r="D792" s="5" t="str">
        <f>_xlfn.XLOOKUP(fOrcado[[#This Row],[Conta]],'Plano de Contas'!A:A,'Plano de Contas'!C:C)</f>
        <v>(-) Custos de Vendas</v>
      </c>
      <c r="E792" s="5" t="str">
        <f>_xlfn.XLOOKUP(fOrcado[[#This Row],[Conta]],'Plano de Contas'!A:A,'Plano de Contas'!D:D)</f>
        <v>05 - Custo do Produto</v>
      </c>
    </row>
    <row r="793" spans="1:5" x14ac:dyDescent="0.25">
      <c r="A793" s="23">
        <f t="shared" si="10"/>
        <v>43617</v>
      </c>
      <c r="B793" s="5" t="s">
        <v>142</v>
      </c>
      <c r="C793" s="5">
        <v>-296228</v>
      </c>
      <c r="D793" s="5" t="str">
        <f>_xlfn.XLOOKUP(fOrcado[[#This Row],[Conta]],'Plano de Contas'!A:A,'Plano de Contas'!C:C)</f>
        <v>(-) Custos de Vendas</v>
      </c>
      <c r="E793" s="5" t="str">
        <f>_xlfn.XLOOKUP(fOrcado[[#This Row],[Conta]],'Plano de Contas'!A:A,'Plano de Contas'!D:D)</f>
        <v>05 - Custo do Produto</v>
      </c>
    </row>
    <row r="794" spans="1:5" x14ac:dyDescent="0.25">
      <c r="A794" s="23">
        <f t="shared" si="10"/>
        <v>43617</v>
      </c>
      <c r="B794" s="5" t="s">
        <v>143</v>
      </c>
      <c r="C794" s="5">
        <v>-293629</v>
      </c>
      <c r="D794" s="5" t="str">
        <f>_xlfn.XLOOKUP(fOrcado[[#This Row],[Conta]],'Plano de Contas'!A:A,'Plano de Contas'!C:C)</f>
        <v>(-) Custos de Vendas</v>
      </c>
      <c r="E794" s="5" t="str">
        <f>_xlfn.XLOOKUP(fOrcado[[#This Row],[Conta]],'Plano de Contas'!A:A,'Plano de Contas'!D:D)</f>
        <v>05 - Custo do Produto</v>
      </c>
    </row>
    <row r="795" spans="1:5" x14ac:dyDescent="0.25">
      <c r="A795" s="23">
        <f t="shared" si="10"/>
        <v>43617</v>
      </c>
      <c r="B795" s="5" t="s">
        <v>144</v>
      </c>
      <c r="C795" s="5">
        <v>-256240</v>
      </c>
      <c r="D795" s="5" t="str">
        <f>_xlfn.XLOOKUP(fOrcado[[#This Row],[Conta]],'Plano de Contas'!A:A,'Plano de Contas'!C:C)</f>
        <v>(-) Custos de Vendas</v>
      </c>
      <c r="E795" s="5" t="str">
        <f>_xlfn.XLOOKUP(fOrcado[[#This Row],[Conta]],'Plano de Contas'!A:A,'Plano de Contas'!D:D)</f>
        <v>05 - Custo do Produto</v>
      </c>
    </row>
    <row r="796" spans="1:5" x14ac:dyDescent="0.25">
      <c r="A796" s="23">
        <f t="shared" si="10"/>
        <v>43617</v>
      </c>
      <c r="B796" s="5" t="s">
        <v>145</v>
      </c>
      <c r="C796" s="5">
        <v>-201841</v>
      </c>
      <c r="D796" s="5" t="str">
        <f>_xlfn.XLOOKUP(fOrcado[[#This Row],[Conta]],'Plano de Contas'!A:A,'Plano de Contas'!C:C)</f>
        <v>(-) Custos de Vendas</v>
      </c>
      <c r="E796" s="5" t="str">
        <f>_xlfn.XLOOKUP(fOrcado[[#This Row],[Conta]],'Plano de Contas'!A:A,'Plano de Contas'!D:D)</f>
        <v>05 - Custo do Produto</v>
      </c>
    </row>
    <row r="797" spans="1:5" x14ac:dyDescent="0.25">
      <c r="A797" s="23">
        <f t="shared" si="10"/>
        <v>43617</v>
      </c>
      <c r="B797" s="5" t="s">
        <v>146</v>
      </c>
      <c r="C797" s="5">
        <v>-224869</v>
      </c>
      <c r="D797" s="5" t="str">
        <f>_xlfn.XLOOKUP(fOrcado[[#This Row],[Conta]],'Plano de Contas'!A:A,'Plano de Contas'!C:C)</f>
        <v>(-) Custos de Vendas</v>
      </c>
      <c r="E797" s="5" t="str">
        <f>_xlfn.XLOOKUP(fOrcado[[#This Row],[Conta]],'Plano de Contas'!A:A,'Plano de Contas'!D:D)</f>
        <v>05 - Custo do Produto</v>
      </c>
    </row>
    <row r="798" spans="1:5" x14ac:dyDescent="0.25">
      <c r="A798" s="23">
        <f t="shared" si="10"/>
        <v>43617</v>
      </c>
      <c r="B798" s="5" t="s">
        <v>147</v>
      </c>
      <c r="C798" s="5">
        <v>-209973</v>
      </c>
      <c r="D798" s="5" t="str">
        <f>_xlfn.XLOOKUP(fOrcado[[#This Row],[Conta]],'Plano de Contas'!A:A,'Plano de Contas'!C:C)</f>
        <v>(-) Custos de Vendas</v>
      </c>
      <c r="E798" s="5" t="str">
        <f>_xlfn.XLOOKUP(fOrcado[[#This Row],[Conta]],'Plano de Contas'!A:A,'Plano de Contas'!D:D)</f>
        <v>05 - Custo do Produto</v>
      </c>
    </row>
    <row r="799" spans="1:5" x14ac:dyDescent="0.25">
      <c r="A799" s="23">
        <f t="shared" si="10"/>
        <v>43617</v>
      </c>
      <c r="B799" s="5" t="s">
        <v>148</v>
      </c>
      <c r="C799" s="5">
        <v>-142606</v>
      </c>
      <c r="D799" s="5" t="str">
        <f>_xlfn.XLOOKUP(fOrcado[[#This Row],[Conta]],'Plano de Contas'!A:A,'Plano de Contas'!C:C)</f>
        <v>(-) Custos de Vendas</v>
      </c>
      <c r="E799" s="5" t="str">
        <f>_xlfn.XLOOKUP(fOrcado[[#This Row],[Conta]],'Plano de Contas'!A:A,'Plano de Contas'!D:D)</f>
        <v>05 - Custo do Produto</v>
      </c>
    </row>
    <row r="800" spans="1:5" x14ac:dyDescent="0.25">
      <c r="A800" s="23">
        <f t="shared" si="10"/>
        <v>43617</v>
      </c>
      <c r="B800" s="5" t="s">
        <v>149</v>
      </c>
      <c r="C800" s="5">
        <v>-275994</v>
      </c>
      <c r="D800" s="5" t="str">
        <f>_xlfn.XLOOKUP(fOrcado[[#This Row],[Conta]],'Plano de Contas'!A:A,'Plano de Contas'!C:C)</f>
        <v>(-) Custos de Vendas</v>
      </c>
      <c r="E800" s="5" t="str">
        <f>_xlfn.XLOOKUP(fOrcado[[#This Row],[Conta]],'Plano de Contas'!A:A,'Plano de Contas'!D:D)</f>
        <v>05 - Custo do Produto</v>
      </c>
    </row>
    <row r="801" spans="1:5" x14ac:dyDescent="0.25">
      <c r="A801" s="23">
        <f t="shared" si="10"/>
        <v>43617</v>
      </c>
      <c r="B801" s="5" t="s">
        <v>150</v>
      </c>
      <c r="C801" s="5">
        <v>-260737</v>
      </c>
      <c r="D801" s="5" t="str">
        <f>_xlfn.XLOOKUP(fOrcado[[#This Row],[Conta]],'Plano de Contas'!A:A,'Plano de Contas'!C:C)</f>
        <v>(-) Custos de Vendas</v>
      </c>
      <c r="E801" s="5" t="str">
        <f>_xlfn.XLOOKUP(fOrcado[[#This Row],[Conta]],'Plano de Contas'!A:A,'Plano de Contas'!D:D)</f>
        <v>05 - Custo do Produto</v>
      </c>
    </row>
    <row r="802" spans="1:5" x14ac:dyDescent="0.25">
      <c r="A802" s="23">
        <f t="shared" si="10"/>
        <v>43617</v>
      </c>
      <c r="B802" s="5" t="s">
        <v>151</v>
      </c>
      <c r="C802" s="5">
        <v>-101105</v>
      </c>
      <c r="D802" s="5" t="str">
        <f>_xlfn.XLOOKUP(fOrcado[[#This Row],[Conta]],'Plano de Contas'!A:A,'Plano de Contas'!C:C)</f>
        <v>(-) Custos de Vendas</v>
      </c>
      <c r="E802" s="5" t="str">
        <f>_xlfn.XLOOKUP(fOrcado[[#This Row],[Conta]],'Plano de Contas'!A:A,'Plano de Contas'!D:D)</f>
        <v>05 - Custo do Produto</v>
      </c>
    </row>
    <row r="803" spans="1:5" x14ac:dyDescent="0.25">
      <c r="A803" s="23">
        <f t="shared" si="10"/>
        <v>43617</v>
      </c>
      <c r="B803" s="5" t="s">
        <v>152</v>
      </c>
      <c r="C803" s="5">
        <v>-77182</v>
      </c>
      <c r="D803" s="5" t="str">
        <f>_xlfn.XLOOKUP(fOrcado[[#This Row],[Conta]],'Plano de Contas'!A:A,'Plano de Contas'!C:C)</f>
        <v>(-) Custos de Vendas</v>
      </c>
      <c r="E803" s="5" t="str">
        <f>_xlfn.XLOOKUP(fOrcado[[#This Row],[Conta]],'Plano de Contas'!A:A,'Plano de Contas'!D:D)</f>
        <v>05 - Custo do Produto</v>
      </c>
    </row>
    <row r="804" spans="1:5" x14ac:dyDescent="0.25">
      <c r="A804" s="23">
        <f t="shared" si="10"/>
        <v>43617</v>
      </c>
      <c r="B804" s="5" t="s">
        <v>153</v>
      </c>
      <c r="C804" s="5">
        <v>-287715</v>
      </c>
      <c r="D804" s="5" t="str">
        <f>_xlfn.XLOOKUP(fOrcado[[#This Row],[Conta]],'Plano de Contas'!A:A,'Plano de Contas'!C:C)</f>
        <v>(-) Custos de Vendas</v>
      </c>
      <c r="E804" s="5" t="str">
        <f>_xlfn.XLOOKUP(fOrcado[[#This Row],[Conta]],'Plano de Contas'!A:A,'Plano de Contas'!D:D)</f>
        <v>05 - Custo do Produto</v>
      </c>
    </row>
    <row r="805" spans="1:5" x14ac:dyDescent="0.25">
      <c r="A805" s="23">
        <f t="shared" si="10"/>
        <v>43617</v>
      </c>
      <c r="B805" s="5" t="s">
        <v>154</v>
      </c>
      <c r="C805" s="5">
        <v>-124102</v>
      </c>
      <c r="D805" s="5" t="str">
        <f>_xlfn.XLOOKUP(fOrcado[[#This Row],[Conta]],'Plano de Contas'!A:A,'Plano de Contas'!C:C)</f>
        <v>(-) Custos de Vendas</v>
      </c>
      <c r="E805" s="5" t="str">
        <f>_xlfn.XLOOKUP(fOrcado[[#This Row],[Conta]],'Plano de Contas'!A:A,'Plano de Contas'!D:D)</f>
        <v>05 - Custo do Produto</v>
      </c>
    </row>
    <row r="806" spans="1:5" x14ac:dyDescent="0.25">
      <c r="A806" s="23">
        <f t="shared" si="10"/>
        <v>43617</v>
      </c>
      <c r="B806" s="5" t="s">
        <v>155</v>
      </c>
      <c r="C806" s="5">
        <v>-297679</v>
      </c>
      <c r="D806" s="5" t="str">
        <f>_xlfn.XLOOKUP(fOrcado[[#This Row],[Conta]],'Plano de Contas'!A:A,'Plano de Contas'!C:C)</f>
        <v>(-) Custos de Vendas</v>
      </c>
      <c r="E806" s="5" t="str">
        <f>_xlfn.XLOOKUP(fOrcado[[#This Row],[Conta]],'Plano de Contas'!A:A,'Plano de Contas'!D:D)</f>
        <v>05 - Custo do Produto</v>
      </c>
    </row>
    <row r="807" spans="1:5" x14ac:dyDescent="0.25">
      <c r="A807" s="23">
        <f t="shared" si="10"/>
        <v>43617</v>
      </c>
      <c r="B807" s="5" t="s">
        <v>156</v>
      </c>
      <c r="C807" s="5">
        <v>-228177</v>
      </c>
      <c r="D807" s="5" t="str">
        <f>_xlfn.XLOOKUP(fOrcado[[#This Row],[Conta]],'Plano de Contas'!A:A,'Plano de Contas'!C:C)</f>
        <v>(-) Custos de Vendas</v>
      </c>
      <c r="E807" s="5" t="str">
        <f>_xlfn.XLOOKUP(fOrcado[[#This Row],[Conta]],'Plano de Contas'!A:A,'Plano de Contas'!D:D)</f>
        <v>05 - Custo do Produto</v>
      </c>
    </row>
    <row r="808" spans="1:5" x14ac:dyDescent="0.25">
      <c r="A808" s="23">
        <f t="shared" si="10"/>
        <v>43617</v>
      </c>
      <c r="B808" s="5" t="s">
        <v>157</v>
      </c>
      <c r="C808" s="5">
        <v>-268110</v>
      </c>
      <c r="D808" s="5" t="str">
        <f>_xlfn.XLOOKUP(fOrcado[[#This Row],[Conta]],'Plano de Contas'!A:A,'Plano de Contas'!C:C)</f>
        <v>(-) Custos de Vendas</v>
      </c>
      <c r="E808" s="5" t="str">
        <f>_xlfn.XLOOKUP(fOrcado[[#This Row],[Conta]],'Plano de Contas'!A:A,'Plano de Contas'!D:D)</f>
        <v>05 - Custo do Produto</v>
      </c>
    </row>
    <row r="809" spans="1:5" x14ac:dyDescent="0.25">
      <c r="A809" s="23">
        <f t="shared" si="10"/>
        <v>43617</v>
      </c>
      <c r="B809" s="5" t="s">
        <v>158</v>
      </c>
      <c r="C809" s="5">
        <v>-193523</v>
      </c>
      <c r="D809" s="5" t="str">
        <f>_xlfn.XLOOKUP(fOrcado[[#This Row],[Conta]],'Plano de Contas'!A:A,'Plano de Contas'!C:C)</f>
        <v>(-) Custos de Vendas</v>
      </c>
      <c r="E809" s="5" t="str">
        <f>_xlfn.XLOOKUP(fOrcado[[#This Row],[Conta]],'Plano de Contas'!A:A,'Plano de Contas'!D:D)</f>
        <v>05 - Custo do Produto</v>
      </c>
    </row>
    <row r="810" spans="1:5" x14ac:dyDescent="0.25">
      <c r="A810" s="23">
        <f t="shared" si="10"/>
        <v>43617</v>
      </c>
      <c r="B810" s="5" t="s">
        <v>159</v>
      </c>
      <c r="C810" s="5">
        <v>-118166</v>
      </c>
      <c r="D810" s="5" t="str">
        <f>_xlfn.XLOOKUP(fOrcado[[#This Row],[Conta]],'Plano de Contas'!A:A,'Plano de Contas'!C:C)</f>
        <v>(-) Custos de Vendas</v>
      </c>
      <c r="E810" s="5" t="str">
        <f>_xlfn.XLOOKUP(fOrcado[[#This Row],[Conta]],'Plano de Contas'!A:A,'Plano de Contas'!D:D)</f>
        <v>05 - Custo do Produto</v>
      </c>
    </row>
    <row r="811" spans="1:5" x14ac:dyDescent="0.25">
      <c r="A811" s="23">
        <f t="shared" si="10"/>
        <v>43617</v>
      </c>
      <c r="B811" s="5" t="s">
        <v>160</v>
      </c>
      <c r="C811" s="5">
        <v>-159970</v>
      </c>
      <c r="D811" s="5" t="str">
        <f>_xlfn.XLOOKUP(fOrcado[[#This Row],[Conta]],'Plano de Contas'!A:A,'Plano de Contas'!C:C)</f>
        <v>(-) Custos de Vendas</v>
      </c>
      <c r="E811" s="5" t="str">
        <f>_xlfn.XLOOKUP(fOrcado[[#This Row],[Conta]],'Plano de Contas'!A:A,'Plano de Contas'!D:D)</f>
        <v>05 - Custo do Produto</v>
      </c>
    </row>
    <row r="812" spans="1:5" x14ac:dyDescent="0.25">
      <c r="A812" s="23">
        <f t="shared" si="10"/>
        <v>43617</v>
      </c>
      <c r="B812" s="5" t="s">
        <v>161</v>
      </c>
      <c r="C812" s="5">
        <v>-262719</v>
      </c>
      <c r="D812" s="5" t="str">
        <f>_xlfn.XLOOKUP(fOrcado[[#This Row],[Conta]],'Plano de Contas'!A:A,'Plano de Contas'!C:C)</f>
        <v>(-) Custos de Vendas</v>
      </c>
      <c r="E812" s="5" t="str">
        <f>_xlfn.XLOOKUP(fOrcado[[#This Row],[Conta]],'Plano de Contas'!A:A,'Plano de Contas'!D:D)</f>
        <v>05 - Custo do Produto</v>
      </c>
    </row>
    <row r="813" spans="1:5" x14ac:dyDescent="0.25">
      <c r="A813" s="23">
        <f t="shared" si="10"/>
        <v>43617</v>
      </c>
      <c r="B813" s="5" t="s">
        <v>162</v>
      </c>
      <c r="C813" s="5">
        <v>-227548</v>
      </c>
      <c r="D813" s="5" t="str">
        <f>_xlfn.XLOOKUP(fOrcado[[#This Row],[Conta]],'Plano de Contas'!A:A,'Plano de Contas'!C:C)</f>
        <v>(-) Custos de Vendas</v>
      </c>
      <c r="E813" s="5" t="str">
        <f>_xlfn.XLOOKUP(fOrcado[[#This Row],[Conta]],'Plano de Contas'!A:A,'Plano de Contas'!D:D)</f>
        <v>05 - Custo do Produto</v>
      </c>
    </row>
    <row r="814" spans="1:5" x14ac:dyDescent="0.25">
      <c r="A814" s="23">
        <f t="shared" si="10"/>
        <v>43617</v>
      </c>
      <c r="B814" s="5" t="s">
        <v>163</v>
      </c>
      <c r="C814" s="5">
        <v>-194789</v>
      </c>
      <c r="D814" s="5" t="str">
        <f>_xlfn.XLOOKUP(fOrcado[[#This Row],[Conta]],'Plano de Contas'!A:A,'Plano de Contas'!C:C)</f>
        <v>(-) Custos de Vendas</v>
      </c>
      <c r="E814" s="5" t="str">
        <f>_xlfn.XLOOKUP(fOrcado[[#This Row],[Conta]],'Plano de Contas'!A:A,'Plano de Contas'!D:D)</f>
        <v>05 - Custo do Produto</v>
      </c>
    </row>
    <row r="815" spans="1:5" x14ac:dyDescent="0.25">
      <c r="A815" s="23">
        <f t="shared" si="10"/>
        <v>43617</v>
      </c>
      <c r="B815" s="5" t="s">
        <v>164</v>
      </c>
      <c r="C815" s="5">
        <v>-91839</v>
      </c>
      <c r="D815" s="5" t="str">
        <f>_xlfn.XLOOKUP(fOrcado[[#This Row],[Conta]],'Plano de Contas'!A:A,'Plano de Contas'!C:C)</f>
        <v>(-) Custos de Vendas</v>
      </c>
      <c r="E815" s="5" t="str">
        <f>_xlfn.XLOOKUP(fOrcado[[#This Row],[Conta]],'Plano de Contas'!A:A,'Plano de Contas'!D:D)</f>
        <v>06 - Outros Custos</v>
      </c>
    </row>
    <row r="816" spans="1:5" x14ac:dyDescent="0.25">
      <c r="A816" s="23">
        <f t="shared" si="10"/>
        <v>43617</v>
      </c>
      <c r="B816" s="5" t="s">
        <v>165</v>
      </c>
      <c r="C816" s="5">
        <v>-74602</v>
      </c>
      <c r="D816" s="5" t="str">
        <f>_xlfn.XLOOKUP(fOrcado[[#This Row],[Conta]],'Plano de Contas'!A:A,'Plano de Contas'!C:C)</f>
        <v>(-) Custos de Vendas</v>
      </c>
      <c r="E816" s="5" t="str">
        <f>_xlfn.XLOOKUP(fOrcado[[#This Row],[Conta]],'Plano de Contas'!A:A,'Plano de Contas'!D:D)</f>
        <v>06 - Outros Custos</v>
      </c>
    </row>
    <row r="817" spans="1:5" x14ac:dyDescent="0.25">
      <c r="A817" s="23">
        <f t="shared" si="10"/>
        <v>43617</v>
      </c>
      <c r="B817" s="5" t="s">
        <v>166</v>
      </c>
      <c r="C817" s="5">
        <v>-91497</v>
      </c>
      <c r="D817" s="5" t="str">
        <f>_xlfn.XLOOKUP(fOrcado[[#This Row],[Conta]],'Plano de Contas'!A:A,'Plano de Contas'!C:C)</f>
        <v>(-) Custos de Vendas</v>
      </c>
      <c r="E817" s="5" t="str">
        <f>_xlfn.XLOOKUP(fOrcado[[#This Row],[Conta]],'Plano de Contas'!A:A,'Plano de Contas'!D:D)</f>
        <v>06 - Outros Custos</v>
      </c>
    </row>
    <row r="818" spans="1:5" x14ac:dyDescent="0.25">
      <c r="A818" s="23">
        <f t="shared" si="10"/>
        <v>43617</v>
      </c>
      <c r="B818" s="5" t="s">
        <v>167</v>
      </c>
      <c r="C818" s="5">
        <v>-377625</v>
      </c>
      <c r="D818" s="5" t="str">
        <f>_xlfn.XLOOKUP(fOrcado[[#This Row],[Conta]],'Plano de Contas'!A:A,'Plano de Contas'!C:C)</f>
        <v>(-) Despesas Gerais</v>
      </c>
      <c r="E818" s="5" t="str">
        <f>_xlfn.XLOOKUP(fOrcado[[#This Row],[Conta]],'Plano de Contas'!A:A,'Plano de Contas'!D:D)</f>
        <v>07 - Despesas Administrativas</v>
      </c>
    </row>
    <row r="819" spans="1:5" x14ac:dyDescent="0.25">
      <c r="A819" s="23">
        <f t="shared" si="10"/>
        <v>43617</v>
      </c>
      <c r="B819" s="5" t="s">
        <v>168</v>
      </c>
      <c r="C819" s="5">
        <v>-293671</v>
      </c>
      <c r="D819" s="5" t="str">
        <f>_xlfn.XLOOKUP(fOrcado[[#This Row],[Conta]],'Plano de Contas'!A:A,'Plano de Contas'!C:C)</f>
        <v>(-) Despesas Gerais</v>
      </c>
      <c r="E819" s="5" t="str">
        <f>_xlfn.XLOOKUP(fOrcado[[#This Row],[Conta]],'Plano de Contas'!A:A,'Plano de Contas'!D:D)</f>
        <v>07 - Despesas Administrativas</v>
      </c>
    </row>
    <row r="820" spans="1:5" x14ac:dyDescent="0.25">
      <c r="A820" s="23">
        <f t="shared" si="10"/>
        <v>43617</v>
      </c>
      <c r="B820" s="5" t="s">
        <v>169</v>
      </c>
      <c r="C820" s="5">
        <v>-273620</v>
      </c>
      <c r="D820" s="5" t="str">
        <f>_xlfn.XLOOKUP(fOrcado[[#This Row],[Conta]],'Plano de Contas'!A:A,'Plano de Contas'!C:C)</f>
        <v>(-) Despesas Gerais</v>
      </c>
      <c r="E820" s="5" t="str">
        <f>_xlfn.XLOOKUP(fOrcado[[#This Row],[Conta]],'Plano de Contas'!A:A,'Plano de Contas'!D:D)</f>
        <v>07 - Despesas Administrativas</v>
      </c>
    </row>
    <row r="821" spans="1:5" x14ac:dyDescent="0.25">
      <c r="A821" s="23">
        <f t="shared" si="10"/>
        <v>43617</v>
      </c>
      <c r="B821" s="5" t="s">
        <v>170</v>
      </c>
      <c r="C821" s="5">
        <v>-134012</v>
      </c>
      <c r="D821" s="5" t="str">
        <f>_xlfn.XLOOKUP(fOrcado[[#This Row],[Conta]],'Plano de Contas'!A:A,'Plano de Contas'!C:C)</f>
        <v>(-) Despesas Gerais</v>
      </c>
      <c r="E821" s="5" t="str">
        <f>_xlfn.XLOOKUP(fOrcado[[#This Row],[Conta]],'Plano de Contas'!A:A,'Plano de Contas'!D:D)</f>
        <v>07 - Despesas Administrativas</v>
      </c>
    </row>
    <row r="822" spans="1:5" x14ac:dyDescent="0.25">
      <c r="A822" s="23">
        <f t="shared" si="10"/>
        <v>43617</v>
      </c>
      <c r="B822" s="5" t="s">
        <v>171</v>
      </c>
      <c r="C822" s="5">
        <v>-183994</v>
      </c>
      <c r="D822" s="5" t="str">
        <f>_xlfn.XLOOKUP(fOrcado[[#This Row],[Conta]],'Plano de Contas'!A:A,'Plano de Contas'!C:C)</f>
        <v>(-) Despesas Gerais</v>
      </c>
      <c r="E822" s="5" t="str">
        <f>_xlfn.XLOOKUP(fOrcado[[#This Row],[Conta]],'Plano de Contas'!A:A,'Plano de Contas'!D:D)</f>
        <v>07 - Despesas Administrativas</v>
      </c>
    </row>
    <row r="823" spans="1:5" x14ac:dyDescent="0.25">
      <c r="A823" s="23">
        <f t="shared" si="10"/>
        <v>43617</v>
      </c>
      <c r="B823" s="5" t="s">
        <v>172</v>
      </c>
      <c r="C823" s="5">
        <v>-349441</v>
      </c>
      <c r="D823" s="5" t="str">
        <f>_xlfn.XLOOKUP(fOrcado[[#This Row],[Conta]],'Plano de Contas'!A:A,'Plano de Contas'!C:C)</f>
        <v>(-) Despesas Gerais</v>
      </c>
      <c r="E823" s="5" t="str">
        <f>_xlfn.XLOOKUP(fOrcado[[#This Row],[Conta]],'Plano de Contas'!A:A,'Plano de Contas'!D:D)</f>
        <v>07 - Despesas Administrativas</v>
      </c>
    </row>
    <row r="824" spans="1:5" x14ac:dyDescent="0.25">
      <c r="A824" s="23">
        <f t="shared" si="10"/>
        <v>43617</v>
      </c>
      <c r="B824" s="5" t="s">
        <v>173</v>
      </c>
      <c r="C824" s="5">
        <v>-53648</v>
      </c>
      <c r="D824" s="5" t="str">
        <f>_xlfn.XLOOKUP(fOrcado[[#This Row],[Conta]],'Plano de Contas'!A:A,'Plano de Contas'!C:C)</f>
        <v>(-) Despesas Gerais</v>
      </c>
      <c r="E824" s="5" t="str">
        <f>_xlfn.XLOOKUP(fOrcado[[#This Row],[Conta]],'Plano de Contas'!A:A,'Plano de Contas'!D:D)</f>
        <v>08 - Despesas Financeiras</v>
      </c>
    </row>
    <row r="825" spans="1:5" x14ac:dyDescent="0.25">
      <c r="A825" s="23">
        <f t="shared" si="10"/>
        <v>43617</v>
      </c>
      <c r="B825" s="5" t="s">
        <v>174</v>
      </c>
      <c r="C825" s="5">
        <v>-40293</v>
      </c>
      <c r="D825" s="5" t="str">
        <f>_xlfn.XLOOKUP(fOrcado[[#This Row],[Conta]],'Plano de Contas'!A:A,'Plano de Contas'!C:C)</f>
        <v>(-) Despesas Gerais</v>
      </c>
      <c r="E825" s="5" t="str">
        <f>_xlfn.XLOOKUP(fOrcado[[#This Row],[Conta]],'Plano de Contas'!A:A,'Plano de Contas'!D:D)</f>
        <v>08 - Despesas Financeiras</v>
      </c>
    </row>
    <row r="826" spans="1:5" x14ac:dyDescent="0.25">
      <c r="A826" s="23">
        <f t="shared" si="10"/>
        <v>43617</v>
      </c>
      <c r="B826" s="5" t="s">
        <v>175</v>
      </c>
      <c r="C826" s="5">
        <v>-51838</v>
      </c>
      <c r="D826" s="5" t="str">
        <f>_xlfn.XLOOKUP(fOrcado[[#This Row],[Conta]],'Plano de Contas'!A:A,'Plano de Contas'!C:C)</f>
        <v>(-) Despesas Gerais</v>
      </c>
      <c r="E826" s="5" t="str">
        <f>_xlfn.XLOOKUP(fOrcado[[#This Row],[Conta]],'Plano de Contas'!A:A,'Plano de Contas'!D:D)</f>
        <v>08 - Despesas Financeiras</v>
      </c>
    </row>
    <row r="827" spans="1:5" x14ac:dyDescent="0.25">
      <c r="A827" s="23">
        <f t="shared" si="10"/>
        <v>43617</v>
      </c>
      <c r="B827" s="5" t="s">
        <v>176</v>
      </c>
      <c r="C827" s="5">
        <v>-52267</v>
      </c>
      <c r="D827" s="5" t="str">
        <f>_xlfn.XLOOKUP(fOrcado[[#This Row],[Conta]],'Plano de Contas'!A:A,'Plano de Contas'!C:C)</f>
        <v>(-) Despesas Gerais</v>
      </c>
      <c r="E827" s="5" t="str">
        <f>_xlfn.XLOOKUP(fOrcado[[#This Row],[Conta]],'Plano de Contas'!A:A,'Plano de Contas'!D:D)</f>
        <v>08 - Despesas Financeiras</v>
      </c>
    </row>
    <row r="828" spans="1:5" x14ac:dyDescent="0.25">
      <c r="A828" s="23">
        <f t="shared" si="10"/>
        <v>43617</v>
      </c>
      <c r="B828" s="5" t="s">
        <v>177</v>
      </c>
      <c r="C828" s="5">
        <v>-56609</v>
      </c>
      <c r="D828" s="5" t="str">
        <f>_xlfn.XLOOKUP(fOrcado[[#This Row],[Conta]],'Plano de Contas'!A:A,'Plano de Contas'!C:C)</f>
        <v>(-) Despesas Gerais</v>
      </c>
      <c r="E828" s="5" t="str">
        <f>_xlfn.XLOOKUP(fOrcado[[#This Row],[Conta]],'Plano de Contas'!A:A,'Plano de Contas'!D:D)</f>
        <v>08 - Despesas Financeiras</v>
      </c>
    </row>
    <row r="829" spans="1:5" x14ac:dyDescent="0.25">
      <c r="A829" s="23">
        <f t="shared" si="10"/>
        <v>43617</v>
      </c>
      <c r="B829" s="5" t="s">
        <v>178</v>
      </c>
      <c r="C829" s="5">
        <v>-268436</v>
      </c>
      <c r="D829" s="5" t="str">
        <f>_xlfn.XLOOKUP(fOrcado[[#This Row],[Conta]],'Plano de Contas'!A:A,'Plano de Contas'!C:C)</f>
        <v>(-) Despesas Gerais</v>
      </c>
      <c r="E829" s="5" t="str">
        <f>_xlfn.XLOOKUP(fOrcado[[#This Row],[Conta]],'Plano de Contas'!A:A,'Plano de Contas'!D:D)</f>
        <v>09 - Tecnologia da Informação</v>
      </c>
    </row>
    <row r="830" spans="1:5" x14ac:dyDescent="0.25">
      <c r="A830" s="23">
        <f t="shared" si="10"/>
        <v>43617</v>
      </c>
      <c r="B830" s="5" t="s">
        <v>179</v>
      </c>
      <c r="C830" s="5">
        <v>-271722</v>
      </c>
      <c r="D830" s="5" t="str">
        <f>_xlfn.XLOOKUP(fOrcado[[#This Row],[Conta]],'Plano de Contas'!A:A,'Plano de Contas'!C:C)</f>
        <v>(-) Despesas Gerais</v>
      </c>
      <c r="E830" s="5" t="str">
        <f>_xlfn.XLOOKUP(fOrcado[[#This Row],[Conta]],'Plano de Contas'!A:A,'Plano de Contas'!D:D)</f>
        <v>09 - Tecnologia da Informação</v>
      </c>
    </row>
    <row r="831" spans="1:5" x14ac:dyDescent="0.25">
      <c r="A831" s="23">
        <f t="shared" si="10"/>
        <v>43617</v>
      </c>
      <c r="B831" s="5" t="s">
        <v>180</v>
      </c>
      <c r="C831" s="5">
        <v>-128335</v>
      </c>
      <c r="D831" s="5" t="str">
        <f>_xlfn.XLOOKUP(fOrcado[[#This Row],[Conta]],'Plano de Contas'!A:A,'Plano de Contas'!C:C)</f>
        <v>(-) Despesas Gerais</v>
      </c>
      <c r="E831" s="5" t="str">
        <f>_xlfn.XLOOKUP(fOrcado[[#This Row],[Conta]],'Plano de Contas'!A:A,'Plano de Contas'!D:D)</f>
        <v>09 - Tecnologia da Informação</v>
      </c>
    </row>
    <row r="832" spans="1:5" x14ac:dyDescent="0.25">
      <c r="A832" s="23">
        <f t="shared" si="10"/>
        <v>43617</v>
      </c>
      <c r="B832" s="5" t="s">
        <v>181</v>
      </c>
      <c r="C832" s="5">
        <v>-78536</v>
      </c>
      <c r="D832" s="5" t="str">
        <f>_xlfn.XLOOKUP(fOrcado[[#This Row],[Conta]],'Plano de Contas'!A:A,'Plano de Contas'!C:C)</f>
        <v>(-) Despesas Gerais</v>
      </c>
      <c r="E832" s="5" t="str">
        <f>_xlfn.XLOOKUP(fOrcado[[#This Row],[Conta]],'Plano de Contas'!A:A,'Plano de Contas'!D:D)</f>
        <v>10 - Recursos Humanos</v>
      </c>
    </row>
    <row r="833" spans="1:5" x14ac:dyDescent="0.25">
      <c r="A833" s="23">
        <f t="shared" si="10"/>
        <v>43617</v>
      </c>
      <c r="B833" s="5" t="s">
        <v>182</v>
      </c>
      <c r="C833" s="5">
        <v>-54130</v>
      </c>
      <c r="D833" s="5" t="str">
        <f>_xlfn.XLOOKUP(fOrcado[[#This Row],[Conta]],'Plano de Contas'!A:A,'Plano de Contas'!C:C)</f>
        <v>(-) Despesas Gerais</v>
      </c>
      <c r="E833" s="5" t="str">
        <f>_xlfn.XLOOKUP(fOrcado[[#This Row],[Conta]],'Plano de Contas'!A:A,'Plano de Contas'!D:D)</f>
        <v>10 - Recursos Humanos</v>
      </c>
    </row>
    <row r="834" spans="1:5" x14ac:dyDescent="0.25">
      <c r="A834" s="23">
        <f t="shared" si="10"/>
        <v>43617</v>
      </c>
      <c r="B834" s="5" t="s">
        <v>183</v>
      </c>
      <c r="C834" s="5">
        <v>-72680</v>
      </c>
      <c r="D834" s="5" t="str">
        <f>_xlfn.XLOOKUP(fOrcado[[#This Row],[Conta]],'Plano de Contas'!A:A,'Plano de Contas'!C:C)</f>
        <v>(-) Despesas Gerais</v>
      </c>
      <c r="E834" s="5" t="str">
        <f>_xlfn.XLOOKUP(fOrcado[[#This Row],[Conta]],'Plano de Contas'!A:A,'Plano de Contas'!D:D)</f>
        <v>10 - Recursos Humanos</v>
      </c>
    </row>
    <row r="835" spans="1:5" x14ac:dyDescent="0.25">
      <c r="A835" s="23">
        <f t="shared" si="10"/>
        <v>43617</v>
      </c>
      <c r="B835" s="5" t="s">
        <v>184</v>
      </c>
      <c r="C835" s="5">
        <v>-80663</v>
      </c>
      <c r="D835" s="5" t="str">
        <f>_xlfn.XLOOKUP(fOrcado[[#This Row],[Conta]],'Plano de Contas'!A:A,'Plano de Contas'!C:C)</f>
        <v>(-) Despesas Gerais</v>
      </c>
      <c r="E835" s="5" t="str">
        <f>_xlfn.XLOOKUP(fOrcado[[#This Row],[Conta]],'Plano de Contas'!A:A,'Plano de Contas'!D:D)</f>
        <v>10 - Recursos Humanos</v>
      </c>
    </row>
    <row r="836" spans="1:5" x14ac:dyDescent="0.25">
      <c r="A836" s="23">
        <f t="shared" si="10"/>
        <v>43617</v>
      </c>
      <c r="B836" s="5" t="s">
        <v>185</v>
      </c>
      <c r="C836" s="5">
        <v>-109437</v>
      </c>
      <c r="D836" s="5" t="str">
        <f>_xlfn.XLOOKUP(fOrcado[[#This Row],[Conta]],'Plano de Contas'!A:A,'Plano de Contas'!C:C)</f>
        <v>(-) Despesas Gerais</v>
      </c>
      <c r="E836" s="5" t="str">
        <f>_xlfn.XLOOKUP(fOrcado[[#This Row],[Conta]],'Plano de Contas'!A:A,'Plano de Contas'!D:D)</f>
        <v>11 - Relacionamento com Cliente</v>
      </c>
    </row>
    <row r="837" spans="1:5" x14ac:dyDescent="0.25">
      <c r="A837" s="23">
        <f t="shared" si="10"/>
        <v>43617</v>
      </c>
      <c r="B837" s="5" t="s">
        <v>186</v>
      </c>
      <c r="C837" s="5">
        <v>-119396</v>
      </c>
      <c r="D837" s="5" t="str">
        <f>_xlfn.XLOOKUP(fOrcado[[#This Row],[Conta]],'Plano de Contas'!A:A,'Plano de Contas'!C:C)</f>
        <v>(-) Despesas Gerais</v>
      </c>
      <c r="E837" s="5" t="str">
        <f>_xlfn.XLOOKUP(fOrcado[[#This Row],[Conta]],'Plano de Contas'!A:A,'Plano de Contas'!D:D)</f>
        <v>11 - Relacionamento com Cliente</v>
      </c>
    </row>
    <row r="838" spans="1:5" x14ac:dyDescent="0.25">
      <c r="A838" s="23">
        <f t="shared" si="10"/>
        <v>43617</v>
      </c>
      <c r="B838" s="5" t="s">
        <v>187</v>
      </c>
      <c r="C838" s="5">
        <v>-150736</v>
      </c>
      <c r="D838" s="5" t="str">
        <f>_xlfn.XLOOKUP(fOrcado[[#This Row],[Conta]],'Plano de Contas'!A:A,'Plano de Contas'!C:C)</f>
        <v>(-) Despesas Gerais</v>
      </c>
      <c r="E838" s="5" t="str">
        <f>_xlfn.XLOOKUP(fOrcado[[#This Row],[Conta]],'Plano de Contas'!A:A,'Plano de Contas'!D:D)</f>
        <v>12 - Marketing e Divulgação</v>
      </c>
    </row>
    <row r="839" spans="1:5" x14ac:dyDescent="0.25">
      <c r="A839" s="23">
        <f t="shared" si="10"/>
        <v>43617</v>
      </c>
      <c r="B839" s="5" t="s">
        <v>188</v>
      </c>
      <c r="C839" s="5">
        <v>-189926</v>
      </c>
      <c r="D839" s="5" t="str">
        <f>_xlfn.XLOOKUP(fOrcado[[#This Row],[Conta]],'Plano de Contas'!A:A,'Plano de Contas'!C:C)</f>
        <v>(-) Despesas Gerais</v>
      </c>
      <c r="E839" s="5" t="str">
        <f>_xlfn.XLOOKUP(fOrcado[[#This Row],[Conta]],'Plano de Contas'!A:A,'Plano de Contas'!D:D)</f>
        <v>12 - Marketing e Divulgação</v>
      </c>
    </row>
    <row r="840" spans="1:5" x14ac:dyDescent="0.25">
      <c r="A840" s="23">
        <f t="shared" si="10"/>
        <v>43617</v>
      </c>
      <c r="B840" s="5" t="s">
        <v>189</v>
      </c>
      <c r="C840" s="5">
        <v>-9836</v>
      </c>
      <c r="D840" s="5" t="str">
        <f>_xlfn.XLOOKUP(fOrcado[[#This Row],[Conta]],'Plano de Contas'!A:A,'Plano de Contas'!C:C)</f>
        <v>(-) Impostos</v>
      </c>
      <c r="E840" s="5" t="str">
        <f>_xlfn.XLOOKUP(fOrcado[[#This Row],[Conta]],'Plano de Contas'!A:A,'Plano de Contas'!D:D)</f>
        <v>13 - Impostos Estaduais</v>
      </c>
    </row>
    <row r="841" spans="1:5" x14ac:dyDescent="0.25">
      <c r="A841" s="23">
        <f t="shared" si="10"/>
        <v>43617</v>
      </c>
      <c r="B841" s="5" t="s">
        <v>190</v>
      </c>
      <c r="C841" s="5">
        <v>-26875</v>
      </c>
      <c r="D841" s="5" t="str">
        <f>_xlfn.XLOOKUP(fOrcado[[#This Row],[Conta]],'Plano de Contas'!A:A,'Plano de Contas'!C:C)</f>
        <v>(-) Impostos</v>
      </c>
      <c r="E841" s="5" t="str">
        <f>_xlfn.XLOOKUP(fOrcado[[#This Row],[Conta]],'Plano de Contas'!A:A,'Plano de Contas'!D:D)</f>
        <v>14 - Impostos Federais</v>
      </c>
    </row>
    <row r="842" spans="1:5" x14ac:dyDescent="0.25">
      <c r="A842" s="23">
        <f t="shared" si="10"/>
        <v>43647</v>
      </c>
      <c r="B842" s="5" t="s">
        <v>51</v>
      </c>
      <c r="C842" s="5">
        <v>883097</v>
      </c>
      <c r="D842" s="5" t="str">
        <f>_xlfn.XLOOKUP(fOrcado[[#This Row],[Conta]],'Plano de Contas'!A:A,'Plano de Contas'!C:C)</f>
        <v>(+) RECEITA BRUTA</v>
      </c>
      <c r="E842" s="5" t="str">
        <f>_xlfn.XLOOKUP(fOrcado[[#This Row],[Conta]],'Plano de Contas'!A:A,'Plano de Contas'!D:D)</f>
        <v>01 - Vendas de Produtos</v>
      </c>
    </row>
    <row r="843" spans="1:5" x14ac:dyDescent="0.25">
      <c r="A843" s="23">
        <f t="shared" si="10"/>
        <v>43647</v>
      </c>
      <c r="B843" s="5" t="s">
        <v>52</v>
      </c>
      <c r="C843" s="5">
        <v>338294</v>
      </c>
      <c r="D843" s="5" t="str">
        <f>_xlfn.XLOOKUP(fOrcado[[#This Row],[Conta]],'Plano de Contas'!A:A,'Plano de Contas'!C:C)</f>
        <v>(+) RECEITA BRUTA</v>
      </c>
      <c r="E843" s="5" t="str">
        <f>_xlfn.XLOOKUP(fOrcado[[#This Row],[Conta]],'Plano de Contas'!A:A,'Plano de Contas'!D:D)</f>
        <v>01 - Vendas de Produtos</v>
      </c>
    </row>
    <row r="844" spans="1:5" x14ac:dyDescent="0.25">
      <c r="A844" s="23">
        <f t="shared" si="10"/>
        <v>43647</v>
      </c>
      <c r="B844" s="5" t="s">
        <v>53</v>
      </c>
      <c r="C844" s="5">
        <v>673635</v>
      </c>
      <c r="D844" s="5" t="str">
        <f>_xlfn.XLOOKUP(fOrcado[[#This Row],[Conta]],'Plano de Contas'!A:A,'Plano de Contas'!C:C)</f>
        <v>(+) RECEITA BRUTA</v>
      </c>
      <c r="E844" s="5" t="str">
        <f>_xlfn.XLOOKUP(fOrcado[[#This Row],[Conta]],'Plano de Contas'!A:A,'Plano de Contas'!D:D)</f>
        <v>01 - Vendas de Produtos</v>
      </c>
    </row>
    <row r="845" spans="1:5" x14ac:dyDescent="0.25">
      <c r="A845" s="23">
        <f t="shared" si="10"/>
        <v>43647</v>
      </c>
      <c r="B845" s="5" t="s">
        <v>54</v>
      </c>
      <c r="C845" s="5">
        <v>700521</v>
      </c>
      <c r="D845" s="5" t="str">
        <f>_xlfn.XLOOKUP(fOrcado[[#This Row],[Conta]],'Plano de Contas'!A:A,'Plano de Contas'!C:C)</f>
        <v>(+) RECEITA BRUTA</v>
      </c>
      <c r="E845" s="5" t="str">
        <f>_xlfn.XLOOKUP(fOrcado[[#This Row],[Conta]],'Plano de Contas'!A:A,'Plano de Contas'!D:D)</f>
        <v>01 - Vendas de Produtos</v>
      </c>
    </row>
    <row r="846" spans="1:5" x14ac:dyDescent="0.25">
      <c r="A846" s="23">
        <f t="shared" si="10"/>
        <v>43647</v>
      </c>
      <c r="B846" s="5" t="s">
        <v>55</v>
      </c>
      <c r="C846" s="5">
        <v>860537</v>
      </c>
      <c r="D846" s="5" t="str">
        <f>_xlfn.XLOOKUP(fOrcado[[#This Row],[Conta]],'Plano de Contas'!A:A,'Plano de Contas'!C:C)</f>
        <v>(+) RECEITA BRUTA</v>
      </c>
      <c r="E846" s="5" t="str">
        <f>_xlfn.XLOOKUP(fOrcado[[#This Row],[Conta]],'Plano de Contas'!A:A,'Plano de Contas'!D:D)</f>
        <v>01 - Vendas de Produtos</v>
      </c>
    </row>
    <row r="847" spans="1:5" x14ac:dyDescent="0.25">
      <c r="A847" s="23">
        <f t="shared" ref="A847:A910" si="11">EDATE(A707,1)</f>
        <v>43647</v>
      </c>
      <c r="B847" s="5" t="s">
        <v>56</v>
      </c>
      <c r="C847" s="5">
        <v>595415</v>
      </c>
      <c r="D847" s="5" t="str">
        <f>_xlfn.XLOOKUP(fOrcado[[#This Row],[Conta]],'Plano de Contas'!A:A,'Plano de Contas'!C:C)</f>
        <v>(+) RECEITA BRUTA</v>
      </c>
      <c r="E847" s="5" t="str">
        <f>_xlfn.XLOOKUP(fOrcado[[#This Row],[Conta]],'Plano de Contas'!A:A,'Plano de Contas'!D:D)</f>
        <v>01 - Vendas de Produtos</v>
      </c>
    </row>
    <row r="848" spans="1:5" x14ac:dyDescent="0.25">
      <c r="A848" s="23">
        <f t="shared" si="11"/>
        <v>43647</v>
      </c>
      <c r="B848" s="5" t="s">
        <v>57</v>
      </c>
      <c r="C848" s="5">
        <v>243162</v>
      </c>
      <c r="D848" s="5" t="str">
        <f>_xlfn.XLOOKUP(fOrcado[[#This Row],[Conta]],'Plano de Contas'!A:A,'Plano de Contas'!C:C)</f>
        <v>(+) RECEITA BRUTA</v>
      </c>
      <c r="E848" s="5" t="str">
        <f>_xlfn.XLOOKUP(fOrcado[[#This Row],[Conta]],'Plano de Contas'!A:A,'Plano de Contas'!D:D)</f>
        <v>01 - Vendas de Produtos</v>
      </c>
    </row>
    <row r="849" spans="1:5" x14ac:dyDescent="0.25">
      <c r="A849" s="23">
        <f t="shared" si="11"/>
        <v>43647</v>
      </c>
      <c r="B849" s="5" t="s">
        <v>58</v>
      </c>
      <c r="C849" s="5">
        <v>297855</v>
      </c>
      <c r="D849" s="5" t="str">
        <f>_xlfn.XLOOKUP(fOrcado[[#This Row],[Conta]],'Plano de Contas'!A:A,'Plano de Contas'!C:C)</f>
        <v>(+) RECEITA BRUTA</v>
      </c>
      <c r="E849" s="5" t="str">
        <f>_xlfn.XLOOKUP(fOrcado[[#This Row],[Conta]],'Plano de Contas'!A:A,'Plano de Contas'!D:D)</f>
        <v>01 - Vendas de Produtos</v>
      </c>
    </row>
    <row r="850" spans="1:5" x14ac:dyDescent="0.25">
      <c r="A850" s="23">
        <f t="shared" si="11"/>
        <v>43647</v>
      </c>
      <c r="B850" s="5" t="s">
        <v>59</v>
      </c>
      <c r="C850" s="5">
        <v>545108</v>
      </c>
      <c r="D850" s="5" t="str">
        <f>_xlfn.XLOOKUP(fOrcado[[#This Row],[Conta]],'Plano de Contas'!A:A,'Plano de Contas'!C:C)</f>
        <v>(+) RECEITA BRUTA</v>
      </c>
      <c r="E850" s="5" t="str">
        <f>_xlfn.XLOOKUP(fOrcado[[#This Row],[Conta]],'Plano de Contas'!A:A,'Plano de Contas'!D:D)</f>
        <v>01 - Vendas de Produtos</v>
      </c>
    </row>
    <row r="851" spans="1:5" x14ac:dyDescent="0.25">
      <c r="A851" s="23">
        <f t="shared" si="11"/>
        <v>43647</v>
      </c>
      <c r="B851" s="5" t="s">
        <v>60</v>
      </c>
      <c r="C851" s="5">
        <v>396116</v>
      </c>
      <c r="D851" s="5" t="str">
        <f>_xlfn.XLOOKUP(fOrcado[[#This Row],[Conta]],'Plano de Contas'!A:A,'Plano de Contas'!C:C)</f>
        <v>(+) RECEITA BRUTA</v>
      </c>
      <c r="E851" s="5" t="str">
        <f>_xlfn.XLOOKUP(fOrcado[[#This Row],[Conta]],'Plano de Contas'!A:A,'Plano de Contas'!D:D)</f>
        <v>01 - Vendas de Produtos</v>
      </c>
    </row>
    <row r="852" spans="1:5" x14ac:dyDescent="0.25">
      <c r="A852" s="23">
        <f t="shared" si="11"/>
        <v>43647</v>
      </c>
      <c r="B852" s="5" t="s">
        <v>61</v>
      </c>
      <c r="C852" s="5">
        <v>501568</v>
      </c>
      <c r="D852" s="5" t="str">
        <f>_xlfn.XLOOKUP(fOrcado[[#This Row],[Conta]],'Plano de Contas'!A:A,'Plano de Contas'!C:C)</f>
        <v>(+) RECEITA BRUTA</v>
      </c>
      <c r="E852" s="5" t="str">
        <f>_xlfn.XLOOKUP(fOrcado[[#This Row],[Conta]],'Plano de Contas'!A:A,'Plano de Contas'!D:D)</f>
        <v>01 - Vendas de Produtos</v>
      </c>
    </row>
    <row r="853" spans="1:5" x14ac:dyDescent="0.25">
      <c r="A853" s="23">
        <f t="shared" si="11"/>
        <v>43647</v>
      </c>
      <c r="B853" s="5" t="s">
        <v>62</v>
      </c>
      <c r="C853" s="5">
        <v>885967</v>
      </c>
      <c r="D853" s="5" t="str">
        <f>_xlfn.XLOOKUP(fOrcado[[#This Row],[Conta]],'Plano de Contas'!A:A,'Plano de Contas'!C:C)</f>
        <v>(+) RECEITA BRUTA</v>
      </c>
      <c r="E853" s="5" t="str">
        <f>_xlfn.XLOOKUP(fOrcado[[#This Row],[Conta]],'Plano de Contas'!A:A,'Plano de Contas'!D:D)</f>
        <v>01 - Vendas de Produtos</v>
      </c>
    </row>
    <row r="854" spans="1:5" x14ac:dyDescent="0.25">
      <c r="A854" s="23">
        <f t="shared" si="11"/>
        <v>43647</v>
      </c>
      <c r="B854" s="5" t="s">
        <v>63</v>
      </c>
      <c r="C854" s="5">
        <v>444768</v>
      </c>
      <c r="D854" s="5" t="str">
        <f>_xlfn.XLOOKUP(fOrcado[[#This Row],[Conta]],'Plano de Contas'!A:A,'Plano de Contas'!C:C)</f>
        <v>(+) RECEITA BRUTA</v>
      </c>
      <c r="E854" s="5" t="str">
        <f>_xlfn.XLOOKUP(fOrcado[[#This Row],[Conta]],'Plano de Contas'!A:A,'Plano de Contas'!D:D)</f>
        <v>01 - Vendas de Produtos</v>
      </c>
    </row>
    <row r="855" spans="1:5" x14ac:dyDescent="0.25">
      <c r="A855" s="23">
        <f t="shared" si="11"/>
        <v>43647</v>
      </c>
      <c r="B855" s="5" t="s">
        <v>64</v>
      </c>
      <c r="C855" s="5">
        <v>353070</v>
      </c>
      <c r="D855" s="5" t="str">
        <f>_xlfn.XLOOKUP(fOrcado[[#This Row],[Conta]],'Plano de Contas'!A:A,'Plano de Contas'!C:C)</f>
        <v>(+) RECEITA BRUTA</v>
      </c>
      <c r="E855" s="5" t="str">
        <f>_xlfn.XLOOKUP(fOrcado[[#This Row],[Conta]],'Plano de Contas'!A:A,'Plano de Contas'!D:D)</f>
        <v>01 - Vendas de Produtos</v>
      </c>
    </row>
    <row r="856" spans="1:5" x14ac:dyDescent="0.25">
      <c r="A856" s="23">
        <f t="shared" si="11"/>
        <v>43647</v>
      </c>
      <c r="B856" s="5" t="s">
        <v>65</v>
      </c>
      <c r="C856" s="5">
        <v>552561</v>
      </c>
      <c r="D856" s="5" t="str">
        <f>_xlfn.XLOOKUP(fOrcado[[#This Row],[Conta]],'Plano de Contas'!A:A,'Plano de Contas'!C:C)</f>
        <v>(+) RECEITA BRUTA</v>
      </c>
      <c r="E856" s="5" t="str">
        <f>_xlfn.XLOOKUP(fOrcado[[#This Row],[Conta]],'Plano de Contas'!A:A,'Plano de Contas'!D:D)</f>
        <v>01 - Vendas de Produtos</v>
      </c>
    </row>
    <row r="857" spans="1:5" x14ac:dyDescent="0.25">
      <c r="A857" s="23">
        <f t="shared" si="11"/>
        <v>43647</v>
      </c>
      <c r="B857" s="5" t="s">
        <v>66</v>
      </c>
      <c r="C857" s="5">
        <v>894558</v>
      </c>
      <c r="D857" s="5" t="str">
        <f>_xlfn.XLOOKUP(fOrcado[[#This Row],[Conta]],'Plano de Contas'!A:A,'Plano de Contas'!C:C)</f>
        <v>(+) RECEITA BRUTA</v>
      </c>
      <c r="E857" s="5" t="str">
        <f>_xlfn.XLOOKUP(fOrcado[[#This Row],[Conta]],'Plano de Contas'!A:A,'Plano de Contas'!D:D)</f>
        <v>01 - Vendas de Produtos</v>
      </c>
    </row>
    <row r="858" spans="1:5" x14ac:dyDescent="0.25">
      <c r="A858" s="23">
        <f t="shared" si="11"/>
        <v>43647</v>
      </c>
      <c r="B858" s="5" t="s">
        <v>67</v>
      </c>
      <c r="C858" s="5">
        <v>722184</v>
      </c>
      <c r="D858" s="5" t="str">
        <f>_xlfn.XLOOKUP(fOrcado[[#This Row],[Conta]],'Plano de Contas'!A:A,'Plano de Contas'!C:C)</f>
        <v>(+) RECEITA BRUTA</v>
      </c>
      <c r="E858" s="5" t="str">
        <f>_xlfn.XLOOKUP(fOrcado[[#This Row],[Conta]],'Plano de Contas'!A:A,'Plano de Contas'!D:D)</f>
        <v>01 - Vendas de Produtos</v>
      </c>
    </row>
    <row r="859" spans="1:5" x14ac:dyDescent="0.25">
      <c r="A859" s="23">
        <f t="shared" si="11"/>
        <v>43647</v>
      </c>
      <c r="B859" s="5" t="s">
        <v>68</v>
      </c>
      <c r="C859" s="5">
        <v>997369</v>
      </c>
      <c r="D859" s="5" t="str">
        <f>_xlfn.XLOOKUP(fOrcado[[#This Row],[Conta]],'Plano de Contas'!A:A,'Plano de Contas'!C:C)</f>
        <v>(+) RECEITA BRUTA</v>
      </c>
      <c r="E859" s="5" t="str">
        <f>_xlfn.XLOOKUP(fOrcado[[#This Row],[Conta]],'Plano de Contas'!A:A,'Plano de Contas'!D:D)</f>
        <v>01 - Vendas de Produtos</v>
      </c>
    </row>
    <row r="860" spans="1:5" x14ac:dyDescent="0.25">
      <c r="A860" s="23">
        <f t="shared" si="11"/>
        <v>43647</v>
      </c>
      <c r="B860" s="5" t="s">
        <v>69</v>
      </c>
      <c r="C860" s="5">
        <v>206172</v>
      </c>
      <c r="D860" s="5" t="str">
        <f>_xlfn.XLOOKUP(fOrcado[[#This Row],[Conta]],'Plano de Contas'!A:A,'Plano de Contas'!C:C)</f>
        <v>(+) RECEITA BRUTA</v>
      </c>
      <c r="E860" s="5" t="str">
        <f>_xlfn.XLOOKUP(fOrcado[[#This Row],[Conta]],'Plano de Contas'!A:A,'Plano de Contas'!D:D)</f>
        <v>01 - Vendas de Produtos</v>
      </c>
    </row>
    <row r="861" spans="1:5" x14ac:dyDescent="0.25">
      <c r="A861" s="23">
        <f t="shared" si="11"/>
        <v>43647</v>
      </c>
      <c r="B861" s="5" t="s">
        <v>70</v>
      </c>
      <c r="C861" s="5">
        <v>743880</v>
      </c>
      <c r="D861" s="5" t="str">
        <f>_xlfn.XLOOKUP(fOrcado[[#This Row],[Conta]],'Plano de Contas'!A:A,'Plano de Contas'!C:C)</f>
        <v>(+) RECEITA BRUTA</v>
      </c>
      <c r="E861" s="5" t="str">
        <f>_xlfn.XLOOKUP(fOrcado[[#This Row],[Conta]],'Plano de Contas'!A:A,'Plano de Contas'!D:D)</f>
        <v>01 - Vendas de Produtos</v>
      </c>
    </row>
    <row r="862" spans="1:5" x14ac:dyDescent="0.25">
      <c r="A862" s="23">
        <f t="shared" si="11"/>
        <v>43647</v>
      </c>
      <c r="B862" s="5" t="s">
        <v>71</v>
      </c>
      <c r="C862" s="5">
        <v>770986</v>
      </c>
      <c r="D862" s="5" t="str">
        <f>_xlfn.XLOOKUP(fOrcado[[#This Row],[Conta]],'Plano de Contas'!A:A,'Plano de Contas'!C:C)</f>
        <v>(+) RECEITA BRUTA</v>
      </c>
      <c r="E862" s="5" t="str">
        <f>_xlfn.XLOOKUP(fOrcado[[#This Row],[Conta]],'Plano de Contas'!A:A,'Plano de Contas'!D:D)</f>
        <v>01 - Vendas de Produtos</v>
      </c>
    </row>
    <row r="863" spans="1:5" x14ac:dyDescent="0.25">
      <c r="A863" s="23">
        <f t="shared" si="11"/>
        <v>43647</v>
      </c>
      <c r="B863" s="5" t="s">
        <v>72</v>
      </c>
      <c r="C863" s="5">
        <v>969111</v>
      </c>
      <c r="D863" s="5" t="str">
        <f>_xlfn.XLOOKUP(fOrcado[[#This Row],[Conta]],'Plano de Contas'!A:A,'Plano de Contas'!C:C)</f>
        <v>(+) RECEITA BRUTA</v>
      </c>
      <c r="E863" s="5" t="str">
        <f>_xlfn.XLOOKUP(fOrcado[[#This Row],[Conta]],'Plano de Contas'!A:A,'Plano de Contas'!D:D)</f>
        <v>01 - Vendas de Produtos</v>
      </c>
    </row>
    <row r="864" spans="1:5" x14ac:dyDescent="0.25">
      <c r="A864" s="23">
        <f t="shared" si="11"/>
        <v>43647</v>
      </c>
      <c r="B864" s="5" t="s">
        <v>73</v>
      </c>
      <c r="C864" s="5">
        <v>240333</v>
      </c>
      <c r="D864" s="5" t="str">
        <f>_xlfn.XLOOKUP(fOrcado[[#This Row],[Conta]],'Plano de Contas'!A:A,'Plano de Contas'!C:C)</f>
        <v>(+) RECEITA BRUTA</v>
      </c>
      <c r="E864" s="5" t="str">
        <f>_xlfn.XLOOKUP(fOrcado[[#This Row],[Conta]],'Plano de Contas'!A:A,'Plano de Contas'!D:D)</f>
        <v>01 - Vendas de Produtos</v>
      </c>
    </row>
    <row r="865" spans="1:5" x14ac:dyDescent="0.25">
      <c r="A865" s="23">
        <f t="shared" si="11"/>
        <v>43647</v>
      </c>
      <c r="B865" s="5" t="s">
        <v>74</v>
      </c>
      <c r="C865" s="5">
        <v>288610</v>
      </c>
      <c r="D865" s="5" t="str">
        <f>_xlfn.XLOOKUP(fOrcado[[#This Row],[Conta]],'Plano de Contas'!A:A,'Plano de Contas'!C:C)</f>
        <v>(+) RECEITA BRUTA</v>
      </c>
      <c r="E865" s="5" t="str">
        <f>_xlfn.XLOOKUP(fOrcado[[#This Row],[Conta]],'Plano de Contas'!A:A,'Plano de Contas'!D:D)</f>
        <v>01 - Vendas de Produtos</v>
      </c>
    </row>
    <row r="866" spans="1:5" x14ac:dyDescent="0.25">
      <c r="A866" s="23">
        <f t="shared" si="11"/>
        <v>43647</v>
      </c>
      <c r="B866" s="5" t="s">
        <v>75</v>
      </c>
      <c r="C866" s="5">
        <v>255164</v>
      </c>
      <c r="D866" s="5" t="str">
        <f>_xlfn.XLOOKUP(fOrcado[[#This Row],[Conta]],'Plano de Contas'!A:A,'Plano de Contas'!C:C)</f>
        <v>(+) RECEITA BRUTA</v>
      </c>
      <c r="E866" s="5" t="str">
        <f>_xlfn.XLOOKUP(fOrcado[[#This Row],[Conta]],'Plano de Contas'!A:A,'Plano de Contas'!D:D)</f>
        <v>02 - Outras Receitas</v>
      </c>
    </row>
    <row r="867" spans="1:5" x14ac:dyDescent="0.25">
      <c r="A867" s="23">
        <f t="shared" si="11"/>
        <v>43647</v>
      </c>
      <c r="B867" s="5" t="s">
        <v>76</v>
      </c>
      <c r="C867" s="5">
        <v>136865</v>
      </c>
      <c r="D867" s="5" t="str">
        <f>_xlfn.XLOOKUP(fOrcado[[#This Row],[Conta]],'Plano de Contas'!A:A,'Plano de Contas'!C:C)</f>
        <v>(+) RECEITA BRUTA</v>
      </c>
      <c r="E867" s="5" t="str">
        <f>_xlfn.XLOOKUP(fOrcado[[#This Row],[Conta]],'Plano de Contas'!A:A,'Plano de Contas'!D:D)</f>
        <v>02 - Outras Receitas</v>
      </c>
    </row>
    <row r="868" spans="1:5" x14ac:dyDescent="0.25">
      <c r="A868" s="23">
        <f t="shared" si="11"/>
        <v>43647</v>
      </c>
      <c r="B868" s="5" t="s">
        <v>77</v>
      </c>
      <c r="C868" s="5">
        <v>145660</v>
      </c>
      <c r="D868" s="5" t="str">
        <f>_xlfn.XLOOKUP(fOrcado[[#This Row],[Conta]],'Plano de Contas'!A:A,'Plano de Contas'!C:C)</f>
        <v>(+) RECEITA BRUTA</v>
      </c>
      <c r="E868" s="5" t="str">
        <f>_xlfn.XLOOKUP(fOrcado[[#This Row],[Conta]],'Plano de Contas'!A:A,'Plano de Contas'!D:D)</f>
        <v>02 - Outras Receitas</v>
      </c>
    </row>
    <row r="869" spans="1:5" x14ac:dyDescent="0.25">
      <c r="A869" s="23">
        <f t="shared" si="11"/>
        <v>43647</v>
      </c>
      <c r="B869" s="5" t="s">
        <v>78</v>
      </c>
      <c r="C869" s="5">
        <v>93697</v>
      </c>
      <c r="D869" s="5" t="str">
        <f>_xlfn.XLOOKUP(fOrcado[[#This Row],[Conta]],'Plano de Contas'!A:A,'Plano de Contas'!C:C)</f>
        <v>(+) RECEITA BRUTA</v>
      </c>
      <c r="E869" s="5" t="str">
        <f>_xlfn.XLOOKUP(fOrcado[[#This Row],[Conta]],'Plano de Contas'!A:A,'Plano de Contas'!D:D)</f>
        <v>02 - Outras Receitas</v>
      </c>
    </row>
    <row r="870" spans="1:5" x14ac:dyDescent="0.25">
      <c r="A870" s="23">
        <f t="shared" si="11"/>
        <v>43647</v>
      </c>
      <c r="B870" s="5" t="s">
        <v>79</v>
      </c>
      <c r="C870" s="5">
        <v>296802</v>
      </c>
      <c r="D870" s="5" t="str">
        <f>_xlfn.XLOOKUP(fOrcado[[#This Row],[Conta]],'Plano de Contas'!A:A,'Plano de Contas'!C:C)</f>
        <v>(+) RECEITA BRUTA</v>
      </c>
      <c r="E870" s="5" t="str">
        <f>_xlfn.XLOOKUP(fOrcado[[#This Row],[Conta]],'Plano de Contas'!A:A,'Plano de Contas'!D:D)</f>
        <v>02 - Outras Receitas</v>
      </c>
    </row>
    <row r="871" spans="1:5" x14ac:dyDescent="0.25">
      <c r="A871" s="23">
        <f t="shared" si="11"/>
        <v>43647</v>
      </c>
      <c r="B871" s="5" t="s">
        <v>80</v>
      </c>
      <c r="C871" s="5">
        <v>60167</v>
      </c>
      <c r="D871" s="5" t="str">
        <f>_xlfn.XLOOKUP(fOrcado[[#This Row],[Conta]],'Plano de Contas'!A:A,'Plano de Contas'!C:C)</f>
        <v>(+) RECEITA BRUTA</v>
      </c>
      <c r="E871" s="5" t="str">
        <f>_xlfn.XLOOKUP(fOrcado[[#This Row],[Conta]],'Plano de Contas'!A:A,'Plano de Contas'!D:D)</f>
        <v>02 - Outras Receitas</v>
      </c>
    </row>
    <row r="872" spans="1:5" x14ac:dyDescent="0.25">
      <c r="A872" s="23">
        <f t="shared" si="11"/>
        <v>43647</v>
      </c>
      <c r="B872" s="5" t="s">
        <v>81</v>
      </c>
      <c r="C872" s="5">
        <v>252584</v>
      </c>
      <c r="D872" s="5" t="str">
        <f>_xlfn.XLOOKUP(fOrcado[[#This Row],[Conta]],'Plano de Contas'!A:A,'Plano de Contas'!C:C)</f>
        <v>(+) RECEITA BRUTA</v>
      </c>
      <c r="E872" s="5" t="str">
        <f>_xlfn.XLOOKUP(fOrcado[[#This Row],[Conta]],'Plano de Contas'!A:A,'Plano de Contas'!D:D)</f>
        <v>02 - Outras Receitas</v>
      </c>
    </row>
    <row r="873" spans="1:5" x14ac:dyDescent="0.25">
      <c r="A873" s="23">
        <f t="shared" si="11"/>
        <v>43647</v>
      </c>
      <c r="B873" s="5" t="s">
        <v>82</v>
      </c>
      <c r="C873" s="5">
        <v>233185</v>
      </c>
      <c r="D873" s="5" t="str">
        <f>_xlfn.XLOOKUP(fOrcado[[#This Row],[Conta]],'Plano de Contas'!A:A,'Plano de Contas'!C:C)</f>
        <v>(+) RECEITA BRUTA</v>
      </c>
      <c r="E873" s="5" t="str">
        <f>_xlfn.XLOOKUP(fOrcado[[#This Row],[Conta]],'Plano de Contas'!A:A,'Plano de Contas'!D:D)</f>
        <v>02 - Outras Receitas</v>
      </c>
    </row>
    <row r="874" spans="1:5" x14ac:dyDescent="0.25">
      <c r="A874" s="23">
        <f t="shared" si="11"/>
        <v>43647</v>
      </c>
      <c r="B874" s="5" t="s">
        <v>83</v>
      </c>
      <c r="C874" s="5">
        <v>62136</v>
      </c>
      <c r="D874" s="5" t="str">
        <f>_xlfn.XLOOKUP(fOrcado[[#This Row],[Conta]],'Plano de Contas'!A:A,'Plano de Contas'!C:C)</f>
        <v>(+) RECEITA BRUTA</v>
      </c>
      <c r="E874" s="5" t="str">
        <f>_xlfn.XLOOKUP(fOrcado[[#This Row],[Conta]],'Plano de Contas'!A:A,'Plano de Contas'!D:D)</f>
        <v>02 - Outras Receitas</v>
      </c>
    </row>
    <row r="875" spans="1:5" x14ac:dyDescent="0.25">
      <c r="A875" s="23">
        <f t="shared" si="11"/>
        <v>43647</v>
      </c>
      <c r="B875" s="5" t="s">
        <v>84</v>
      </c>
      <c r="C875" s="5">
        <v>275230</v>
      </c>
      <c r="D875" s="5" t="str">
        <f>_xlfn.XLOOKUP(fOrcado[[#This Row],[Conta]],'Plano de Contas'!A:A,'Plano de Contas'!C:C)</f>
        <v>(+) RECEITA BRUTA</v>
      </c>
      <c r="E875" s="5" t="str">
        <f>_xlfn.XLOOKUP(fOrcado[[#This Row],[Conta]],'Plano de Contas'!A:A,'Plano de Contas'!D:D)</f>
        <v>02 - Outras Receitas</v>
      </c>
    </row>
    <row r="876" spans="1:5" x14ac:dyDescent="0.25">
      <c r="A876" s="23">
        <f t="shared" si="11"/>
        <v>43647</v>
      </c>
      <c r="B876" s="5" t="s">
        <v>85</v>
      </c>
      <c r="C876" s="5">
        <v>227475</v>
      </c>
      <c r="D876" s="5" t="str">
        <f>_xlfn.XLOOKUP(fOrcado[[#This Row],[Conta]],'Plano de Contas'!A:A,'Plano de Contas'!C:C)</f>
        <v>(+) RECEITA BRUTA</v>
      </c>
      <c r="E876" s="5" t="str">
        <f>_xlfn.XLOOKUP(fOrcado[[#This Row],[Conta]],'Plano de Contas'!A:A,'Plano de Contas'!D:D)</f>
        <v>02 - Outras Receitas</v>
      </c>
    </row>
    <row r="877" spans="1:5" x14ac:dyDescent="0.25">
      <c r="A877" s="23">
        <f t="shared" si="11"/>
        <v>43647</v>
      </c>
      <c r="B877" s="5" t="s">
        <v>86</v>
      </c>
      <c r="C877" s="5">
        <v>293328</v>
      </c>
      <c r="D877" s="5" t="str">
        <f>_xlfn.XLOOKUP(fOrcado[[#This Row],[Conta]],'Plano de Contas'!A:A,'Plano de Contas'!C:C)</f>
        <v>(+) RECEITA BRUTA</v>
      </c>
      <c r="E877" s="5" t="str">
        <f>_xlfn.XLOOKUP(fOrcado[[#This Row],[Conta]],'Plano de Contas'!A:A,'Plano de Contas'!D:D)</f>
        <v>02 - Outras Receitas</v>
      </c>
    </row>
    <row r="878" spans="1:5" x14ac:dyDescent="0.25">
      <c r="A878" s="23">
        <f t="shared" si="11"/>
        <v>43647</v>
      </c>
      <c r="B878" s="5" t="s">
        <v>87</v>
      </c>
      <c r="C878" s="5">
        <v>112721</v>
      </c>
      <c r="D878" s="5" t="str">
        <f>_xlfn.XLOOKUP(fOrcado[[#This Row],[Conta]],'Plano de Contas'!A:A,'Plano de Contas'!C:C)</f>
        <v>(+) RECEITA BRUTA</v>
      </c>
      <c r="E878" s="5" t="str">
        <f>_xlfn.XLOOKUP(fOrcado[[#This Row],[Conta]],'Plano de Contas'!A:A,'Plano de Contas'!D:D)</f>
        <v>02 - Outras Receitas</v>
      </c>
    </row>
    <row r="879" spans="1:5" x14ac:dyDescent="0.25">
      <c r="A879" s="23">
        <f t="shared" si="11"/>
        <v>43647</v>
      </c>
      <c r="B879" s="5" t="s">
        <v>88</v>
      </c>
      <c r="C879" s="5">
        <v>223933</v>
      </c>
      <c r="D879" s="5" t="str">
        <f>_xlfn.XLOOKUP(fOrcado[[#This Row],[Conta]],'Plano de Contas'!A:A,'Plano de Contas'!C:C)</f>
        <v>(+) RECEITA BRUTA</v>
      </c>
      <c r="E879" s="5" t="str">
        <f>_xlfn.XLOOKUP(fOrcado[[#This Row],[Conta]],'Plano de Contas'!A:A,'Plano de Contas'!D:D)</f>
        <v>02 - Outras Receitas</v>
      </c>
    </row>
    <row r="880" spans="1:5" x14ac:dyDescent="0.25">
      <c r="A880" s="23">
        <f t="shared" si="11"/>
        <v>43647</v>
      </c>
      <c r="B880" s="5" t="s">
        <v>89</v>
      </c>
      <c r="C880" s="5">
        <v>201160</v>
      </c>
      <c r="D880" s="5" t="str">
        <f>_xlfn.XLOOKUP(fOrcado[[#This Row],[Conta]],'Plano de Contas'!A:A,'Plano de Contas'!C:C)</f>
        <v>(+) RECEITA BRUTA</v>
      </c>
      <c r="E880" s="5" t="str">
        <f>_xlfn.XLOOKUP(fOrcado[[#This Row],[Conta]],'Plano de Contas'!A:A,'Plano de Contas'!D:D)</f>
        <v>02 - Outras Receitas</v>
      </c>
    </row>
    <row r="881" spans="1:5" x14ac:dyDescent="0.25">
      <c r="A881" s="23">
        <f t="shared" si="11"/>
        <v>43647</v>
      </c>
      <c r="B881" s="5" t="s">
        <v>90</v>
      </c>
      <c r="C881" s="5">
        <v>145300</v>
      </c>
      <c r="D881" s="5" t="str">
        <f>_xlfn.XLOOKUP(fOrcado[[#This Row],[Conta]],'Plano de Contas'!A:A,'Plano de Contas'!C:C)</f>
        <v>(+) RECEITA BRUTA</v>
      </c>
      <c r="E881" s="5" t="str">
        <f>_xlfn.XLOOKUP(fOrcado[[#This Row],[Conta]],'Plano de Contas'!A:A,'Plano de Contas'!D:D)</f>
        <v>02 - Outras Receitas</v>
      </c>
    </row>
    <row r="882" spans="1:5" x14ac:dyDescent="0.25">
      <c r="A882" s="23">
        <f t="shared" si="11"/>
        <v>43647</v>
      </c>
      <c r="B882" s="5" t="s">
        <v>91</v>
      </c>
      <c r="C882" s="5">
        <v>71106</v>
      </c>
      <c r="D882" s="5" t="str">
        <f>_xlfn.XLOOKUP(fOrcado[[#This Row],[Conta]],'Plano de Contas'!A:A,'Plano de Contas'!C:C)</f>
        <v>(+) RECEITA BRUTA</v>
      </c>
      <c r="E882" s="5" t="str">
        <f>_xlfn.XLOOKUP(fOrcado[[#This Row],[Conta]],'Plano de Contas'!A:A,'Plano de Contas'!D:D)</f>
        <v>02 - Outras Receitas</v>
      </c>
    </row>
    <row r="883" spans="1:5" x14ac:dyDescent="0.25">
      <c r="A883" s="23">
        <f t="shared" si="11"/>
        <v>43647</v>
      </c>
      <c r="B883" s="5" t="s">
        <v>92</v>
      </c>
      <c r="C883" s="5">
        <v>76596</v>
      </c>
      <c r="D883" s="5" t="str">
        <f>_xlfn.XLOOKUP(fOrcado[[#This Row],[Conta]],'Plano de Contas'!A:A,'Plano de Contas'!C:C)</f>
        <v>(+) RECEITA BRUTA</v>
      </c>
      <c r="E883" s="5" t="str">
        <f>_xlfn.XLOOKUP(fOrcado[[#This Row],[Conta]],'Plano de Contas'!A:A,'Plano de Contas'!D:D)</f>
        <v>02 - Outras Receitas</v>
      </c>
    </row>
    <row r="884" spans="1:5" x14ac:dyDescent="0.25">
      <c r="A884" s="23">
        <f t="shared" si="11"/>
        <v>43647</v>
      </c>
      <c r="B884" s="5" t="s">
        <v>93</v>
      </c>
      <c r="C884" s="5">
        <v>195492</v>
      </c>
      <c r="D884" s="5" t="str">
        <f>_xlfn.XLOOKUP(fOrcado[[#This Row],[Conta]],'Plano de Contas'!A:A,'Plano de Contas'!C:C)</f>
        <v>(+) RECEITA BRUTA</v>
      </c>
      <c r="E884" s="5" t="str">
        <f>_xlfn.XLOOKUP(fOrcado[[#This Row],[Conta]],'Plano de Contas'!A:A,'Plano de Contas'!D:D)</f>
        <v>02 - Outras Receitas</v>
      </c>
    </row>
    <row r="885" spans="1:5" x14ac:dyDescent="0.25">
      <c r="A885" s="23">
        <f t="shared" si="11"/>
        <v>43647</v>
      </c>
      <c r="B885" s="5" t="s">
        <v>94</v>
      </c>
      <c r="C885" s="5">
        <v>226855</v>
      </c>
      <c r="D885" s="5" t="str">
        <f>_xlfn.XLOOKUP(fOrcado[[#This Row],[Conta]],'Plano de Contas'!A:A,'Plano de Contas'!C:C)</f>
        <v>(+) RECEITA BRUTA</v>
      </c>
      <c r="E885" s="5" t="str">
        <f>_xlfn.XLOOKUP(fOrcado[[#This Row],[Conta]],'Plano de Contas'!A:A,'Plano de Contas'!D:D)</f>
        <v>02 - Outras Receitas</v>
      </c>
    </row>
    <row r="886" spans="1:5" x14ac:dyDescent="0.25">
      <c r="A886" s="23">
        <f t="shared" si="11"/>
        <v>43647</v>
      </c>
      <c r="B886" s="5" t="s">
        <v>95</v>
      </c>
      <c r="C886" s="5">
        <v>183827</v>
      </c>
      <c r="D886" s="5" t="str">
        <f>_xlfn.XLOOKUP(fOrcado[[#This Row],[Conta]],'Plano de Contas'!A:A,'Plano de Contas'!C:C)</f>
        <v>(+) RECEITA BRUTA</v>
      </c>
      <c r="E886" s="5" t="str">
        <f>_xlfn.XLOOKUP(fOrcado[[#This Row],[Conta]],'Plano de Contas'!A:A,'Plano de Contas'!D:D)</f>
        <v>02 - Outras Receitas</v>
      </c>
    </row>
    <row r="887" spans="1:5" x14ac:dyDescent="0.25">
      <c r="A887" s="23">
        <f t="shared" si="11"/>
        <v>43647</v>
      </c>
      <c r="B887" s="5" t="s">
        <v>96</v>
      </c>
      <c r="C887" s="5">
        <v>110670</v>
      </c>
      <c r="D887" s="5" t="str">
        <f>_xlfn.XLOOKUP(fOrcado[[#This Row],[Conta]],'Plano de Contas'!A:A,'Plano de Contas'!C:C)</f>
        <v>(+) RECEITA BRUTA</v>
      </c>
      <c r="E887" s="5" t="str">
        <f>_xlfn.XLOOKUP(fOrcado[[#This Row],[Conta]],'Plano de Contas'!A:A,'Plano de Contas'!D:D)</f>
        <v>02 - Outras Receitas</v>
      </c>
    </row>
    <row r="888" spans="1:5" x14ac:dyDescent="0.25">
      <c r="A888" s="23">
        <f t="shared" si="11"/>
        <v>43647</v>
      </c>
      <c r="B888" s="5" t="s">
        <v>97</v>
      </c>
      <c r="C888" s="5">
        <v>251680</v>
      </c>
      <c r="D888" s="5" t="str">
        <f>_xlfn.XLOOKUP(fOrcado[[#This Row],[Conta]],'Plano de Contas'!A:A,'Plano de Contas'!C:C)</f>
        <v>(+) RECEITA BRUTA</v>
      </c>
      <c r="E888" s="5" t="str">
        <f>_xlfn.XLOOKUP(fOrcado[[#This Row],[Conta]],'Plano de Contas'!A:A,'Plano de Contas'!D:D)</f>
        <v>02 - Outras Receitas</v>
      </c>
    </row>
    <row r="889" spans="1:5" x14ac:dyDescent="0.25">
      <c r="A889" s="23">
        <f t="shared" si="11"/>
        <v>43647</v>
      </c>
      <c r="B889" s="5" t="s">
        <v>98</v>
      </c>
      <c r="C889" s="5">
        <v>274900</v>
      </c>
      <c r="D889" s="5" t="str">
        <f>_xlfn.XLOOKUP(fOrcado[[#This Row],[Conta]],'Plano de Contas'!A:A,'Plano de Contas'!C:C)</f>
        <v>(+) RECEITA BRUTA</v>
      </c>
      <c r="E889" s="5" t="str">
        <f>_xlfn.XLOOKUP(fOrcado[[#This Row],[Conta]],'Plano de Contas'!A:A,'Plano de Contas'!D:D)</f>
        <v>02 - Outras Receitas</v>
      </c>
    </row>
    <row r="890" spans="1:5" x14ac:dyDescent="0.25">
      <c r="A890" s="23">
        <f t="shared" si="11"/>
        <v>43647</v>
      </c>
      <c r="B890" s="5" t="s">
        <v>99</v>
      </c>
      <c r="C890" s="5">
        <v>163160</v>
      </c>
      <c r="D890" s="5" t="str">
        <f>_xlfn.XLOOKUP(fOrcado[[#This Row],[Conta]],'Plano de Contas'!A:A,'Plano de Contas'!C:C)</f>
        <v>(+) RECEITA BRUTA</v>
      </c>
      <c r="E890" s="5" t="str">
        <f>_xlfn.XLOOKUP(fOrcado[[#This Row],[Conta]],'Plano de Contas'!A:A,'Plano de Contas'!D:D)</f>
        <v>02 - Outras Receitas</v>
      </c>
    </row>
    <row r="891" spans="1:5" x14ac:dyDescent="0.25">
      <c r="A891" s="23">
        <f t="shared" si="11"/>
        <v>43647</v>
      </c>
      <c r="B891" s="5" t="s">
        <v>100</v>
      </c>
      <c r="C891" s="5">
        <v>156039</v>
      </c>
      <c r="D891" s="5" t="str">
        <f>_xlfn.XLOOKUP(fOrcado[[#This Row],[Conta]],'Plano de Contas'!A:A,'Plano de Contas'!C:C)</f>
        <v>(+) RECEITA BRUTA</v>
      </c>
      <c r="E891" s="5" t="str">
        <f>_xlfn.XLOOKUP(fOrcado[[#This Row],[Conta]],'Plano de Contas'!A:A,'Plano de Contas'!D:D)</f>
        <v>02 - Outras Receitas</v>
      </c>
    </row>
    <row r="892" spans="1:5" x14ac:dyDescent="0.25">
      <c r="A892" s="23">
        <f t="shared" si="11"/>
        <v>43647</v>
      </c>
      <c r="B892" s="5" t="s">
        <v>101</v>
      </c>
      <c r="C892" s="5">
        <v>289018</v>
      </c>
      <c r="D892" s="5" t="str">
        <f>_xlfn.XLOOKUP(fOrcado[[#This Row],[Conta]],'Plano de Contas'!A:A,'Plano de Contas'!C:C)</f>
        <v>(+) RECEITA BRUTA</v>
      </c>
      <c r="E892" s="5" t="str">
        <f>_xlfn.XLOOKUP(fOrcado[[#This Row],[Conta]],'Plano de Contas'!A:A,'Plano de Contas'!D:D)</f>
        <v>02 - Outras Receitas</v>
      </c>
    </row>
    <row r="893" spans="1:5" x14ac:dyDescent="0.25">
      <c r="A893" s="23">
        <f t="shared" si="11"/>
        <v>43647</v>
      </c>
      <c r="B893" s="5" t="s">
        <v>102</v>
      </c>
      <c r="C893" s="5">
        <v>222665</v>
      </c>
      <c r="D893" s="5" t="str">
        <f>_xlfn.XLOOKUP(fOrcado[[#This Row],[Conta]],'Plano de Contas'!A:A,'Plano de Contas'!C:C)</f>
        <v>(+) RECEITA BRUTA</v>
      </c>
      <c r="E893" s="5" t="str">
        <f>_xlfn.XLOOKUP(fOrcado[[#This Row],[Conta]],'Plano de Contas'!A:A,'Plano de Contas'!D:D)</f>
        <v>02 - Outras Receitas</v>
      </c>
    </row>
    <row r="894" spans="1:5" x14ac:dyDescent="0.25">
      <c r="A894" s="23">
        <f t="shared" si="11"/>
        <v>43647</v>
      </c>
      <c r="B894" s="5" t="s">
        <v>103</v>
      </c>
      <c r="C894" s="5">
        <v>191894</v>
      </c>
      <c r="D894" s="5" t="str">
        <f>_xlfn.XLOOKUP(fOrcado[[#This Row],[Conta]],'Plano de Contas'!A:A,'Plano de Contas'!C:C)</f>
        <v>(+) RECEITA BRUTA</v>
      </c>
      <c r="E894" s="5" t="str">
        <f>_xlfn.XLOOKUP(fOrcado[[#This Row],[Conta]],'Plano de Contas'!A:A,'Plano de Contas'!D:D)</f>
        <v>02 - Outras Receitas</v>
      </c>
    </row>
    <row r="895" spans="1:5" x14ac:dyDescent="0.25">
      <c r="A895" s="23">
        <f t="shared" si="11"/>
        <v>43647</v>
      </c>
      <c r="B895" s="5" t="s">
        <v>104</v>
      </c>
      <c r="C895" s="5">
        <v>205693</v>
      </c>
      <c r="D895" s="5" t="str">
        <f>_xlfn.XLOOKUP(fOrcado[[#This Row],[Conta]],'Plano de Contas'!A:A,'Plano de Contas'!C:C)</f>
        <v>(+) RECEITA BRUTA</v>
      </c>
      <c r="E895" s="5" t="str">
        <f>_xlfn.XLOOKUP(fOrcado[[#This Row],[Conta]],'Plano de Contas'!A:A,'Plano de Contas'!D:D)</f>
        <v>02 - Outras Receitas</v>
      </c>
    </row>
    <row r="896" spans="1:5" x14ac:dyDescent="0.25">
      <c r="A896" s="23">
        <f t="shared" si="11"/>
        <v>43647</v>
      </c>
      <c r="B896" s="5" t="s">
        <v>105</v>
      </c>
      <c r="C896" s="5">
        <v>69983</v>
      </c>
      <c r="D896" s="5" t="str">
        <f>_xlfn.XLOOKUP(fOrcado[[#This Row],[Conta]],'Plano de Contas'!A:A,'Plano de Contas'!C:C)</f>
        <v>(+) RECEITA BRUTA</v>
      </c>
      <c r="E896" s="5" t="str">
        <f>_xlfn.XLOOKUP(fOrcado[[#This Row],[Conta]],'Plano de Contas'!A:A,'Plano de Contas'!D:D)</f>
        <v>02 - Outras Receitas</v>
      </c>
    </row>
    <row r="897" spans="1:5" x14ac:dyDescent="0.25">
      <c r="A897" s="23">
        <f t="shared" si="11"/>
        <v>43647</v>
      </c>
      <c r="B897" s="5" t="s">
        <v>106</v>
      </c>
      <c r="C897" s="5">
        <v>258200</v>
      </c>
      <c r="D897" s="5" t="str">
        <f>_xlfn.XLOOKUP(fOrcado[[#This Row],[Conta]],'Plano de Contas'!A:A,'Plano de Contas'!C:C)</f>
        <v>(+) RECEITA BRUTA</v>
      </c>
      <c r="E897" s="5" t="str">
        <f>_xlfn.XLOOKUP(fOrcado[[#This Row],[Conta]],'Plano de Contas'!A:A,'Plano de Contas'!D:D)</f>
        <v>02 - Outras Receitas</v>
      </c>
    </row>
    <row r="898" spans="1:5" x14ac:dyDescent="0.25">
      <c r="A898" s="23">
        <f t="shared" si="11"/>
        <v>43647</v>
      </c>
      <c r="B898" s="5" t="s">
        <v>107</v>
      </c>
      <c r="C898" s="5">
        <v>169814</v>
      </c>
      <c r="D898" s="5" t="str">
        <f>_xlfn.XLOOKUP(fOrcado[[#This Row],[Conta]],'Plano de Contas'!A:A,'Plano de Contas'!C:C)</f>
        <v>(+) RECEITA BRUTA</v>
      </c>
      <c r="E898" s="5" t="str">
        <f>_xlfn.XLOOKUP(fOrcado[[#This Row],[Conta]],'Plano de Contas'!A:A,'Plano de Contas'!D:D)</f>
        <v>02 - Outras Receitas</v>
      </c>
    </row>
    <row r="899" spans="1:5" x14ac:dyDescent="0.25">
      <c r="A899" s="23">
        <f t="shared" si="11"/>
        <v>43647</v>
      </c>
      <c r="B899" s="5" t="s">
        <v>108</v>
      </c>
      <c r="C899" s="5">
        <v>148385</v>
      </c>
      <c r="D899" s="5" t="str">
        <f>_xlfn.XLOOKUP(fOrcado[[#This Row],[Conta]],'Plano de Contas'!A:A,'Plano de Contas'!C:C)</f>
        <v>(+) RECEITA BRUTA</v>
      </c>
      <c r="E899" s="5" t="str">
        <f>_xlfn.XLOOKUP(fOrcado[[#This Row],[Conta]],'Plano de Contas'!A:A,'Plano de Contas'!D:D)</f>
        <v>02 - Outras Receitas</v>
      </c>
    </row>
    <row r="900" spans="1:5" x14ac:dyDescent="0.25">
      <c r="A900" s="23">
        <f t="shared" si="11"/>
        <v>43647</v>
      </c>
      <c r="B900" s="5" t="s">
        <v>109</v>
      </c>
      <c r="C900" s="5">
        <v>161595</v>
      </c>
      <c r="D900" s="5" t="str">
        <f>_xlfn.XLOOKUP(fOrcado[[#This Row],[Conta]],'Plano de Contas'!A:A,'Plano de Contas'!C:C)</f>
        <v>(+) RECEITA BRUTA</v>
      </c>
      <c r="E900" s="5" t="str">
        <f>_xlfn.XLOOKUP(fOrcado[[#This Row],[Conta]],'Plano de Contas'!A:A,'Plano de Contas'!D:D)</f>
        <v>02 - Outras Receitas</v>
      </c>
    </row>
    <row r="901" spans="1:5" x14ac:dyDescent="0.25">
      <c r="A901" s="23">
        <f t="shared" si="11"/>
        <v>43647</v>
      </c>
      <c r="B901" s="5" t="s">
        <v>110</v>
      </c>
      <c r="C901" s="5">
        <v>-8032</v>
      </c>
      <c r="D901" s="5" t="str">
        <f>_xlfn.XLOOKUP(fOrcado[[#This Row],[Conta]],'Plano de Contas'!A:A,'Plano de Contas'!C:C)</f>
        <v>(-) Deduções da Receita</v>
      </c>
      <c r="E901" s="5" t="str">
        <f>_xlfn.XLOOKUP(fOrcado[[#This Row],[Conta]],'Plano de Contas'!A:A,'Plano de Contas'!D:D)</f>
        <v>03 - Devoluções de Produtos</v>
      </c>
    </row>
    <row r="902" spans="1:5" x14ac:dyDescent="0.25">
      <c r="A902" s="23">
        <f t="shared" si="11"/>
        <v>43647</v>
      </c>
      <c r="B902" s="5" t="s">
        <v>111</v>
      </c>
      <c r="C902" s="5">
        <v>-7480</v>
      </c>
      <c r="D902" s="5" t="str">
        <f>_xlfn.XLOOKUP(fOrcado[[#This Row],[Conta]],'Plano de Contas'!A:A,'Plano de Contas'!C:C)</f>
        <v>(-) Deduções da Receita</v>
      </c>
      <c r="E902" s="5" t="str">
        <f>_xlfn.XLOOKUP(fOrcado[[#This Row],[Conta]],'Plano de Contas'!A:A,'Plano de Contas'!D:D)</f>
        <v>03 - Devoluções de Produtos</v>
      </c>
    </row>
    <row r="903" spans="1:5" x14ac:dyDescent="0.25">
      <c r="A903" s="23">
        <f t="shared" si="11"/>
        <v>43647</v>
      </c>
      <c r="B903" s="5" t="s">
        <v>112</v>
      </c>
      <c r="C903" s="5">
        <v>-9724</v>
      </c>
      <c r="D903" s="5" t="str">
        <f>_xlfn.XLOOKUP(fOrcado[[#This Row],[Conta]],'Plano de Contas'!A:A,'Plano de Contas'!C:C)</f>
        <v>(-) Deduções da Receita</v>
      </c>
      <c r="E903" s="5" t="str">
        <f>_xlfn.XLOOKUP(fOrcado[[#This Row],[Conta]],'Plano de Contas'!A:A,'Plano de Contas'!D:D)</f>
        <v>03 - Devoluções de Produtos</v>
      </c>
    </row>
    <row r="904" spans="1:5" x14ac:dyDescent="0.25">
      <c r="A904" s="23">
        <f t="shared" si="11"/>
        <v>43647</v>
      </c>
      <c r="B904" s="5" t="s">
        <v>113</v>
      </c>
      <c r="C904" s="5">
        <v>-7701</v>
      </c>
      <c r="D904" s="5" t="str">
        <f>_xlfn.XLOOKUP(fOrcado[[#This Row],[Conta]],'Plano de Contas'!A:A,'Plano de Contas'!C:C)</f>
        <v>(-) Deduções da Receita</v>
      </c>
      <c r="E904" s="5" t="str">
        <f>_xlfn.XLOOKUP(fOrcado[[#This Row],[Conta]],'Plano de Contas'!A:A,'Plano de Contas'!D:D)</f>
        <v>03 - Devoluções de Produtos</v>
      </c>
    </row>
    <row r="905" spans="1:5" x14ac:dyDescent="0.25">
      <c r="A905" s="23">
        <f t="shared" si="11"/>
        <v>43647</v>
      </c>
      <c r="B905" s="5" t="s">
        <v>114</v>
      </c>
      <c r="C905" s="5">
        <v>-8617</v>
      </c>
      <c r="D905" s="5" t="str">
        <f>_xlfn.XLOOKUP(fOrcado[[#This Row],[Conta]],'Plano de Contas'!A:A,'Plano de Contas'!C:C)</f>
        <v>(-) Deduções da Receita</v>
      </c>
      <c r="E905" s="5" t="str">
        <f>_xlfn.XLOOKUP(fOrcado[[#This Row],[Conta]],'Plano de Contas'!A:A,'Plano de Contas'!D:D)</f>
        <v>03 - Devoluções de Produtos</v>
      </c>
    </row>
    <row r="906" spans="1:5" x14ac:dyDescent="0.25">
      <c r="A906" s="23">
        <f t="shared" si="11"/>
        <v>43647</v>
      </c>
      <c r="B906" s="5" t="s">
        <v>115</v>
      </c>
      <c r="C906" s="5">
        <v>-3473</v>
      </c>
      <c r="D906" s="5" t="str">
        <f>_xlfn.XLOOKUP(fOrcado[[#This Row],[Conta]],'Plano de Contas'!A:A,'Plano de Contas'!C:C)</f>
        <v>(-) Deduções da Receita</v>
      </c>
      <c r="E906" s="5" t="str">
        <f>_xlfn.XLOOKUP(fOrcado[[#This Row],[Conta]],'Plano de Contas'!A:A,'Plano de Contas'!D:D)</f>
        <v>03 - Devoluções de Produtos</v>
      </c>
    </row>
    <row r="907" spans="1:5" x14ac:dyDescent="0.25">
      <c r="A907" s="23">
        <f t="shared" si="11"/>
        <v>43647</v>
      </c>
      <c r="B907" s="5" t="s">
        <v>116</v>
      </c>
      <c r="C907" s="5">
        <v>-8960</v>
      </c>
      <c r="D907" s="5" t="str">
        <f>_xlfn.XLOOKUP(fOrcado[[#This Row],[Conta]],'Plano de Contas'!A:A,'Plano de Contas'!C:C)</f>
        <v>(-) Deduções da Receita</v>
      </c>
      <c r="E907" s="5" t="str">
        <f>_xlfn.XLOOKUP(fOrcado[[#This Row],[Conta]],'Plano de Contas'!A:A,'Plano de Contas'!D:D)</f>
        <v>03 - Devoluções de Produtos</v>
      </c>
    </row>
    <row r="908" spans="1:5" x14ac:dyDescent="0.25">
      <c r="A908" s="23">
        <f t="shared" si="11"/>
        <v>43647</v>
      </c>
      <c r="B908" s="5" t="s">
        <v>117</v>
      </c>
      <c r="C908" s="5">
        <v>-2056</v>
      </c>
      <c r="D908" s="5" t="str">
        <f>_xlfn.XLOOKUP(fOrcado[[#This Row],[Conta]],'Plano de Contas'!A:A,'Plano de Contas'!C:C)</f>
        <v>(-) Deduções da Receita</v>
      </c>
      <c r="E908" s="5" t="str">
        <f>_xlfn.XLOOKUP(fOrcado[[#This Row],[Conta]],'Plano de Contas'!A:A,'Plano de Contas'!D:D)</f>
        <v>03 - Devoluções de Produtos</v>
      </c>
    </row>
    <row r="909" spans="1:5" x14ac:dyDescent="0.25">
      <c r="A909" s="23">
        <f t="shared" si="11"/>
        <v>43647</v>
      </c>
      <c r="B909" s="5" t="s">
        <v>118</v>
      </c>
      <c r="C909" s="5">
        <v>-8512</v>
      </c>
      <c r="D909" s="5" t="str">
        <f>_xlfn.XLOOKUP(fOrcado[[#This Row],[Conta]],'Plano de Contas'!A:A,'Plano de Contas'!C:C)</f>
        <v>(-) Deduções da Receita</v>
      </c>
      <c r="E909" s="5" t="str">
        <f>_xlfn.XLOOKUP(fOrcado[[#This Row],[Conta]],'Plano de Contas'!A:A,'Plano de Contas'!D:D)</f>
        <v>03 - Devoluções de Produtos</v>
      </c>
    </row>
    <row r="910" spans="1:5" x14ac:dyDescent="0.25">
      <c r="A910" s="23">
        <f t="shared" si="11"/>
        <v>43647</v>
      </c>
      <c r="B910" s="5" t="s">
        <v>119</v>
      </c>
      <c r="C910" s="5">
        <v>-6990</v>
      </c>
      <c r="D910" s="5" t="str">
        <f>_xlfn.XLOOKUP(fOrcado[[#This Row],[Conta]],'Plano de Contas'!A:A,'Plano de Contas'!C:C)</f>
        <v>(-) Deduções da Receita</v>
      </c>
      <c r="E910" s="5" t="str">
        <f>_xlfn.XLOOKUP(fOrcado[[#This Row],[Conta]],'Plano de Contas'!A:A,'Plano de Contas'!D:D)</f>
        <v>03 - Devoluções de Produtos</v>
      </c>
    </row>
    <row r="911" spans="1:5" x14ac:dyDescent="0.25">
      <c r="A911" s="23">
        <f t="shared" ref="A911:A974" si="12">EDATE(A771,1)</f>
        <v>43647</v>
      </c>
      <c r="B911" s="5" t="s">
        <v>120</v>
      </c>
      <c r="C911" s="5">
        <v>-9293</v>
      </c>
      <c r="D911" s="5" t="str">
        <f>_xlfn.XLOOKUP(fOrcado[[#This Row],[Conta]],'Plano de Contas'!A:A,'Plano de Contas'!C:C)</f>
        <v>(-) Deduções da Receita</v>
      </c>
      <c r="E911" s="5" t="str">
        <f>_xlfn.XLOOKUP(fOrcado[[#This Row],[Conta]],'Plano de Contas'!A:A,'Plano de Contas'!D:D)</f>
        <v>03 - Devoluções de Produtos</v>
      </c>
    </row>
    <row r="912" spans="1:5" x14ac:dyDescent="0.25">
      <c r="A912" s="23">
        <f t="shared" si="12"/>
        <v>43647</v>
      </c>
      <c r="B912" s="5" t="s">
        <v>121</v>
      </c>
      <c r="C912" s="5">
        <v>-7342</v>
      </c>
      <c r="D912" s="5" t="str">
        <f>_xlfn.XLOOKUP(fOrcado[[#This Row],[Conta]],'Plano de Contas'!A:A,'Plano de Contas'!C:C)</f>
        <v>(-) Deduções da Receita</v>
      </c>
      <c r="E912" s="5" t="str">
        <f>_xlfn.XLOOKUP(fOrcado[[#This Row],[Conta]],'Plano de Contas'!A:A,'Plano de Contas'!D:D)</f>
        <v>03 - Devoluções de Produtos</v>
      </c>
    </row>
    <row r="913" spans="1:5" x14ac:dyDescent="0.25">
      <c r="A913" s="23">
        <f t="shared" si="12"/>
        <v>43647</v>
      </c>
      <c r="B913" s="5" t="s">
        <v>122</v>
      </c>
      <c r="C913" s="5">
        <v>-3847</v>
      </c>
      <c r="D913" s="5" t="str">
        <f>_xlfn.XLOOKUP(fOrcado[[#This Row],[Conta]],'Plano de Contas'!A:A,'Plano de Contas'!C:C)</f>
        <v>(-) Deduções da Receita</v>
      </c>
      <c r="E913" s="5" t="str">
        <f>_xlfn.XLOOKUP(fOrcado[[#This Row],[Conta]],'Plano de Contas'!A:A,'Plano de Contas'!D:D)</f>
        <v>03 - Devoluções de Produtos</v>
      </c>
    </row>
    <row r="914" spans="1:5" x14ac:dyDescent="0.25">
      <c r="A914" s="23">
        <f t="shared" si="12"/>
        <v>43647</v>
      </c>
      <c r="B914" s="5" t="s">
        <v>123</v>
      </c>
      <c r="C914" s="5">
        <v>-3731</v>
      </c>
      <c r="D914" s="5" t="str">
        <f>_xlfn.XLOOKUP(fOrcado[[#This Row],[Conta]],'Plano de Contas'!A:A,'Plano de Contas'!C:C)</f>
        <v>(-) Deduções da Receita</v>
      </c>
      <c r="E914" s="5" t="str">
        <f>_xlfn.XLOOKUP(fOrcado[[#This Row],[Conta]],'Plano de Contas'!A:A,'Plano de Contas'!D:D)</f>
        <v>03 - Devoluções de Produtos</v>
      </c>
    </row>
    <row r="915" spans="1:5" x14ac:dyDescent="0.25">
      <c r="A915" s="23">
        <f t="shared" si="12"/>
        <v>43647</v>
      </c>
      <c r="B915" s="5" t="s">
        <v>124</v>
      </c>
      <c r="C915" s="5">
        <v>-2118</v>
      </c>
      <c r="D915" s="5" t="str">
        <f>_xlfn.XLOOKUP(fOrcado[[#This Row],[Conta]],'Plano de Contas'!A:A,'Plano de Contas'!C:C)</f>
        <v>(-) Deduções da Receita</v>
      </c>
      <c r="E915" s="5" t="str">
        <f>_xlfn.XLOOKUP(fOrcado[[#This Row],[Conta]],'Plano de Contas'!A:A,'Plano de Contas'!D:D)</f>
        <v>03 - Devoluções de Produtos</v>
      </c>
    </row>
    <row r="916" spans="1:5" x14ac:dyDescent="0.25">
      <c r="A916" s="23">
        <f t="shared" si="12"/>
        <v>43647</v>
      </c>
      <c r="B916" s="5" t="s">
        <v>125</v>
      </c>
      <c r="C916" s="5">
        <v>-6215</v>
      </c>
      <c r="D916" s="5" t="str">
        <f>_xlfn.XLOOKUP(fOrcado[[#This Row],[Conta]],'Plano de Contas'!A:A,'Plano de Contas'!C:C)</f>
        <v>(-) Deduções da Receita</v>
      </c>
      <c r="E916" s="5" t="str">
        <f>_xlfn.XLOOKUP(fOrcado[[#This Row],[Conta]],'Plano de Contas'!A:A,'Plano de Contas'!D:D)</f>
        <v>03 - Devoluções de Produtos</v>
      </c>
    </row>
    <row r="917" spans="1:5" x14ac:dyDescent="0.25">
      <c r="A917" s="23">
        <f t="shared" si="12"/>
        <v>43647</v>
      </c>
      <c r="B917" s="5" t="s">
        <v>126</v>
      </c>
      <c r="C917" s="5">
        <v>-4390</v>
      </c>
      <c r="D917" s="5" t="str">
        <f>_xlfn.XLOOKUP(fOrcado[[#This Row],[Conta]],'Plano de Contas'!A:A,'Plano de Contas'!C:C)</f>
        <v>(-) Deduções da Receita</v>
      </c>
      <c r="E917" s="5" t="str">
        <f>_xlfn.XLOOKUP(fOrcado[[#This Row],[Conta]],'Plano de Contas'!A:A,'Plano de Contas'!D:D)</f>
        <v>03 - Devoluções de Produtos</v>
      </c>
    </row>
    <row r="918" spans="1:5" x14ac:dyDescent="0.25">
      <c r="A918" s="23">
        <f t="shared" si="12"/>
        <v>43647</v>
      </c>
      <c r="B918" s="5" t="s">
        <v>127</v>
      </c>
      <c r="C918" s="5">
        <v>-3125</v>
      </c>
      <c r="D918" s="5" t="str">
        <f>_xlfn.XLOOKUP(fOrcado[[#This Row],[Conta]],'Plano de Contas'!A:A,'Plano de Contas'!C:C)</f>
        <v>(-) Deduções da Receita</v>
      </c>
      <c r="E918" s="5" t="str">
        <f>_xlfn.XLOOKUP(fOrcado[[#This Row],[Conta]],'Plano de Contas'!A:A,'Plano de Contas'!D:D)</f>
        <v>03 - Devoluções de Produtos</v>
      </c>
    </row>
    <row r="919" spans="1:5" x14ac:dyDescent="0.25">
      <c r="A919" s="23">
        <f t="shared" si="12"/>
        <v>43647</v>
      </c>
      <c r="B919" s="5" t="s">
        <v>128</v>
      </c>
      <c r="C919" s="5">
        <v>-3043</v>
      </c>
      <c r="D919" s="5" t="str">
        <f>_xlfn.XLOOKUP(fOrcado[[#This Row],[Conta]],'Plano de Contas'!A:A,'Plano de Contas'!C:C)</f>
        <v>(-) Deduções da Receita</v>
      </c>
      <c r="E919" s="5" t="str">
        <f>_xlfn.XLOOKUP(fOrcado[[#This Row],[Conta]],'Plano de Contas'!A:A,'Plano de Contas'!D:D)</f>
        <v>03 - Devoluções de Produtos</v>
      </c>
    </row>
    <row r="920" spans="1:5" x14ac:dyDescent="0.25">
      <c r="A920" s="23">
        <f t="shared" si="12"/>
        <v>43647</v>
      </c>
      <c r="B920" s="5" t="s">
        <v>129</v>
      </c>
      <c r="C920" s="5">
        <v>-7153</v>
      </c>
      <c r="D920" s="5" t="str">
        <f>_xlfn.XLOOKUP(fOrcado[[#This Row],[Conta]],'Plano de Contas'!A:A,'Plano de Contas'!C:C)</f>
        <v>(-) Deduções da Receita</v>
      </c>
      <c r="E920" s="5" t="str">
        <f>_xlfn.XLOOKUP(fOrcado[[#This Row],[Conta]],'Plano de Contas'!A:A,'Plano de Contas'!D:D)</f>
        <v>03 - Devoluções de Produtos</v>
      </c>
    </row>
    <row r="921" spans="1:5" x14ac:dyDescent="0.25">
      <c r="A921" s="23">
        <f t="shared" si="12"/>
        <v>43647</v>
      </c>
      <c r="B921" s="5" t="s">
        <v>130</v>
      </c>
      <c r="C921" s="5">
        <v>-7895</v>
      </c>
      <c r="D921" s="5" t="str">
        <f>_xlfn.XLOOKUP(fOrcado[[#This Row],[Conta]],'Plano de Contas'!A:A,'Plano de Contas'!C:C)</f>
        <v>(-) Deduções da Receita</v>
      </c>
      <c r="E921" s="5" t="str">
        <f>_xlfn.XLOOKUP(fOrcado[[#This Row],[Conta]],'Plano de Contas'!A:A,'Plano de Contas'!D:D)</f>
        <v>03 - Devoluções de Produtos</v>
      </c>
    </row>
    <row r="922" spans="1:5" x14ac:dyDescent="0.25">
      <c r="A922" s="23">
        <f t="shared" si="12"/>
        <v>43647</v>
      </c>
      <c r="B922" s="5" t="s">
        <v>131</v>
      </c>
      <c r="C922" s="5">
        <v>-6442</v>
      </c>
      <c r="D922" s="5" t="str">
        <f>_xlfn.XLOOKUP(fOrcado[[#This Row],[Conta]],'Plano de Contas'!A:A,'Plano de Contas'!C:C)</f>
        <v>(-) Deduções da Receita</v>
      </c>
      <c r="E922" s="5" t="str">
        <f>_xlfn.XLOOKUP(fOrcado[[#This Row],[Conta]],'Plano de Contas'!A:A,'Plano de Contas'!D:D)</f>
        <v>03 - Devoluções de Produtos</v>
      </c>
    </row>
    <row r="923" spans="1:5" x14ac:dyDescent="0.25">
      <c r="A923" s="23">
        <f t="shared" si="12"/>
        <v>43647</v>
      </c>
      <c r="B923" s="5" t="s">
        <v>132</v>
      </c>
      <c r="C923" s="5">
        <v>-6696</v>
      </c>
      <c r="D923" s="5" t="str">
        <f>_xlfn.XLOOKUP(fOrcado[[#This Row],[Conta]],'Plano de Contas'!A:A,'Plano de Contas'!C:C)</f>
        <v>(-) Deduções da Receita</v>
      </c>
      <c r="E923" s="5" t="str">
        <f>_xlfn.XLOOKUP(fOrcado[[#This Row],[Conta]],'Plano de Contas'!A:A,'Plano de Contas'!D:D)</f>
        <v>03 - Devoluções de Produtos</v>
      </c>
    </row>
    <row r="924" spans="1:5" x14ac:dyDescent="0.25">
      <c r="A924" s="23">
        <f t="shared" si="12"/>
        <v>43647</v>
      </c>
      <c r="B924" s="5" t="s">
        <v>133</v>
      </c>
      <c r="C924" s="5">
        <v>-5882</v>
      </c>
      <c r="D924" s="5" t="str">
        <f>_xlfn.XLOOKUP(fOrcado[[#This Row],[Conta]],'Plano de Contas'!A:A,'Plano de Contas'!C:C)</f>
        <v>(-) Deduções da Receita</v>
      </c>
      <c r="E924" s="5" t="str">
        <f>_xlfn.XLOOKUP(fOrcado[[#This Row],[Conta]],'Plano de Contas'!A:A,'Plano de Contas'!D:D)</f>
        <v>03 - Devoluções de Produtos</v>
      </c>
    </row>
    <row r="925" spans="1:5" x14ac:dyDescent="0.25">
      <c r="A925" s="23">
        <f t="shared" si="12"/>
        <v>43647</v>
      </c>
      <c r="B925" s="5" t="s">
        <v>134</v>
      </c>
      <c r="C925" s="5">
        <v>-9269</v>
      </c>
      <c r="D925" s="5" t="str">
        <f>_xlfn.XLOOKUP(fOrcado[[#This Row],[Conta]],'Plano de Contas'!A:A,'Plano de Contas'!C:C)</f>
        <v>(-) Deduções da Receita</v>
      </c>
      <c r="E925" s="5" t="str">
        <f>_xlfn.XLOOKUP(fOrcado[[#This Row],[Conta]],'Plano de Contas'!A:A,'Plano de Contas'!D:D)</f>
        <v>03 - Devoluções de Produtos</v>
      </c>
    </row>
    <row r="926" spans="1:5" x14ac:dyDescent="0.25">
      <c r="A926" s="23">
        <f t="shared" si="12"/>
        <v>43647</v>
      </c>
      <c r="B926" s="5" t="s">
        <v>135</v>
      </c>
      <c r="C926" s="5">
        <v>-6372</v>
      </c>
      <c r="D926" s="5" t="str">
        <f>_xlfn.XLOOKUP(fOrcado[[#This Row],[Conta]],'Plano de Contas'!A:A,'Plano de Contas'!C:C)</f>
        <v>(-) Deduções da Receita</v>
      </c>
      <c r="E926" s="5" t="str">
        <f>_xlfn.XLOOKUP(fOrcado[[#This Row],[Conta]],'Plano de Contas'!A:A,'Plano de Contas'!D:D)</f>
        <v>03 - Devoluções de Produtos</v>
      </c>
    </row>
    <row r="927" spans="1:5" x14ac:dyDescent="0.25">
      <c r="A927" s="23">
        <f t="shared" si="12"/>
        <v>43647</v>
      </c>
      <c r="B927" s="5" t="s">
        <v>136</v>
      </c>
      <c r="C927" s="5">
        <v>-5222</v>
      </c>
      <c r="D927" s="5" t="str">
        <f>_xlfn.XLOOKUP(fOrcado[[#This Row],[Conta]],'Plano de Contas'!A:A,'Plano de Contas'!C:C)</f>
        <v>(-) Deduções da Receita</v>
      </c>
      <c r="E927" s="5" t="str">
        <f>_xlfn.XLOOKUP(fOrcado[[#This Row],[Conta]],'Plano de Contas'!A:A,'Plano de Contas'!D:D)</f>
        <v>04 - Taxas de Serviço</v>
      </c>
    </row>
    <row r="928" spans="1:5" x14ac:dyDescent="0.25">
      <c r="A928" s="23">
        <f t="shared" si="12"/>
        <v>43647</v>
      </c>
      <c r="B928" s="5" t="s">
        <v>137</v>
      </c>
      <c r="C928" s="5">
        <v>-8406</v>
      </c>
      <c r="D928" s="5" t="str">
        <f>_xlfn.XLOOKUP(fOrcado[[#This Row],[Conta]],'Plano de Contas'!A:A,'Plano de Contas'!C:C)</f>
        <v>(-) Deduções da Receita</v>
      </c>
      <c r="E928" s="5" t="str">
        <f>_xlfn.XLOOKUP(fOrcado[[#This Row],[Conta]],'Plano de Contas'!A:A,'Plano de Contas'!D:D)</f>
        <v>04 - Taxas de Serviço</v>
      </c>
    </row>
    <row r="929" spans="1:5" x14ac:dyDescent="0.25">
      <c r="A929" s="23">
        <f t="shared" si="12"/>
        <v>43647</v>
      </c>
      <c r="B929" s="5" t="s">
        <v>138</v>
      </c>
      <c r="C929" s="5">
        <v>-7444</v>
      </c>
      <c r="D929" s="5" t="str">
        <f>_xlfn.XLOOKUP(fOrcado[[#This Row],[Conta]],'Plano de Contas'!A:A,'Plano de Contas'!C:C)</f>
        <v>(-) Deduções da Receita</v>
      </c>
      <c r="E929" s="5" t="str">
        <f>_xlfn.XLOOKUP(fOrcado[[#This Row],[Conta]],'Plano de Contas'!A:A,'Plano de Contas'!D:D)</f>
        <v>04 - Taxas de Serviço</v>
      </c>
    </row>
    <row r="930" spans="1:5" x14ac:dyDescent="0.25">
      <c r="A930" s="23">
        <f t="shared" si="12"/>
        <v>43647</v>
      </c>
      <c r="B930" s="5" t="s">
        <v>139</v>
      </c>
      <c r="C930" s="5">
        <v>-8327</v>
      </c>
      <c r="D930" s="5" t="str">
        <f>_xlfn.XLOOKUP(fOrcado[[#This Row],[Conta]],'Plano de Contas'!A:A,'Plano de Contas'!C:C)</f>
        <v>(-) Deduções da Receita</v>
      </c>
      <c r="E930" s="5" t="str">
        <f>_xlfn.XLOOKUP(fOrcado[[#This Row],[Conta]],'Plano de Contas'!A:A,'Plano de Contas'!D:D)</f>
        <v>04 - Taxas de Serviço</v>
      </c>
    </row>
    <row r="931" spans="1:5" x14ac:dyDescent="0.25">
      <c r="A931" s="23">
        <f t="shared" si="12"/>
        <v>43647</v>
      </c>
      <c r="B931" s="5" t="s">
        <v>140</v>
      </c>
      <c r="C931" s="5">
        <v>-273116</v>
      </c>
      <c r="D931" s="5" t="str">
        <f>_xlfn.XLOOKUP(fOrcado[[#This Row],[Conta]],'Plano de Contas'!A:A,'Plano de Contas'!C:C)</f>
        <v>(-) Custos de Vendas</v>
      </c>
      <c r="E931" s="5" t="str">
        <f>_xlfn.XLOOKUP(fOrcado[[#This Row],[Conta]],'Plano de Contas'!A:A,'Plano de Contas'!D:D)</f>
        <v>05 - Custo do Produto</v>
      </c>
    </row>
    <row r="932" spans="1:5" x14ac:dyDescent="0.25">
      <c r="A932" s="23">
        <f t="shared" si="12"/>
        <v>43647</v>
      </c>
      <c r="B932" s="5" t="s">
        <v>141</v>
      </c>
      <c r="C932" s="5">
        <v>-128198</v>
      </c>
      <c r="D932" s="5" t="str">
        <f>_xlfn.XLOOKUP(fOrcado[[#This Row],[Conta]],'Plano de Contas'!A:A,'Plano de Contas'!C:C)</f>
        <v>(-) Custos de Vendas</v>
      </c>
      <c r="E932" s="5" t="str">
        <f>_xlfn.XLOOKUP(fOrcado[[#This Row],[Conta]],'Plano de Contas'!A:A,'Plano de Contas'!D:D)</f>
        <v>05 - Custo do Produto</v>
      </c>
    </row>
    <row r="933" spans="1:5" x14ac:dyDescent="0.25">
      <c r="A933" s="23">
        <f t="shared" si="12"/>
        <v>43647</v>
      </c>
      <c r="B933" s="5" t="s">
        <v>142</v>
      </c>
      <c r="C933" s="5">
        <v>-203771</v>
      </c>
      <c r="D933" s="5" t="str">
        <f>_xlfn.XLOOKUP(fOrcado[[#This Row],[Conta]],'Plano de Contas'!A:A,'Plano de Contas'!C:C)</f>
        <v>(-) Custos de Vendas</v>
      </c>
      <c r="E933" s="5" t="str">
        <f>_xlfn.XLOOKUP(fOrcado[[#This Row],[Conta]],'Plano de Contas'!A:A,'Plano de Contas'!D:D)</f>
        <v>05 - Custo do Produto</v>
      </c>
    </row>
    <row r="934" spans="1:5" x14ac:dyDescent="0.25">
      <c r="A934" s="23">
        <f t="shared" si="12"/>
        <v>43647</v>
      </c>
      <c r="B934" s="5" t="s">
        <v>143</v>
      </c>
      <c r="C934" s="5">
        <v>-210570</v>
      </c>
      <c r="D934" s="5" t="str">
        <f>_xlfn.XLOOKUP(fOrcado[[#This Row],[Conta]],'Plano de Contas'!A:A,'Plano de Contas'!C:C)</f>
        <v>(-) Custos de Vendas</v>
      </c>
      <c r="E934" s="5" t="str">
        <f>_xlfn.XLOOKUP(fOrcado[[#This Row],[Conta]],'Plano de Contas'!A:A,'Plano de Contas'!D:D)</f>
        <v>05 - Custo do Produto</v>
      </c>
    </row>
    <row r="935" spans="1:5" x14ac:dyDescent="0.25">
      <c r="A935" s="23">
        <f t="shared" si="12"/>
        <v>43647</v>
      </c>
      <c r="B935" s="5" t="s">
        <v>144</v>
      </c>
      <c r="C935" s="5">
        <v>-114358</v>
      </c>
      <c r="D935" s="5" t="str">
        <f>_xlfn.XLOOKUP(fOrcado[[#This Row],[Conta]],'Plano de Contas'!A:A,'Plano de Contas'!C:C)</f>
        <v>(-) Custos de Vendas</v>
      </c>
      <c r="E935" s="5" t="str">
        <f>_xlfn.XLOOKUP(fOrcado[[#This Row],[Conta]],'Plano de Contas'!A:A,'Plano de Contas'!D:D)</f>
        <v>05 - Custo do Produto</v>
      </c>
    </row>
    <row r="936" spans="1:5" x14ac:dyDescent="0.25">
      <c r="A936" s="23">
        <f t="shared" si="12"/>
        <v>43647</v>
      </c>
      <c r="B936" s="5" t="s">
        <v>145</v>
      </c>
      <c r="C936" s="5">
        <v>-177768</v>
      </c>
      <c r="D936" s="5" t="str">
        <f>_xlfn.XLOOKUP(fOrcado[[#This Row],[Conta]],'Plano de Contas'!A:A,'Plano de Contas'!C:C)</f>
        <v>(-) Custos de Vendas</v>
      </c>
      <c r="E936" s="5" t="str">
        <f>_xlfn.XLOOKUP(fOrcado[[#This Row],[Conta]],'Plano de Contas'!A:A,'Plano de Contas'!D:D)</f>
        <v>05 - Custo do Produto</v>
      </c>
    </row>
    <row r="937" spans="1:5" x14ac:dyDescent="0.25">
      <c r="A937" s="23">
        <f t="shared" si="12"/>
        <v>43647</v>
      </c>
      <c r="B937" s="5" t="s">
        <v>146</v>
      </c>
      <c r="C937" s="5">
        <v>-180314</v>
      </c>
      <c r="D937" s="5" t="str">
        <f>_xlfn.XLOOKUP(fOrcado[[#This Row],[Conta]],'Plano de Contas'!A:A,'Plano de Contas'!C:C)</f>
        <v>(-) Custos de Vendas</v>
      </c>
      <c r="E937" s="5" t="str">
        <f>_xlfn.XLOOKUP(fOrcado[[#This Row],[Conta]],'Plano de Contas'!A:A,'Plano de Contas'!D:D)</f>
        <v>05 - Custo do Produto</v>
      </c>
    </row>
    <row r="938" spans="1:5" x14ac:dyDescent="0.25">
      <c r="A938" s="23">
        <f t="shared" si="12"/>
        <v>43647</v>
      </c>
      <c r="B938" s="5" t="s">
        <v>147</v>
      </c>
      <c r="C938" s="5">
        <v>-297935</v>
      </c>
      <c r="D938" s="5" t="str">
        <f>_xlfn.XLOOKUP(fOrcado[[#This Row],[Conta]],'Plano de Contas'!A:A,'Plano de Contas'!C:C)</f>
        <v>(-) Custos de Vendas</v>
      </c>
      <c r="E938" s="5" t="str">
        <f>_xlfn.XLOOKUP(fOrcado[[#This Row],[Conta]],'Plano de Contas'!A:A,'Plano de Contas'!D:D)</f>
        <v>05 - Custo do Produto</v>
      </c>
    </row>
    <row r="939" spans="1:5" x14ac:dyDescent="0.25">
      <c r="A939" s="23">
        <f t="shared" si="12"/>
        <v>43647</v>
      </c>
      <c r="B939" s="5" t="s">
        <v>148</v>
      </c>
      <c r="C939" s="5">
        <v>-161656</v>
      </c>
      <c r="D939" s="5" t="str">
        <f>_xlfn.XLOOKUP(fOrcado[[#This Row],[Conta]],'Plano de Contas'!A:A,'Plano de Contas'!C:C)</f>
        <v>(-) Custos de Vendas</v>
      </c>
      <c r="E939" s="5" t="str">
        <f>_xlfn.XLOOKUP(fOrcado[[#This Row],[Conta]],'Plano de Contas'!A:A,'Plano de Contas'!D:D)</f>
        <v>05 - Custo do Produto</v>
      </c>
    </row>
    <row r="940" spans="1:5" x14ac:dyDescent="0.25">
      <c r="A940" s="23">
        <f t="shared" si="12"/>
        <v>43647</v>
      </c>
      <c r="B940" s="5" t="s">
        <v>149</v>
      </c>
      <c r="C940" s="5">
        <v>-76583</v>
      </c>
      <c r="D940" s="5" t="str">
        <f>_xlfn.XLOOKUP(fOrcado[[#This Row],[Conta]],'Plano de Contas'!A:A,'Plano de Contas'!C:C)</f>
        <v>(-) Custos de Vendas</v>
      </c>
      <c r="E940" s="5" t="str">
        <f>_xlfn.XLOOKUP(fOrcado[[#This Row],[Conta]],'Plano de Contas'!A:A,'Plano de Contas'!D:D)</f>
        <v>05 - Custo do Produto</v>
      </c>
    </row>
    <row r="941" spans="1:5" x14ac:dyDescent="0.25">
      <c r="A941" s="23">
        <f t="shared" si="12"/>
        <v>43647</v>
      </c>
      <c r="B941" s="5" t="s">
        <v>150</v>
      </c>
      <c r="C941" s="5">
        <v>-233713</v>
      </c>
      <c r="D941" s="5" t="str">
        <f>_xlfn.XLOOKUP(fOrcado[[#This Row],[Conta]],'Plano de Contas'!A:A,'Plano de Contas'!C:C)</f>
        <v>(-) Custos de Vendas</v>
      </c>
      <c r="E941" s="5" t="str">
        <f>_xlfn.XLOOKUP(fOrcado[[#This Row],[Conta]],'Plano de Contas'!A:A,'Plano de Contas'!D:D)</f>
        <v>05 - Custo do Produto</v>
      </c>
    </row>
    <row r="942" spans="1:5" x14ac:dyDescent="0.25">
      <c r="A942" s="23">
        <f t="shared" si="12"/>
        <v>43647</v>
      </c>
      <c r="B942" s="5" t="s">
        <v>151</v>
      </c>
      <c r="C942" s="5">
        <v>-264159</v>
      </c>
      <c r="D942" s="5" t="str">
        <f>_xlfn.XLOOKUP(fOrcado[[#This Row],[Conta]],'Plano de Contas'!A:A,'Plano de Contas'!C:C)</f>
        <v>(-) Custos de Vendas</v>
      </c>
      <c r="E942" s="5" t="str">
        <f>_xlfn.XLOOKUP(fOrcado[[#This Row],[Conta]],'Plano de Contas'!A:A,'Plano de Contas'!D:D)</f>
        <v>05 - Custo do Produto</v>
      </c>
    </row>
    <row r="943" spans="1:5" x14ac:dyDescent="0.25">
      <c r="A943" s="23">
        <f t="shared" si="12"/>
        <v>43647</v>
      </c>
      <c r="B943" s="5" t="s">
        <v>152</v>
      </c>
      <c r="C943" s="5">
        <v>-169044</v>
      </c>
      <c r="D943" s="5" t="str">
        <f>_xlfn.XLOOKUP(fOrcado[[#This Row],[Conta]],'Plano de Contas'!A:A,'Plano de Contas'!C:C)</f>
        <v>(-) Custos de Vendas</v>
      </c>
      <c r="E943" s="5" t="str">
        <f>_xlfn.XLOOKUP(fOrcado[[#This Row],[Conta]],'Plano de Contas'!A:A,'Plano de Contas'!D:D)</f>
        <v>05 - Custo do Produto</v>
      </c>
    </row>
    <row r="944" spans="1:5" x14ac:dyDescent="0.25">
      <c r="A944" s="23">
        <f t="shared" si="12"/>
        <v>43647</v>
      </c>
      <c r="B944" s="5" t="s">
        <v>153</v>
      </c>
      <c r="C944" s="5">
        <v>-135347</v>
      </c>
      <c r="D944" s="5" t="str">
        <f>_xlfn.XLOOKUP(fOrcado[[#This Row],[Conta]],'Plano de Contas'!A:A,'Plano de Contas'!C:C)</f>
        <v>(-) Custos de Vendas</v>
      </c>
      <c r="E944" s="5" t="str">
        <f>_xlfn.XLOOKUP(fOrcado[[#This Row],[Conta]],'Plano de Contas'!A:A,'Plano de Contas'!D:D)</f>
        <v>05 - Custo do Produto</v>
      </c>
    </row>
    <row r="945" spans="1:5" x14ac:dyDescent="0.25">
      <c r="A945" s="23">
        <f t="shared" si="12"/>
        <v>43647</v>
      </c>
      <c r="B945" s="5" t="s">
        <v>154</v>
      </c>
      <c r="C945" s="5">
        <v>-120295</v>
      </c>
      <c r="D945" s="5" t="str">
        <f>_xlfn.XLOOKUP(fOrcado[[#This Row],[Conta]],'Plano de Contas'!A:A,'Plano de Contas'!C:C)</f>
        <v>(-) Custos de Vendas</v>
      </c>
      <c r="E945" s="5" t="str">
        <f>_xlfn.XLOOKUP(fOrcado[[#This Row],[Conta]],'Plano de Contas'!A:A,'Plano de Contas'!D:D)</f>
        <v>05 - Custo do Produto</v>
      </c>
    </row>
    <row r="946" spans="1:5" x14ac:dyDescent="0.25">
      <c r="A946" s="23">
        <f t="shared" si="12"/>
        <v>43647</v>
      </c>
      <c r="B946" s="5" t="s">
        <v>155</v>
      </c>
      <c r="C946" s="5">
        <v>-98765</v>
      </c>
      <c r="D946" s="5" t="str">
        <f>_xlfn.XLOOKUP(fOrcado[[#This Row],[Conta]],'Plano de Contas'!A:A,'Plano de Contas'!C:C)</f>
        <v>(-) Custos de Vendas</v>
      </c>
      <c r="E946" s="5" t="str">
        <f>_xlfn.XLOOKUP(fOrcado[[#This Row],[Conta]],'Plano de Contas'!A:A,'Plano de Contas'!D:D)</f>
        <v>05 - Custo do Produto</v>
      </c>
    </row>
    <row r="947" spans="1:5" x14ac:dyDescent="0.25">
      <c r="A947" s="23">
        <f t="shared" si="12"/>
        <v>43647</v>
      </c>
      <c r="B947" s="5" t="s">
        <v>156</v>
      </c>
      <c r="C947" s="5">
        <v>-177526</v>
      </c>
      <c r="D947" s="5" t="str">
        <f>_xlfn.XLOOKUP(fOrcado[[#This Row],[Conta]],'Plano de Contas'!A:A,'Plano de Contas'!C:C)</f>
        <v>(-) Custos de Vendas</v>
      </c>
      <c r="E947" s="5" t="str">
        <f>_xlfn.XLOOKUP(fOrcado[[#This Row],[Conta]],'Plano de Contas'!A:A,'Plano de Contas'!D:D)</f>
        <v>05 - Custo do Produto</v>
      </c>
    </row>
    <row r="948" spans="1:5" x14ac:dyDescent="0.25">
      <c r="A948" s="23">
        <f t="shared" si="12"/>
        <v>43647</v>
      </c>
      <c r="B948" s="5" t="s">
        <v>157</v>
      </c>
      <c r="C948" s="5">
        <v>-147627</v>
      </c>
      <c r="D948" s="5" t="str">
        <f>_xlfn.XLOOKUP(fOrcado[[#This Row],[Conta]],'Plano de Contas'!A:A,'Plano de Contas'!C:C)</f>
        <v>(-) Custos de Vendas</v>
      </c>
      <c r="E948" s="5" t="str">
        <f>_xlfn.XLOOKUP(fOrcado[[#This Row],[Conta]],'Plano de Contas'!A:A,'Plano de Contas'!D:D)</f>
        <v>05 - Custo do Produto</v>
      </c>
    </row>
    <row r="949" spans="1:5" x14ac:dyDescent="0.25">
      <c r="A949" s="23">
        <f t="shared" si="12"/>
        <v>43647</v>
      </c>
      <c r="B949" s="5" t="s">
        <v>158</v>
      </c>
      <c r="C949" s="5">
        <v>-286470</v>
      </c>
      <c r="D949" s="5" t="str">
        <f>_xlfn.XLOOKUP(fOrcado[[#This Row],[Conta]],'Plano de Contas'!A:A,'Plano de Contas'!C:C)</f>
        <v>(-) Custos de Vendas</v>
      </c>
      <c r="E949" s="5" t="str">
        <f>_xlfn.XLOOKUP(fOrcado[[#This Row],[Conta]],'Plano de Contas'!A:A,'Plano de Contas'!D:D)</f>
        <v>05 - Custo do Produto</v>
      </c>
    </row>
    <row r="950" spans="1:5" x14ac:dyDescent="0.25">
      <c r="A950" s="23">
        <f t="shared" si="12"/>
        <v>43647</v>
      </c>
      <c r="B950" s="5" t="s">
        <v>159</v>
      </c>
      <c r="C950" s="5">
        <v>-276291</v>
      </c>
      <c r="D950" s="5" t="str">
        <f>_xlfn.XLOOKUP(fOrcado[[#This Row],[Conta]],'Plano de Contas'!A:A,'Plano de Contas'!C:C)</f>
        <v>(-) Custos de Vendas</v>
      </c>
      <c r="E950" s="5" t="str">
        <f>_xlfn.XLOOKUP(fOrcado[[#This Row],[Conta]],'Plano de Contas'!A:A,'Plano de Contas'!D:D)</f>
        <v>05 - Custo do Produto</v>
      </c>
    </row>
    <row r="951" spans="1:5" x14ac:dyDescent="0.25">
      <c r="A951" s="23">
        <f t="shared" si="12"/>
        <v>43647</v>
      </c>
      <c r="B951" s="5" t="s">
        <v>160</v>
      </c>
      <c r="C951" s="5">
        <v>-154389</v>
      </c>
      <c r="D951" s="5" t="str">
        <f>_xlfn.XLOOKUP(fOrcado[[#This Row],[Conta]],'Plano de Contas'!A:A,'Plano de Contas'!C:C)</f>
        <v>(-) Custos de Vendas</v>
      </c>
      <c r="E951" s="5" t="str">
        <f>_xlfn.XLOOKUP(fOrcado[[#This Row],[Conta]],'Plano de Contas'!A:A,'Plano de Contas'!D:D)</f>
        <v>05 - Custo do Produto</v>
      </c>
    </row>
    <row r="952" spans="1:5" x14ac:dyDescent="0.25">
      <c r="A952" s="23">
        <f t="shared" si="12"/>
        <v>43647</v>
      </c>
      <c r="B952" s="5" t="s">
        <v>161</v>
      </c>
      <c r="C952" s="5">
        <v>-171248</v>
      </c>
      <c r="D952" s="5" t="str">
        <f>_xlfn.XLOOKUP(fOrcado[[#This Row],[Conta]],'Plano de Contas'!A:A,'Plano de Contas'!C:C)</f>
        <v>(-) Custos de Vendas</v>
      </c>
      <c r="E952" s="5" t="str">
        <f>_xlfn.XLOOKUP(fOrcado[[#This Row],[Conta]],'Plano de Contas'!A:A,'Plano de Contas'!D:D)</f>
        <v>05 - Custo do Produto</v>
      </c>
    </row>
    <row r="953" spans="1:5" x14ac:dyDescent="0.25">
      <c r="A953" s="23">
        <f t="shared" si="12"/>
        <v>43647</v>
      </c>
      <c r="B953" s="5" t="s">
        <v>162</v>
      </c>
      <c r="C953" s="5">
        <v>-104845</v>
      </c>
      <c r="D953" s="5" t="str">
        <f>_xlfn.XLOOKUP(fOrcado[[#This Row],[Conta]],'Plano de Contas'!A:A,'Plano de Contas'!C:C)</f>
        <v>(-) Custos de Vendas</v>
      </c>
      <c r="E953" s="5" t="str">
        <f>_xlfn.XLOOKUP(fOrcado[[#This Row],[Conta]],'Plano de Contas'!A:A,'Plano de Contas'!D:D)</f>
        <v>05 - Custo do Produto</v>
      </c>
    </row>
    <row r="954" spans="1:5" x14ac:dyDescent="0.25">
      <c r="A954" s="23">
        <f t="shared" si="12"/>
        <v>43647</v>
      </c>
      <c r="B954" s="5" t="s">
        <v>163</v>
      </c>
      <c r="C954" s="5">
        <v>-179858</v>
      </c>
      <c r="D954" s="5" t="str">
        <f>_xlfn.XLOOKUP(fOrcado[[#This Row],[Conta]],'Plano de Contas'!A:A,'Plano de Contas'!C:C)</f>
        <v>(-) Custos de Vendas</v>
      </c>
      <c r="E954" s="5" t="str">
        <f>_xlfn.XLOOKUP(fOrcado[[#This Row],[Conta]],'Plano de Contas'!A:A,'Plano de Contas'!D:D)</f>
        <v>05 - Custo do Produto</v>
      </c>
    </row>
    <row r="955" spans="1:5" x14ac:dyDescent="0.25">
      <c r="A955" s="23">
        <f t="shared" si="12"/>
        <v>43647</v>
      </c>
      <c r="B955" s="5" t="s">
        <v>164</v>
      </c>
      <c r="C955" s="5">
        <v>-69722</v>
      </c>
      <c r="D955" s="5" t="str">
        <f>_xlfn.XLOOKUP(fOrcado[[#This Row],[Conta]],'Plano de Contas'!A:A,'Plano de Contas'!C:C)</f>
        <v>(-) Custos de Vendas</v>
      </c>
      <c r="E955" s="5" t="str">
        <f>_xlfn.XLOOKUP(fOrcado[[#This Row],[Conta]],'Plano de Contas'!A:A,'Plano de Contas'!D:D)</f>
        <v>06 - Outros Custos</v>
      </c>
    </row>
    <row r="956" spans="1:5" x14ac:dyDescent="0.25">
      <c r="A956" s="23">
        <f t="shared" si="12"/>
        <v>43647</v>
      </c>
      <c r="B956" s="5" t="s">
        <v>165</v>
      </c>
      <c r="C956" s="5">
        <v>-66834</v>
      </c>
      <c r="D956" s="5" t="str">
        <f>_xlfn.XLOOKUP(fOrcado[[#This Row],[Conta]],'Plano de Contas'!A:A,'Plano de Contas'!C:C)</f>
        <v>(-) Custos de Vendas</v>
      </c>
      <c r="E956" s="5" t="str">
        <f>_xlfn.XLOOKUP(fOrcado[[#This Row],[Conta]],'Plano de Contas'!A:A,'Plano de Contas'!D:D)</f>
        <v>06 - Outros Custos</v>
      </c>
    </row>
    <row r="957" spans="1:5" x14ac:dyDescent="0.25">
      <c r="A957" s="23">
        <f t="shared" si="12"/>
        <v>43647</v>
      </c>
      <c r="B957" s="5" t="s">
        <v>166</v>
      </c>
      <c r="C957" s="5">
        <v>-97219</v>
      </c>
      <c r="D957" s="5" t="str">
        <f>_xlfn.XLOOKUP(fOrcado[[#This Row],[Conta]],'Plano de Contas'!A:A,'Plano de Contas'!C:C)</f>
        <v>(-) Custos de Vendas</v>
      </c>
      <c r="E957" s="5" t="str">
        <f>_xlfn.XLOOKUP(fOrcado[[#This Row],[Conta]],'Plano de Contas'!A:A,'Plano de Contas'!D:D)</f>
        <v>06 - Outros Custos</v>
      </c>
    </row>
    <row r="958" spans="1:5" x14ac:dyDescent="0.25">
      <c r="A958" s="23">
        <f t="shared" si="12"/>
        <v>43647</v>
      </c>
      <c r="B958" s="5" t="s">
        <v>167</v>
      </c>
      <c r="C958" s="5">
        <v>-175225</v>
      </c>
      <c r="D958" s="5" t="str">
        <f>_xlfn.XLOOKUP(fOrcado[[#This Row],[Conta]],'Plano de Contas'!A:A,'Plano de Contas'!C:C)</f>
        <v>(-) Despesas Gerais</v>
      </c>
      <c r="E958" s="5" t="str">
        <f>_xlfn.XLOOKUP(fOrcado[[#This Row],[Conta]],'Plano de Contas'!A:A,'Plano de Contas'!D:D)</f>
        <v>07 - Despesas Administrativas</v>
      </c>
    </row>
    <row r="959" spans="1:5" x14ac:dyDescent="0.25">
      <c r="A959" s="23">
        <f t="shared" si="12"/>
        <v>43647</v>
      </c>
      <c r="B959" s="5" t="s">
        <v>168</v>
      </c>
      <c r="C959" s="5">
        <v>-390992</v>
      </c>
      <c r="D959" s="5" t="str">
        <f>_xlfn.XLOOKUP(fOrcado[[#This Row],[Conta]],'Plano de Contas'!A:A,'Plano de Contas'!C:C)</f>
        <v>(-) Despesas Gerais</v>
      </c>
      <c r="E959" s="5" t="str">
        <f>_xlfn.XLOOKUP(fOrcado[[#This Row],[Conta]],'Plano de Contas'!A:A,'Plano de Contas'!D:D)</f>
        <v>07 - Despesas Administrativas</v>
      </c>
    </row>
    <row r="960" spans="1:5" x14ac:dyDescent="0.25">
      <c r="A960" s="23">
        <f t="shared" si="12"/>
        <v>43647</v>
      </c>
      <c r="B960" s="5" t="s">
        <v>169</v>
      </c>
      <c r="C960" s="5">
        <v>-262242</v>
      </c>
      <c r="D960" s="5" t="str">
        <f>_xlfn.XLOOKUP(fOrcado[[#This Row],[Conta]],'Plano de Contas'!A:A,'Plano de Contas'!C:C)</f>
        <v>(-) Despesas Gerais</v>
      </c>
      <c r="E960" s="5" t="str">
        <f>_xlfn.XLOOKUP(fOrcado[[#This Row],[Conta]],'Plano de Contas'!A:A,'Plano de Contas'!D:D)</f>
        <v>07 - Despesas Administrativas</v>
      </c>
    </row>
    <row r="961" spans="1:5" x14ac:dyDescent="0.25">
      <c r="A961" s="23">
        <f t="shared" si="12"/>
        <v>43647</v>
      </c>
      <c r="B961" s="5" t="s">
        <v>170</v>
      </c>
      <c r="C961" s="5">
        <v>-281157</v>
      </c>
      <c r="D961" s="5" t="str">
        <f>_xlfn.XLOOKUP(fOrcado[[#This Row],[Conta]],'Plano de Contas'!A:A,'Plano de Contas'!C:C)</f>
        <v>(-) Despesas Gerais</v>
      </c>
      <c r="E961" s="5" t="str">
        <f>_xlfn.XLOOKUP(fOrcado[[#This Row],[Conta]],'Plano de Contas'!A:A,'Plano de Contas'!D:D)</f>
        <v>07 - Despesas Administrativas</v>
      </c>
    </row>
    <row r="962" spans="1:5" x14ac:dyDescent="0.25">
      <c r="A962" s="23">
        <f t="shared" si="12"/>
        <v>43647</v>
      </c>
      <c r="B962" s="5" t="s">
        <v>171</v>
      </c>
      <c r="C962" s="5">
        <v>-158861</v>
      </c>
      <c r="D962" s="5" t="str">
        <f>_xlfn.XLOOKUP(fOrcado[[#This Row],[Conta]],'Plano de Contas'!A:A,'Plano de Contas'!C:C)</f>
        <v>(-) Despesas Gerais</v>
      </c>
      <c r="E962" s="5" t="str">
        <f>_xlfn.XLOOKUP(fOrcado[[#This Row],[Conta]],'Plano de Contas'!A:A,'Plano de Contas'!D:D)</f>
        <v>07 - Despesas Administrativas</v>
      </c>
    </row>
    <row r="963" spans="1:5" x14ac:dyDescent="0.25">
      <c r="A963" s="23">
        <f t="shared" si="12"/>
        <v>43647</v>
      </c>
      <c r="B963" s="5" t="s">
        <v>172</v>
      </c>
      <c r="C963" s="5">
        <v>-270570</v>
      </c>
      <c r="D963" s="5" t="str">
        <f>_xlfn.XLOOKUP(fOrcado[[#This Row],[Conta]],'Plano de Contas'!A:A,'Plano de Contas'!C:C)</f>
        <v>(-) Despesas Gerais</v>
      </c>
      <c r="E963" s="5" t="str">
        <f>_xlfn.XLOOKUP(fOrcado[[#This Row],[Conta]],'Plano de Contas'!A:A,'Plano de Contas'!D:D)</f>
        <v>07 - Despesas Administrativas</v>
      </c>
    </row>
    <row r="964" spans="1:5" x14ac:dyDescent="0.25">
      <c r="A964" s="23">
        <f t="shared" si="12"/>
        <v>43647</v>
      </c>
      <c r="B964" s="5" t="s">
        <v>173</v>
      </c>
      <c r="C964" s="5">
        <v>-42654</v>
      </c>
      <c r="D964" s="5" t="str">
        <f>_xlfn.XLOOKUP(fOrcado[[#This Row],[Conta]],'Plano de Contas'!A:A,'Plano de Contas'!C:C)</f>
        <v>(-) Despesas Gerais</v>
      </c>
      <c r="E964" s="5" t="str">
        <f>_xlfn.XLOOKUP(fOrcado[[#This Row],[Conta]],'Plano de Contas'!A:A,'Plano de Contas'!D:D)</f>
        <v>08 - Despesas Financeiras</v>
      </c>
    </row>
    <row r="965" spans="1:5" x14ac:dyDescent="0.25">
      <c r="A965" s="23">
        <f t="shared" si="12"/>
        <v>43647</v>
      </c>
      <c r="B965" s="5" t="s">
        <v>174</v>
      </c>
      <c r="C965" s="5">
        <v>-53664</v>
      </c>
      <c r="D965" s="5" t="str">
        <f>_xlfn.XLOOKUP(fOrcado[[#This Row],[Conta]],'Plano de Contas'!A:A,'Plano de Contas'!C:C)</f>
        <v>(-) Despesas Gerais</v>
      </c>
      <c r="E965" s="5" t="str">
        <f>_xlfn.XLOOKUP(fOrcado[[#This Row],[Conta]],'Plano de Contas'!A:A,'Plano de Contas'!D:D)</f>
        <v>08 - Despesas Financeiras</v>
      </c>
    </row>
    <row r="966" spans="1:5" x14ac:dyDescent="0.25">
      <c r="A966" s="23">
        <f t="shared" si="12"/>
        <v>43647</v>
      </c>
      <c r="B966" s="5" t="s">
        <v>175</v>
      </c>
      <c r="C966" s="5">
        <v>-53654</v>
      </c>
      <c r="D966" s="5" t="str">
        <f>_xlfn.XLOOKUP(fOrcado[[#This Row],[Conta]],'Plano de Contas'!A:A,'Plano de Contas'!C:C)</f>
        <v>(-) Despesas Gerais</v>
      </c>
      <c r="E966" s="5" t="str">
        <f>_xlfn.XLOOKUP(fOrcado[[#This Row],[Conta]],'Plano de Contas'!A:A,'Plano de Contas'!D:D)</f>
        <v>08 - Despesas Financeiras</v>
      </c>
    </row>
    <row r="967" spans="1:5" x14ac:dyDescent="0.25">
      <c r="A967" s="23">
        <f t="shared" si="12"/>
        <v>43647</v>
      </c>
      <c r="B967" s="5" t="s">
        <v>176</v>
      </c>
      <c r="C967" s="5">
        <v>-51467</v>
      </c>
      <c r="D967" s="5" t="str">
        <f>_xlfn.XLOOKUP(fOrcado[[#This Row],[Conta]],'Plano de Contas'!A:A,'Plano de Contas'!C:C)</f>
        <v>(-) Despesas Gerais</v>
      </c>
      <c r="E967" s="5" t="str">
        <f>_xlfn.XLOOKUP(fOrcado[[#This Row],[Conta]],'Plano de Contas'!A:A,'Plano de Contas'!D:D)</f>
        <v>08 - Despesas Financeiras</v>
      </c>
    </row>
    <row r="968" spans="1:5" x14ac:dyDescent="0.25">
      <c r="A968" s="23">
        <f t="shared" si="12"/>
        <v>43647</v>
      </c>
      <c r="B968" s="5" t="s">
        <v>177</v>
      </c>
      <c r="C968" s="5">
        <v>-42572</v>
      </c>
      <c r="D968" s="5" t="str">
        <f>_xlfn.XLOOKUP(fOrcado[[#This Row],[Conta]],'Plano de Contas'!A:A,'Plano de Contas'!C:C)</f>
        <v>(-) Despesas Gerais</v>
      </c>
      <c r="E968" s="5" t="str">
        <f>_xlfn.XLOOKUP(fOrcado[[#This Row],[Conta]],'Plano de Contas'!A:A,'Plano de Contas'!D:D)</f>
        <v>08 - Despesas Financeiras</v>
      </c>
    </row>
    <row r="969" spans="1:5" x14ac:dyDescent="0.25">
      <c r="A969" s="23">
        <f t="shared" si="12"/>
        <v>43647</v>
      </c>
      <c r="B969" s="5" t="s">
        <v>178</v>
      </c>
      <c r="C969" s="5">
        <v>-111734</v>
      </c>
      <c r="D969" s="5" t="str">
        <f>_xlfn.XLOOKUP(fOrcado[[#This Row],[Conta]],'Plano de Contas'!A:A,'Plano de Contas'!C:C)</f>
        <v>(-) Despesas Gerais</v>
      </c>
      <c r="E969" s="5" t="str">
        <f>_xlfn.XLOOKUP(fOrcado[[#This Row],[Conta]],'Plano de Contas'!A:A,'Plano de Contas'!D:D)</f>
        <v>09 - Tecnologia da Informação</v>
      </c>
    </row>
    <row r="970" spans="1:5" x14ac:dyDescent="0.25">
      <c r="A970" s="23">
        <f t="shared" si="12"/>
        <v>43647</v>
      </c>
      <c r="B970" s="5" t="s">
        <v>179</v>
      </c>
      <c r="C970" s="5">
        <v>-249762</v>
      </c>
      <c r="D970" s="5" t="str">
        <f>_xlfn.XLOOKUP(fOrcado[[#This Row],[Conta]],'Plano de Contas'!A:A,'Plano de Contas'!C:C)</f>
        <v>(-) Despesas Gerais</v>
      </c>
      <c r="E970" s="5" t="str">
        <f>_xlfn.XLOOKUP(fOrcado[[#This Row],[Conta]],'Plano de Contas'!A:A,'Plano de Contas'!D:D)</f>
        <v>09 - Tecnologia da Informação</v>
      </c>
    </row>
    <row r="971" spans="1:5" x14ac:dyDescent="0.25">
      <c r="A971" s="23">
        <f t="shared" si="12"/>
        <v>43647</v>
      </c>
      <c r="B971" s="5" t="s">
        <v>180</v>
      </c>
      <c r="C971" s="5">
        <v>-266591</v>
      </c>
      <c r="D971" s="5" t="str">
        <f>_xlfn.XLOOKUP(fOrcado[[#This Row],[Conta]],'Plano de Contas'!A:A,'Plano de Contas'!C:C)</f>
        <v>(-) Despesas Gerais</v>
      </c>
      <c r="E971" s="5" t="str">
        <f>_xlfn.XLOOKUP(fOrcado[[#This Row],[Conta]],'Plano de Contas'!A:A,'Plano de Contas'!D:D)</f>
        <v>09 - Tecnologia da Informação</v>
      </c>
    </row>
    <row r="972" spans="1:5" x14ac:dyDescent="0.25">
      <c r="A972" s="23">
        <f t="shared" si="12"/>
        <v>43647</v>
      </c>
      <c r="B972" s="5" t="s">
        <v>181</v>
      </c>
      <c r="C972" s="5">
        <v>-62459</v>
      </c>
      <c r="D972" s="5" t="str">
        <f>_xlfn.XLOOKUP(fOrcado[[#This Row],[Conta]],'Plano de Contas'!A:A,'Plano de Contas'!C:C)</f>
        <v>(-) Despesas Gerais</v>
      </c>
      <c r="E972" s="5" t="str">
        <f>_xlfn.XLOOKUP(fOrcado[[#This Row],[Conta]],'Plano de Contas'!A:A,'Plano de Contas'!D:D)</f>
        <v>10 - Recursos Humanos</v>
      </c>
    </row>
    <row r="973" spans="1:5" x14ac:dyDescent="0.25">
      <c r="A973" s="23">
        <f t="shared" si="12"/>
        <v>43647</v>
      </c>
      <c r="B973" s="5" t="s">
        <v>182</v>
      </c>
      <c r="C973" s="5">
        <v>-55087</v>
      </c>
      <c r="D973" s="5" t="str">
        <f>_xlfn.XLOOKUP(fOrcado[[#This Row],[Conta]],'Plano de Contas'!A:A,'Plano de Contas'!C:C)</f>
        <v>(-) Despesas Gerais</v>
      </c>
      <c r="E973" s="5" t="str">
        <f>_xlfn.XLOOKUP(fOrcado[[#This Row],[Conta]],'Plano de Contas'!A:A,'Plano de Contas'!D:D)</f>
        <v>10 - Recursos Humanos</v>
      </c>
    </row>
    <row r="974" spans="1:5" x14ac:dyDescent="0.25">
      <c r="A974" s="23">
        <f t="shared" si="12"/>
        <v>43647</v>
      </c>
      <c r="B974" s="5" t="s">
        <v>183</v>
      </c>
      <c r="C974" s="5">
        <v>-73513</v>
      </c>
      <c r="D974" s="5" t="str">
        <f>_xlfn.XLOOKUP(fOrcado[[#This Row],[Conta]],'Plano de Contas'!A:A,'Plano de Contas'!C:C)</f>
        <v>(-) Despesas Gerais</v>
      </c>
      <c r="E974" s="5" t="str">
        <f>_xlfn.XLOOKUP(fOrcado[[#This Row],[Conta]],'Plano de Contas'!A:A,'Plano de Contas'!D:D)</f>
        <v>10 - Recursos Humanos</v>
      </c>
    </row>
    <row r="975" spans="1:5" x14ac:dyDescent="0.25">
      <c r="A975" s="23">
        <f t="shared" ref="A975:A1038" si="13">EDATE(A835,1)</f>
        <v>43647</v>
      </c>
      <c r="B975" s="5" t="s">
        <v>184</v>
      </c>
      <c r="C975" s="5">
        <v>-81554</v>
      </c>
      <c r="D975" s="5" t="str">
        <f>_xlfn.XLOOKUP(fOrcado[[#This Row],[Conta]],'Plano de Contas'!A:A,'Plano de Contas'!C:C)</f>
        <v>(-) Despesas Gerais</v>
      </c>
      <c r="E975" s="5" t="str">
        <f>_xlfn.XLOOKUP(fOrcado[[#This Row],[Conta]],'Plano de Contas'!A:A,'Plano de Contas'!D:D)</f>
        <v>10 - Recursos Humanos</v>
      </c>
    </row>
    <row r="976" spans="1:5" x14ac:dyDescent="0.25">
      <c r="A976" s="23">
        <f t="shared" si="13"/>
        <v>43647</v>
      </c>
      <c r="B976" s="5" t="s">
        <v>185</v>
      </c>
      <c r="C976" s="5">
        <v>-101660</v>
      </c>
      <c r="D976" s="5" t="str">
        <f>_xlfn.XLOOKUP(fOrcado[[#This Row],[Conta]],'Plano de Contas'!A:A,'Plano de Contas'!C:C)</f>
        <v>(-) Despesas Gerais</v>
      </c>
      <c r="E976" s="5" t="str">
        <f>_xlfn.XLOOKUP(fOrcado[[#This Row],[Conta]],'Plano de Contas'!A:A,'Plano de Contas'!D:D)</f>
        <v>11 - Relacionamento com Cliente</v>
      </c>
    </row>
    <row r="977" spans="1:5" x14ac:dyDescent="0.25">
      <c r="A977" s="23">
        <f t="shared" si="13"/>
        <v>43647</v>
      </c>
      <c r="B977" s="5" t="s">
        <v>186</v>
      </c>
      <c r="C977" s="5">
        <v>-100834</v>
      </c>
      <c r="D977" s="5" t="str">
        <f>_xlfn.XLOOKUP(fOrcado[[#This Row],[Conta]],'Plano de Contas'!A:A,'Plano de Contas'!C:C)</f>
        <v>(-) Despesas Gerais</v>
      </c>
      <c r="E977" s="5" t="str">
        <f>_xlfn.XLOOKUP(fOrcado[[#This Row],[Conta]],'Plano de Contas'!A:A,'Plano de Contas'!D:D)</f>
        <v>11 - Relacionamento com Cliente</v>
      </c>
    </row>
    <row r="978" spans="1:5" x14ac:dyDescent="0.25">
      <c r="A978" s="23">
        <f t="shared" si="13"/>
        <v>43647</v>
      </c>
      <c r="B978" s="5" t="s">
        <v>187</v>
      </c>
      <c r="C978" s="5">
        <v>-196642</v>
      </c>
      <c r="D978" s="5" t="str">
        <f>_xlfn.XLOOKUP(fOrcado[[#This Row],[Conta]],'Plano de Contas'!A:A,'Plano de Contas'!C:C)</f>
        <v>(-) Despesas Gerais</v>
      </c>
      <c r="E978" s="5" t="str">
        <f>_xlfn.XLOOKUP(fOrcado[[#This Row],[Conta]],'Plano de Contas'!A:A,'Plano de Contas'!D:D)</f>
        <v>12 - Marketing e Divulgação</v>
      </c>
    </row>
    <row r="979" spans="1:5" x14ac:dyDescent="0.25">
      <c r="A979" s="23">
        <f t="shared" si="13"/>
        <v>43647</v>
      </c>
      <c r="B979" s="5" t="s">
        <v>188</v>
      </c>
      <c r="C979" s="5">
        <v>-159772</v>
      </c>
      <c r="D979" s="5" t="str">
        <f>_xlfn.XLOOKUP(fOrcado[[#This Row],[Conta]],'Plano de Contas'!A:A,'Plano de Contas'!C:C)</f>
        <v>(-) Despesas Gerais</v>
      </c>
      <c r="E979" s="5" t="str">
        <f>_xlfn.XLOOKUP(fOrcado[[#This Row],[Conta]],'Plano de Contas'!A:A,'Plano de Contas'!D:D)</f>
        <v>12 - Marketing e Divulgação</v>
      </c>
    </row>
    <row r="980" spans="1:5" x14ac:dyDescent="0.25">
      <c r="A980" s="23">
        <f t="shared" si="13"/>
        <v>43647</v>
      </c>
      <c r="B980" s="5" t="s">
        <v>189</v>
      </c>
      <c r="C980" s="5">
        <v>-10246</v>
      </c>
      <c r="D980" s="5" t="str">
        <f>_xlfn.XLOOKUP(fOrcado[[#This Row],[Conta]],'Plano de Contas'!A:A,'Plano de Contas'!C:C)</f>
        <v>(-) Impostos</v>
      </c>
      <c r="E980" s="5" t="str">
        <f>_xlfn.XLOOKUP(fOrcado[[#This Row],[Conta]],'Plano de Contas'!A:A,'Plano de Contas'!D:D)</f>
        <v>13 - Impostos Estaduais</v>
      </c>
    </row>
    <row r="981" spans="1:5" x14ac:dyDescent="0.25">
      <c r="A981" s="23">
        <f t="shared" si="13"/>
        <v>43647</v>
      </c>
      <c r="B981" s="5" t="s">
        <v>190</v>
      </c>
      <c r="C981" s="5">
        <v>-17820</v>
      </c>
      <c r="D981" s="5" t="str">
        <f>_xlfn.XLOOKUP(fOrcado[[#This Row],[Conta]],'Plano de Contas'!A:A,'Plano de Contas'!C:C)</f>
        <v>(-) Impostos</v>
      </c>
      <c r="E981" s="5" t="str">
        <f>_xlfn.XLOOKUP(fOrcado[[#This Row],[Conta]],'Plano de Contas'!A:A,'Plano de Contas'!D:D)</f>
        <v>14 - Impostos Federais</v>
      </c>
    </row>
    <row r="982" spans="1:5" x14ac:dyDescent="0.25">
      <c r="A982" s="23">
        <f t="shared" si="13"/>
        <v>43678</v>
      </c>
      <c r="B982" s="5" t="s">
        <v>51</v>
      </c>
      <c r="C982" s="5">
        <v>799104</v>
      </c>
      <c r="D982" s="5" t="str">
        <f>_xlfn.XLOOKUP(fOrcado[[#This Row],[Conta]],'Plano de Contas'!A:A,'Plano de Contas'!C:C)</f>
        <v>(+) RECEITA BRUTA</v>
      </c>
      <c r="E982" s="5" t="str">
        <f>_xlfn.XLOOKUP(fOrcado[[#This Row],[Conta]],'Plano de Contas'!A:A,'Plano de Contas'!D:D)</f>
        <v>01 - Vendas de Produtos</v>
      </c>
    </row>
    <row r="983" spans="1:5" x14ac:dyDescent="0.25">
      <c r="A983" s="23">
        <f t="shared" si="13"/>
        <v>43678</v>
      </c>
      <c r="B983" s="5" t="s">
        <v>52</v>
      </c>
      <c r="C983" s="5">
        <v>202612</v>
      </c>
      <c r="D983" s="5" t="str">
        <f>_xlfn.XLOOKUP(fOrcado[[#This Row],[Conta]],'Plano de Contas'!A:A,'Plano de Contas'!C:C)</f>
        <v>(+) RECEITA BRUTA</v>
      </c>
      <c r="E983" s="5" t="str">
        <f>_xlfn.XLOOKUP(fOrcado[[#This Row],[Conta]],'Plano de Contas'!A:A,'Plano de Contas'!D:D)</f>
        <v>01 - Vendas de Produtos</v>
      </c>
    </row>
    <row r="984" spans="1:5" x14ac:dyDescent="0.25">
      <c r="A984" s="23">
        <f t="shared" si="13"/>
        <v>43678</v>
      </c>
      <c r="B984" s="5" t="s">
        <v>53</v>
      </c>
      <c r="C984" s="5">
        <v>860875</v>
      </c>
      <c r="D984" s="5" t="str">
        <f>_xlfn.XLOOKUP(fOrcado[[#This Row],[Conta]],'Plano de Contas'!A:A,'Plano de Contas'!C:C)</f>
        <v>(+) RECEITA BRUTA</v>
      </c>
      <c r="E984" s="5" t="str">
        <f>_xlfn.XLOOKUP(fOrcado[[#This Row],[Conta]],'Plano de Contas'!A:A,'Plano de Contas'!D:D)</f>
        <v>01 - Vendas de Produtos</v>
      </c>
    </row>
    <row r="985" spans="1:5" x14ac:dyDescent="0.25">
      <c r="A985" s="23">
        <f t="shared" si="13"/>
        <v>43678</v>
      </c>
      <c r="B985" s="5" t="s">
        <v>54</v>
      </c>
      <c r="C985" s="5">
        <v>868651</v>
      </c>
      <c r="D985" s="5" t="str">
        <f>_xlfn.XLOOKUP(fOrcado[[#This Row],[Conta]],'Plano de Contas'!A:A,'Plano de Contas'!C:C)</f>
        <v>(+) RECEITA BRUTA</v>
      </c>
      <c r="E985" s="5" t="str">
        <f>_xlfn.XLOOKUP(fOrcado[[#This Row],[Conta]],'Plano de Contas'!A:A,'Plano de Contas'!D:D)</f>
        <v>01 - Vendas de Produtos</v>
      </c>
    </row>
    <row r="986" spans="1:5" x14ac:dyDescent="0.25">
      <c r="A986" s="23">
        <f t="shared" si="13"/>
        <v>43678</v>
      </c>
      <c r="B986" s="5" t="s">
        <v>55</v>
      </c>
      <c r="C986" s="5">
        <v>446950</v>
      </c>
      <c r="D986" s="5" t="str">
        <f>_xlfn.XLOOKUP(fOrcado[[#This Row],[Conta]],'Plano de Contas'!A:A,'Plano de Contas'!C:C)</f>
        <v>(+) RECEITA BRUTA</v>
      </c>
      <c r="E986" s="5" t="str">
        <f>_xlfn.XLOOKUP(fOrcado[[#This Row],[Conta]],'Plano de Contas'!A:A,'Plano de Contas'!D:D)</f>
        <v>01 - Vendas de Produtos</v>
      </c>
    </row>
    <row r="987" spans="1:5" x14ac:dyDescent="0.25">
      <c r="A987" s="23">
        <f t="shared" si="13"/>
        <v>43678</v>
      </c>
      <c r="B987" s="5" t="s">
        <v>56</v>
      </c>
      <c r="C987" s="5">
        <v>842219</v>
      </c>
      <c r="D987" s="5" t="str">
        <f>_xlfn.XLOOKUP(fOrcado[[#This Row],[Conta]],'Plano de Contas'!A:A,'Plano de Contas'!C:C)</f>
        <v>(+) RECEITA BRUTA</v>
      </c>
      <c r="E987" s="5" t="str">
        <f>_xlfn.XLOOKUP(fOrcado[[#This Row],[Conta]],'Plano de Contas'!A:A,'Plano de Contas'!D:D)</f>
        <v>01 - Vendas de Produtos</v>
      </c>
    </row>
    <row r="988" spans="1:5" x14ac:dyDescent="0.25">
      <c r="A988" s="23">
        <f t="shared" si="13"/>
        <v>43678</v>
      </c>
      <c r="B988" s="5" t="s">
        <v>57</v>
      </c>
      <c r="C988" s="5">
        <v>373301</v>
      </c>
      <c r="D988" s="5" t="str">
        <f>_xlfn.XLOOKUP(fOrcado[[#This Row],[Conta]],'Plano de Contas'!A:A,'Plano de Contas'!C:C)</f>
        <v>(+) RECEITA BRUTA</v>
      </c>
      <c r="E988" s="5" t="str">
        <f>_xlfn.XLOOKUP(fOrcado[[#This Row],[Conta]],'Plano de Contas'!A:A,'Plano de Contas'!D:D)</f>
        <v>01 - Vendas de Produtos</v>
      </c>
    </row>
    <row r="989" spans="1:5" x14ac:dyDescent="0.25">
      <c r="A989" s="23">
        <f t="shared" si="13"/>
        <v>43678</v>
      </c>
      <c r="B989" s="5" t="s">
        <v>58</v>
      </c>
      <c r="C989" s="5">
        <v>376249</v>
      </c>
      <c r="D989" s="5" t="str">
        <f>_xlfn.XLOOKUP(fOrcado[[#This Row],[Conta]],'Plano de Contas'!A:A,'Plano de Contas'!C:C)</f>
        <v>(+) RECEITA BRUTA</v>
      </c>
      <c r="E989" s="5" t="str">
        <f>_xlfn.XLOOKUP(fOrcado[[#This Row],[Conta]],'Plano de Contas'!A:A,'Plano de Contas'!D:D)</f>
        <v>01 - Vendas de Produtos</v>
      </c>
    </row>
    <row r="990" spans="1:5" x14ac:dyDescent="0.25">
      <c r="A990" s="23">
        <f t="shared" si="13"/>
        <v>43678</v>
      </c>
      <c r="B990" s="5" t="s">
        <v>59</v>
      </c>
      <c r="C990" s="5">
        <v>667827</v>
      </c>
      <c r="D990" s="5" t="str">
        <f>_xlfn.XLOOKUP(fOrcado[[#This Row],[Conta]],'Plano de Contas'!A:A,'Plano de Contas'!C:C)</f>
        <v>(+) RECEITA BRUTA</v>
      </c>
      <c r="E990" s="5" t="str">
        <f>_xlfn.XLOOKUP(fOrcado[[#This Row],[Conta]],'Plano de Contas'!A:A,'Plano de Contas'!D:D)</f>
        <v>01 - Vendas de Produtos</v>
      </c>
    </row>
    <row r="991" spans="1:5" x14ac:dyDescent="0.25">
      <c r="A991" s="23">
        <f t="shared" si="13"/>
        <v>43678</v>
      </c>
      <c r="B991" s="5" t="s">
        <v>60</v>
      </c>
      <c r="C991" s="5">
        <v>649063</v>
      </c>
      <c r="D991" s="5" t="str">
        <f>_xlfn.XLOOKUP(fOrcado[[#This Row],[Conta]],'Plano de Contas'!A:A,'Plano de Contas'!C:C)</f>
        <v>(+) RECEITA BRUTA</v>
      </c>
      <c r="E991" s="5" t="str">
        <f>_xlfn.XLOOKUP(fOrcado[[#This Row],[Conta]],'Plano de Contas'!A:A,'Plano de Contas'!D:D)</f>
        <v>01 - Vendas de Produtos</v>
      </c>
    </row>
    <row r="992" spans="1:5" x14ac:dyDescent="0.25">
      <c r="A992" s="23">
        <f t="shared" si="13"/>
        <v>43678</v>
      </c>
      <c r="B992" s="5" t="s">
        <v>61</v>
      </c>
      <c r="C992" s="5">
        <v>722283</v>
      </c>
      <c r="D992" s="5" t="str">
        <f>_xlfn.XLOOKUP(fOrcado[[#This Row],[Conta]],'Plano de Contas'!A:A,'Plano de Contas'!C:C)</f>
        <v>(+) RECEITA BRUTA</v>
      </c>
      <c r="E992" s="5" t="str">
        <f>_xlfn.XLOOKUP(fOrcado[[#This Row],[Conta]],'Plano de Contas'!A:A,'Plano de Contas'!D:D)</f>
        <v>01 - Vendas de Produtos</v>
      </c>
    </row>
    <row r="993" spans="1:5" x14ac:dyDescent="0.25">
      <c r="A993" s="23">
        <f t="shared" si="13"/>
        <v>43678</v>
      </c>
      <c r="B993" s="5" t="s">
        <v>62</v>
      </c>
      <c r="C993" s="5">
        <v>564568</v>
      </c>
      <c r="D993" s="5" t="str">
        <f>_xlfn.XLOOKUP(fOrcado[[#This Row],[Conta]],'Plano de Contas'!A:A,'Plano de Contas'!C:C)</f>
        <v>(+) RECEITA BRUTA</v>
      </c>
      <c r="E993" s="5" t="str">
        <f>_xlfn.XLOOKUP(fOrcado[[#This Row],[Conta]],'Plano de Contas'!A:A,'Plano de Contas'!D:D)</f>
        <v>01 - Vendas de Produtos</v>
      </c>
    </row>
    <row r="994" spans="1:5" x14ac:dyDescent="0.25">
      <c r="A994" s="23">
        <f t="shared" si="13"/>
        <v>43678</v>
      </c>
      <c r="B994" s="5" t="s">
        <v>63</v>
      </c>
      <c r="C994" s="5">
        <v>796380</v>
      </c>
      <c r="D994" s="5" t="str">
        <f>_xlfn.XLOOKUP(fOrcado[[#This Row],[Conta]],'Plano de Contas'!A:A,'Plano de Contas'!C:C)</f>
        <v>(+) RECEITA BRUTA</v>
      </c>
      <c r="E994" s="5" t="str">
        <f>_xlfn.XLOOKUP(fOrcado[[#This Row],[Conta]],'Plano de Contas'!A:A,'Plano de Contas'!D:D)</f>
        <v>01 - Vendas de Produtos</v>
      </c>
    </row>
    <row r="995" spans="1:5" x14ac:dyDescent="0.25">
      <c r="A995" s="23">
        <f t="shared" si="13"/>
        <v>43678</v>
      </c>
      <c r="B995" s="5" t="s">
        <v>64</v>
      </c>
      <c r="C995" s="5">
        <v>892957</v>
      </c>
      <c r="D995" s="5" t="str">
        <f>_xlfn.XLOOKUP(fOrcado[[#This Row],[Conta]],'Plano de Contas'!A:A,'Plano de Contas'!C:C)</f>
        <v>(+) RECEITA BRUTA</v>
      </c>
      <c r="E995" s="5" t="str">
        <f>_xlfn.XLOOKUP(fOrcado[[#This Row],[Conta]],'Plano de Contas'!A:A,'Plano de Contas'!D:D)</f>
        <v>01 - Vendas de Produtos</v>
      </c>
    </row>
    <row r="996" spans="1:5" x14ac:dyDescent="0.25">
      <c r="A996" s="23">
        <f t="shared" si="13"/>
        <v>43678</v>
      </c>
      <c r="B996" s="5" t="s">
        <v>65</v>
      </c>
      <c r="C996" s="5">
        <v>356121</v>
      </c>
      <c r="D996" s="5" t="str">
        <f>_xlfn.XLOOKUP(fOrcado[[#This Row],[Conta]],'Plano de Contas'!A:A,'Plano de Contas'!C:C)</f>
        <v>(+) RECEITA BRUTA</v>
      </c>
      <c r="E996" s="5" t="str">
        <f>_xlfn.XLOOKUP(fOrcado[[#This Row],[Conta]],'Plano de Contas'!A:A,'Plano de Contas'!D:D)</f>
        <v>01 - Vendas de Produtos</v>
      </c>
    </row>
    <row r="997" spans="1:5" x14ac:dyDescent="0.25">
      <c r="A997" s="23">
        <f t="shared" si="13"/>
        <v>43678</v>
      </c>
      <c r="B997" s="5" t="s">
        <v>66</v>
      </c>
      <c r="C997" s="5">
        <v>626456</v>
      </c>
      <c r="D997" s="5" t="str">
        <f>_xlfn.XLOOKUP(fOrcado[[#This Row],[Conta]],'Plano de Contas'!A:A,'Plano de Contas'!C:C)</f>
        <v>(+) RECEITA BRUTA</v>
      </c>
      <c r="E997" s="5" t="str">
        <f>_xlfn.XLOOKUP(fOrcado[[#This Row],[Conta]],'Plano de Contas'!A:A,'Plano de Contas'!D:D)</f>
        <v>01 - Vendas de Produtos</v>
      </c>
    </row>
    <row r="998" spans="1:5" x14ac:dyDescent="0.25">
      <c r="A998" s="23">
        <f t="shared" si="13"/>
        <v>43678</v>
      </c>
      <c r="B998" s="5" t="s">
        <v>67</v>
      </c>
      <c r="C998" s="5">
        <v>874423</v>
      </c>
      <c r="D998" s="5" t="str">
        <f>_xlfn.XLOOKUP(fOrcado[[#This Row],[Conta]],'Plano de Contas'!A:A,'Plano de Contas'!C:C)</f>
        <v>(+) RECEITA BRUTA</v>
      </c>
      <c r="E998" s="5" t="str">
        <f>_xlfn.XLOOKUP(fOrcado[[#This Row],[Conta]],'Plano de Contas'!A:A,'Plano de Contas'!D:D)</f>
        <v>01 - Vendas de Produtos</v>
      </c>
    </row>
    <row r="999" spans="1:5" x14ac:dyDescent="0.25">
      <c r="A999" s="23">
        <f t="shared" si="13"/>
        <v>43678</v>
      </c>
      <c r="B999" s="5" t="s">
        <v>68</v>
      </c>
      <c r="C999" s="5">
        <v>563494</v>
      </c>
      <c r="D999" s="5" t="str">
        <f>_xlfn.XLOOKUP(fOrcado[[#This Row],[Conta]],'Plano de Contas'!A:A,'Plano de Contas'!C:C)</f>
        <v>(+) RECEITA BRUTA</v>
      </c>
      <c r="E999" s="5" t="str">
        <f>_xlfn.XLOOKUP(fOrcado[[#This Row],[Conta]],'Plano de Contas'!A:A,'Plano de Contas'!D:D)</f>
        <v>01 - Vendas de Produtos</v>
      </c>
    </row>
    <row r="1000" spans="1:5" x14ac:dyDescent="0.25">
      <c r="A1000" s="23">
        <f t="shared" si="13"/>
        <v>43678</v>
      </c>
      <c r="B1000" s="5" t="s">
        <v>69</v>
      </c>
      <c r="C1000" s="5">
        <v>920507</v>
      </c>
      <c r="D1000" s="5" t="str">
        <f>_xlfn.XLOOKUP(fOrcado[[#This Row],[Conta]],'Plano de Contas'!A:A,'Plano de Contas'!C:C)</f>
        <v>(+) RECEITA BRUTA</v>
      </c>
      <c r="E1000" s="5" t="str">
        <f>_xlfn.XLOOKUP(fOrcado[[#This Row],[Conta]],'Plano de Contas'!A:A,'Plano de Contas'!D:D)</f>
        <v>01 - Vendas de Produtos</v>
      </c>
    </row>
    <row r="1001" spans="1:5" x14ac:dyDescent="0.25">
      <c r="A1001" s="23">
        <f t="shared" si="13"/>
        <v>43678</v>
      </c>
      <c r="B1001" s="5" t="s">
        <v>70</v>
      </c>
      <c r="C1001" s="5">
        <v>765032</v>
      </c>
      <c r="D1001" s="5" t="str">
        <f>_xlfn.XLOOKUP(fOrcado[[#This Row],[Conta]],'Plano de Contas'!A:A,'Plano de Contas'!C:C)</f>
        <v>(+) RECEITA BRUTA</v>
      </c>
      <c r="E1001" s="5" t="str">
        <f>_xlfn.XLOOKUP(fOrcado[[#This Row],[Conta]],'Plano de Contas'!A:A,'Plano de Contas'!D:D)</f>
        <v>01 - Vendas de Produtos</v>
      </c>
    </row>
    <row r="1002" spans="1:5" x14ac:dyDescent="0.25">
      <c r="A1002" s="23">
        <f t="shared" si="13"/>
        <v>43678</v>
      </c>
      <c r="B1002" s="5" t="s">
        <v>71</v>
      </c>
      <c r="C1002" s="5">
        <v>865932</v>
      </c>
      <c r="D1002" s="5" t="str">
        <f>_xlfn.XLOOKUP(fOrcado[[#This Row],[Conta]],'Plano de Contas'!A:A,'Plano de Contas'!C:C)</f>
        <v>(+) RECEITA BRUTA</v>
      </c>
      <c r="E1002" s="5" t="str">
        <f>_xlfn.XLOOKUP(fOrcado[[#This Row],[Conta]],'Plano de Contas'!A:A,'Plano de Contas'!D:D)</f>
        <v>01 - Vendas de Produtos</v>
      </c>
    </row>
    <row r="1003" spans="1:5" x14ac:dyDescent="0.25">
      <c r="A1003" s="23">
        <f t="shared" si="13"/>
        <v>43678</v>
      </c>
      <c r="B1003" s="5" t="s">
        <v>72</v>
      </c>
      <c r="C1003" s="5">
        <v>582713</v>
      </c>
      <c r="D1003" s="5" t="str">
        <f>_xlfn.XLOOKUP(fOrcado[[#This Row],[Conta]],'Plano de Contas'!A:A,'Plano de Contas'!C:C)</f>
        <v>(+) RECEITA BRUTA</v>
      </c>
      <c r="E1003" s="5" t="str">
        <f>_xlfn.XLOOKUP(fOrcado[[#This Row],[Conta]],'Plano de Contas'!A:A,'Plano de Contas'!D:D)</f>
        <v>01 - Vendas de Produtos</v>
      </c>
    </row>
    <row r="1004" spans="1:5" x14ac:dyDescent="0.25">
      <c r="A1004" s="23">
        <f t="shared" si="13"/>
        <v>43678</v>
      </c>
      <c r="B1004" s="5" t="s">
        <v>73</v>
      </c>
      <c r="C1004" s="5">
        <v>156532</v>
      </c>
      <c r="D1004" s="5" t="str">
        <f>_xlfn.XLOOKUP(fOrcado[[#This Row],[Conta]],'Plano de Contas'!A:A,'Plano de Contas'!C:C)</f>
        <v>(+) RECEITA BRUTA</v>
      </c>
      <c r="E1004" s="5" t="str">
        <f>_xlfn.XLOOKUP(fOrcado[[#This Row],[Conta]],'Plano de Contas'!A:A,'Plano de Contas'!D:D)</f>
        <v>01 - Vendas de Produtos</v>
      </c>
    </row>
    <row r="1005" spans="1:5" x14ac:dyDescent="0.25">
      <c r="A1005" s="23">
        <f t="shared" si="13"/>
        <v>43678</v>
      </c>
      <c r="B1005" s="5" t="s">
        <v>74</v>
      </c>
      <c r="C1005" s="5">
        <v>154111</v>
      </c>
      <c r="D1005" s="5" t="str">
        <f>_xlfn.XLOOKUP(fOrcado[[#This Row],[Conta]],'Plano de Contas'!A:A,'Plano de Contas'!C:C)</f>
        <v>(+) RECEITA BRUTA</v>
      </c>
      <c r="E1005" s="5" t="str">
        <f>_xlfn.XLOOKUP(fOrcado[[#This Row],[Conta]],'Plano de Contas'!A:A,'Plano de Contas'!D:D)</f>
        <v>01 - Vendas de Produtos</v>
      </c>
    </row>
    <row r="1006" spans="1:5" x14ac:dyDescent="0.25">
      <c r="A1006" s="23">
        <f t="shared" si="13"/>
        <v>43678</v>
      </c>
      <c r="B1006" s="5" t="s">
        <v>75</v>
      </c>
      <c r="C1006" s="5">
        <v>209336</v>
      </c>
      <c r="D1006" s="5" t="str">
        <f>_xlfn.XLOOKUP(fOrcado[[#This Row],[Conta]],'Plano de Contas'!A:A,'Plano de Contas'!C:C)</f>
        <v>(+) RECEITA BRUTA</v>
      </c>
      <c r="E1006" s="5" t="str">
        <f>_xlfn.XLOOKUP(fOrcado[[#This Row],[Conta]],'Plano de Contas'!A:A,'Plano de Contas'!D:D)</f>
        <v>02 - Outras Receitas</v>
      </c>
    </row>
    <row r="1007" spans="1:5" x14ac:dyDescent="0.25">
      <c r="A1007" s="23">
        <f t="shared" si="13"/>
        <v>43678</v>
      </c>
      <c r="B1007" s="5" t="s">
        <v>76</v>
      </c>
      <c r="C1007" s="5">
        <v>59160</v>
      </c>
      <c r="D1007" s="5" t="str">
        <f>_xlfn.XLOOKUP(fOrcado[[#This Row],[Conta]],'Plano de Contas'!A:A,'Plano de Contas'!C:C)</f>
        <v>(+) RECEITA BRUTA</v>
      </c>
      <c r="E1007" s="5" t="str">
        <f>_xlfn.XLOOKUP(fOrcado[[#This Row],[Conta]],'Plano de Contas'!A:A,'Plano de Contas'!D:D)</f>
        <v>02 - Outras Receitas</v>
      </c>
    </row>
    <row r="1008" spans="1:5" x14ac:dyDescent="0.25">
      <c r="A1008" s="23">
        <f t="shared" si="13"/>
        <v>43678</v>
      </c>
      <c r="B1008" s="5" t="s">
        <v>77</v>
      </c>
      <c r="C1008" s="5">
        <v>175778</v>
      </c>
      <c r="D1008" s="5" t="str">
        <f>_xlfn.XLOOKUP(fOrcado[[#This Row],[Conta]],'Plano de Contas'!A:A,'Plano de Contas'!C:C)</f>
        <v>(+) RECEITA BRUTA</v>
      </c>
      <c r="E1008" s="5" t="str">
        <f>_xlfn.XLOOKUP(fOrcado[[#This Row],[Conta]],'Plano de Contas'!A:A,'Plano de Contas'!D:D)</f>
        <v>02 - Outras Receitas</v>
      </c>
    </row>
    <row r="1009" spans="1:5" x14ac:dyDescent="0.25">
      <c r="A1009" s="23">
        <f t="shared" si="13"/>
        <v>43678</v>
      </c>
      <c r="B1009" s="5" t="s">
        <v>78</v>
      </c>
      <c r="C1009" s="5">
        <v>137966</v>
      </c>
      <c r="D1009" s="5" t="str">
        <f>_xlfn.XLOOKUP(fOrcado[[#This Row],[Conta]],'Plano de Contas'!A:A,'Plano de Contas'!C:C)</f>
        <v>(+) RECEITA BRUTA</v>
      </c>
      <c r="E1009" s="5" t="str">
        <f>_xlfn.XLOOKUP(fOrcado[[#This Row],[Conta]],'Plano de Contas'!A:A,'Plano de Contas'!D:D)</f>
        <v>02 - Outras Receitas</v>
      </c>
    </row>
    <row r="1010" spans="1:5" x14ac:dyDescent="0.25">
      <c r="A1010" s="23">
        <f t="shared" si="13"/>
        <v>43678</v>
      </c>
      <c r="B1010" s="5" t="s">
        <v>79</v>
      </c>
      <c r="C1010" s="5">
        <v>96332</v>
      </c>
      <c r="D1010" s="5" t="str">
        <f>_xlfn.XLOOKUP(fOrcado[[#This Row],[Conta]],'Plano de Contas'!A:A,'Plano de Contas'!C:C)</f>
        <v>(+) RECEITA BRUTA</v>
      </c>
      <c r="E1010" s="5" t="str">
        <f>_xlfn.XLOOKUP(fOrcado[[#This Row],[Conta]],'Plano de Contas'!A:A,'Plano de Contas'!D:D)</f>
        <v>02 - Outras Receitas</v>
      </c>
    </row>
    <row r="1011" spans="1:5" x14ac:dyDescent="0.25">
      <c r="A1011" s="23">
        <f t="shared" si="13"/>
        <v>43678</v>
      </c>
      <c r="B1011" s="5" t="s">
        <v>80</v>
      </c>
      <c r="C1011" s="5">
        <v>284849</v>
      </c>
      <c r="D1011" s="5" t="str">
        <f>_xlfn.XLOOKUP(fOrcado[[#This Row],[Conta]],'Plano de Contas'!A:A,'Plano de Contas'!C:C)</f>
        <v>(+) RECEITA BRUTA</v>
      </c>
      <c r="E1011" s="5" t="str">
        <f>_xlfn.XLOOKUP(fOrcado[[#This Row],[Conta]],'Plano de Contas'!A:A,'Plano de Contas'!D:D)</f>
        <v>02 - Outras Receitas</v>
      </c>
    </row>
    <row r="1012" spans="1:5" x14ac:dyDescent="0.25">
      <c r="A1012" s="23">
        <f t="shared" si="13"/>
        <v>43678</v>
      </c>
      <c r="B1012" s="5" t="s">
        <v>81</v>
      </c>
      <c r="C1012" s="5">
        <v>118191</v>
      </c>
      <c r="D1012" s="5" t="str">
        <f>_xlfn.XLOOKUP(fOrcado[[#This Row],[Conta]],'Plano de Contas'!A:A,'Plano de Contas'!C:C)</f>
        <v>(+) RECEITA BRUTA</v>
      </c>
      <c r="E1012" s="5" t="str">
        <f>_xlfn.XLOOKUP(fOrcado[[#This Row],[Conta]],'Plano de Contas'!A:A,'Plano de Contas'!D:D)</f>
        <v>02 - Outras Receitas</v>
      </c>
    </row>
    <row r="1013" spans="1:5" x14ac:dyDescent="0.25">
      <c r="A1013" s="23">
        <f t="shared" si="13"/>
        <v>43678</v>
      </c>
      <c r="B1013" s="5" t="s">
        <v>82</v>
      </c>
      <c r="C1013" s="5">
        <v>87038</v>
      </c>
      <c r="D1013" s="5" t="str">
        <f>_xlfn.XLOOKUP(fOrcado[[#This Row],[Conta]],'Plano de Contas'!A:A,'Plano de Contas'!C:C)</f>
        <v>(+) RECEITA BRUTA</v>
      </c>
      <c r="E1013" s="5" t="str">
        <f>_xlfn.XLOOKUP(fOrcado[[#This Row],[Conta]],'Plano de Contas'!A:A,'Plano de Contas'!D:D)</f>
        <v>02 - Outras Receitas</v>
      </c>
    </row>
    <row r="1014" spans="1:5" x14ac:dyDescent="0.25">
      <c r="A1014" s="23">
        <f t="shared" si="13"/>
        <v>43678</v>
      </c>
      <c r="B1014" s="5" t="s">
        <v>83</v>
      </c>
      <c r="C1014" s="5">
        <v>141521</v>
      </c>
      <c r="D1014" s="5" t="str">
        <f>_xlfn.XLOOKUP(fOrcado[[#This Row],[Conta]],'Plano de Contas'!A:A,'Plano de Contas'!C:C)</f>
        <v>(+) RECEITA BRUTA</v>
      </c>
      <c r="E1014" s="5" t="str">
        <f>_xlfn.XLOOKUP(fOrcado[[#This Row],[Conta]],'Plano de Contas'!A:A,'Plano de Contas'!D:D)</f>
        <v>02 - Outras Receitas</v>
      </c>
    </row>
    <row r="1015" spans="1:5" x14ac:dyDescent="0.25">
      <c r="A1015" s="23">
        <f t="shared" si="13"/>
        <v>43678</v>
      </c>
      <c r="B1015" s="5" t="s">
        <v>84</v>
      </c>
      <c r="C1015" s="5">
        <v>283045</v>
      </c>
      <c r="D1015" s="5" t="str">
        <f>_xlfn.XLOOKUP(fOrcado[[#This Row],[Conta]],'Plano de Contas'!A:A,'Plano de Contas'!C:C)</f>
        <v>(+) RECEITA BRUTA</v>
      </c>
      <c r="E1015" s="5" t="str">
        <f>_xlfn.XLOOKUP(fOrcado[[#This Row],[Conta]],'Plano de Contas'!A:A,'Plano de Contas'!D:D)</f>
        <v>02 - Outras Receitas</v>
      </c>
    </row>
    <row r="1016" spans="1:5" x14ac:dyDescent="0.25">
      <c r="A1016" s="23">
        <f t="shared" si="13"/>
        <v>43678</v>
      </c>
      <c r="B1016" s="5" t="s">
        <v>85</v>
      </c>
      <c r="C1016" s="5">
        <v>192214</v>
      </c>
      <c r="D1016" s="5" t="str">
        <f>_xlfn.XLOOKUP(fOrcado[[#This Row],[Conta]],'Plano de Contas'!A:A,'Plano de Contas'!C:C)</f>
        <v>(+) RECEITA BRUTA</v>
      </c>
      <c r="E1016" s="5" t="str">
        <f>_xlfn.XLOOKUP(fOrcado[[#This Row],[Conta]],'Plano de Contas'!A:A,'Plano de Contas'!D:D)</f>
        <v>02 - Outras Receitas</v>
      </c>
    </row>
    <row r="1017" spans="1:5" x14ac:dyDescent="0.25">
      <c r="A1017" s="23">
        <f t="shared" si="13"/>
        <v>43678</v>
      </c>
      <c r="B1017" s="5" t="s">
        <v>86</v>
      </c>
      <c r="C1017" s="5">
        <v>240028</v>
      </c>
      <c r="D1017" s="5" t="str">
        <f>_xlfn.XLOOKUP(fOrcado[[#This Row],[Conta]],'Plano de Contas'!A:A,'Plano de Contas'!C:C)</f>
        <v>(+) RECEITA BRUTA</v>
      </c>
      <c r="E1017" s="5" t="str">
        <f>_xlfn.XLOOKUP(fOrcado[[#This Row],[Conta]],'Plano de Contas'!A:A,'Plano de Contas'!D:D)</f>
        <v>02 - Outras Receitas</v>
      </c>
    </row>
    <row r="1018" spans="1:5" x14ac:dyDescent="0.25">
      <c r="A1018" s="23">
        <f t="shared" si="13"/>
        <v>43678</v>
      </c>
      <c r="B1018" s="5" t="s">
        <v>87</v>
      </c>
      <c r="C1018" s="5">
        <v>121583</v>
      </c>
      <c r="D1018" s="5" t="str">
        <f>_xlfn.XLOOKUP(fOrcado[[#This Row],[Conta]],'Plano de Contas'!A:A,'Plano de Contas'!C:C)</f>
        <v>(+) RECEITA BRUTA</v>
      </c>
      <c r="E1018" s="5" t="str">
        <f>_xlfn.XLOOKUP(fOrcado[[#This Row],[Conta]],'Plano de Contas'!A:A,'Plano de Contas'!D:D)</f>
        <v>02 - Outras Receitas</v>
      </c>
    </row>
    <row r="1019" spans="1:5" x14ac:dyDescent="0.25">
      <c r="A1019" s="23">
        <f t="shared" si="13"/>
        <v>43678</v>
      </c>
      <c r="B1019" s="5" t="s">
        <v>88</v>
      </c>
      <c r="C1019" s="5">
        <v>246999</v>
      </c>
      <c r="D1019" s="5" t="str">
        <f>_xlfn.XLOOKUP(fOrcado[[#This Row],[Conta]],'Plano de Contas'!A:A,'Plano de Contas'!C:C)</f>
        <v>(+) RECEITA BRUTA</v>
      </c>
      <c r="E1019" s="5" t="str">
        <f>_xlfn.XLOOKUP(fOrcado[[#This Row],[Conta]],'Plano de Contas'!A:A,'Plano de Contas'!D:D)</f>
        <v>02 - Outras Receitas</v>
      </c>
    </row>
    <row r="1020" spans="1:5" x14ac:dyDescent="0.25">
      <c r="A1020" s="23">
        <f t="shared" si="13"/>
        <v>43678</v>
      </c>
      <c r="B1020" s="5" t="s">
        <v>89</v>
      </c>
      <c r="C1020" s="5">
        <v>87614</v>
      </c>
      <c r="D1020" s="5" t="str">
        <f>_xlfn.XLOOKUP(fOrcado[[#This Row],[Conta]],'Plano de Contas'!A:A,'Plano de Contas'!C:C)</f>
        <v>(+) RECEITA BRUTA</v>
      </c>
      <c r="E1020" s="5" t="str">
        <f>_xlfn.XLOOKUP(fOrcado[[#This Row],[Conta]],'Plano de Contas'!A:A,'Plano de Contas'!D:D)</f>
        <v>02 - Outras Receitas</v>
      </c>
    </row>
    <row r="1021" spans="1:5" x14ac:dyDescent="0.25">
      <c r="A1021" s="23">
        <f t="shared" si="13"/>
        <v>43678</v>
      </c>
      <c r="B1021" s="5" t="s">
        <v>90</v>
      </c>
      <c r="C1021" s="5">
        <v>84657</v>
      </c>
      <c r="D1021" s="5" t="str">
        <f>_xlfn.XLOOKUP(fOrcado[[#This Row],[Conta]],'Plano de Contas'!A:A,'Plano de Contas'!C:C)</f>
        <v>(+) RECEITA BRUTA</v>
      </c>
      <c r="E1021" s="5" t="str">
        <f>_xlfn.XLOOKUP(fOrcado[[#This Row],[Conta]],'Plano de Contas'!A:A,'Plano de Contas'!D:D)</f>
        <v>02 - Outras Receitas</v>
      </c>
    </row>
    <row r="1022" spans="1:5" x14ac:dyDescent="0.25">
      <c r="A1022" s="23">
        <f t="shared" si="13"/>
        <v>43678</v>
      </c>
      <c r="B1022" s="5" t="s">
        <v>91</v>
      </c>
      <c r="C1022" s="5">
        <v>182670</v>
      </c>
      <c r="D1022" s="5" t="str">
        <f>_xlfn.XLOOKUP(fOrcado[[#This Row],[Conta]],'Plano de Contas'!A:A,'Plano de Contas'!C:C)</f>
        <v>(+) RECEITA BRUTA</v>
      </c>
      <c r="E1022" s="5" t="str">
        <f>_xlfn.XLOOKUP(fOrcado[[#This Row],[Conta]],'Plano de Contas'!A:A,'Plano de Contas'!D:D)</f>
        <v>02 - Outras Receitas</v>
      </c>
    </row>
    <row r="1023" spans="1:5" x14ac:dyDescent="0.25">
      <c r="A1023" s="23">
        <f t="shared" si="13"/>
        <v>43678</v>
      </c>
      <c r="B1023" s="5" t="s">
        <v>92</v>
      </c>
      <c r="C1023" s="5">
        <v>285261</v>
      </c>
      <c r="D1023" s="5" t="str">
        <f>_xlfn.XLOOKUP(fOrcado[[#This Row],[Conta]],'Plano de Contas'!A:A,'Plano de Contas'!C:C)</f>
        <v>(+) RECEITA BRUTA</v>
      </c>
      <c r="E1023" s="5" t="str">
        <f>_xlfn.XLOOKUP(fOrcado[[#This Row],[Conta]],'Plano de Contas'!A:A,'Plano de Contas'!D:D)</f>
        <v>02 - Outras Receitas</v>
      </c>
    </row>
    <row r="1024" spans="1:5" x14ac:dyDescent="0.25">
      <c r="A1024" s="23">
        <f t="shared" si="13"/>
        <v>43678</v>
      </c>
      <c r="B1024" s="5" t="s">
        <v>93</v>
      </c>
      <c r="C1024" s="5">
        <v>209297</v>
      </c>
      <c r="D1024" s="5" t="str">
        <f>_xlfn.XLOOKUP(fOrcado[[#This Row],[Conta]],'Plano de Contas'!A:A,'Plano de Contas'!C:C)</f>
        <v>(+) RECEITA BRUTA</v>
      </c>
      <c r="E1024" s="5" t="str">
        <f>_xlfn.XLOOKUP(fOrcado[[#This Row],[Conta]],'Plano de Contas'!A:A,'Plano de Contas'!D:D)</f>
        <v>02 - Outras Receitas</v>
      </c>
    </row>
    <row r="1025" spans="1:5" x14ac:dyDescent="0.25">
      <c r="A1025" s="23">
        <f t="shared" si="13"/>
        <v>43678</v>
      </c>
      <c r="B1025" s="5" t="s">
        <v>94</v>
      </c>
      <c r="C1025" s="5">
        <v>127802</v>
      </c>
      <c r="D1025" s="5" t="str">
        <f>_xlfn.XLOOKUP(fOrcado[[#This Row],[Conta]],'Plano de Contas'!A:A,'Plano de Contas'!C:C)</f>
        <v>(+) RECEITA BRUTA</v>
      </c>
      <c r="E1025" s="5" t="str">
        <f>_xlfn.XLOOKUP(fOrcado[[#This Row],[Conta]],'Plano de Contas'!A:A,'Plano de Contas'!D:D)</f>
        <v>02 - Outras Receitas</v>
      </c>
    </row>
    <row r="1026" spans="1:5" x14ac:dyDescent="0.25">
      <c r="A1026" s="23">
        <f t="shared" si="13"/>
        <v>43678</v>
      </c>
      <c r="B1026" s="5" t="s">
        <v>95</v>
      </c>
      <c r="C1026" s="5">
        <v>165227</v>
      </c>
      <c r="D1026" s="5" t="str">
        <f>_xlfn.XLOOKUP(fOrcado[[#This Row],[Conta]],'Plano de Contas'!A:A,'Plano de Contas'!C:C)</f>
        <v>(+) RECEITA BRUTA</v>
      </c>
      <c r="E1026" s="5" t="str">
        <f>_xlfn.XLOOKUP(fOrcado[[#This Row],[Conta]],'Plano de Contas'!A:A,'Plano de Contas'!D:D)</f>
        <v>02 - Outras Receitas</v>
      </c>
    </row>
    <row r="1027" spans="1:5" x14ac:dyDescent="0.25">
      <c r="A1027" s="23">
        <f t="shared" si="13"/>
        <v>43678</v>
      </c>
      <c r="B1027" s="5" t="s">
        <v>96</v>
      </c>
      <c r="C1027" s="5">
        <v>102215</v>
      </c>
      <c r="D1027" s="5" t="str">
        <f>_xlfn.XLOOKUP(fOrcado[[#This Row],[Conta]],'Plano de Contas'!A:A,'Plano de Contas'!C:C)</f>
        <v>(+) RECEITA BRUTA</v>
      </c>
      <c r="E1027" s="5" t="str">
        <f>_xlfn.XLOOKUP(fOrcado[[#This Row],[Conta]],'Plano de Contas'!A:A,'Plano de Contas'!D:D)</f>
        <v>02 - Outras Receitas</v>
      </c>
    </row>
    <row r="1028" spans="1:5" x14ac:dyDescent="0.25">
      <c r="A1028" s="23">
        <f t="shared" si="13"/>
        <v>43678</v>
      </c>
      <c r="B1028" s="5" t="s">
        <v>97</v>
      </c>
      <c r="C1028" s="5">
        <v>124933</v>
      </c>
      <c r="D1028" s="5" t="str">
        <f>_xlfn.XLOOKUP(fOrcado[[#This Row],[Conta]],'Plano de Contas'!A:A,'Plano de Contas'!C:C)</f>
        <v>(+) RECEITA BRUTA</v>
      </c>
      <c r="E1028" s="5" t="str">
        <f>_xlfn.XLOOKUP(fOrcado[[#This Row],[Conta]],'Plano de Contas'!A:A,'Plano de Contas'!D:D)</f>
        <v>02 - Outras Receitas</v>
      </c>
    </row>
    <row r="1029" spans="1:5" x14ac:dyDescent="0.25">
      <c r="A1029" s="23">
        <f t="shared" si="13"/>
        <v>43678</v>
      </c>
      <c r="B1029" s="5" t="s">
        <v>98</v>
      </c>
      <c r="C1029" s="5">
        <v>182896</v>
      </c>
      <c r="D1029" s="5" t="str">
        <f>_xlfn.XLOOKUP(fOrcado[[#This Row],[Conta]],'Plano de Contas'!A:A,'Plano de Contas'!C:C)</f>
        <v>(+) RECEITA BRUTA</v>
      </c>
      <c r="E1029" s="5" t="str">
        <f>_xlfn.XLOOKUP(fOrcado[[#This Row],[Conta]],'Plano de Contas'!A:A,'Plano de Contas'!D:D)</f>
        <v>02 - Outras Receitas</v>
      </c>
    </row>
    <row r="1030" spans="1:5" x14ac:dyDescent="0.25">
      <c r="A1030" s="23">
        <f t="shared" si="13"/>
        <v>43678</v>
      </c>
      <c r="B1030" s="5" t="s">
        <v>99</v>
      </c>
      <c r="C1030" s="5">
        <v>229751</v>
      </c>
      <c r="D1030" s="5" t="str">
        <f>_xlfn.XLOOKUP(fOrcado[[#This Row],[Conta]],'Plano de Contas'!A:A,'Plano de Contas'!C:C)</f>
        <v>(+) RECEITA BRUTA</v>
      </c>
      <c r="E1030" s="5" t="str">
        <f>_xlfn.XLOOKUP(fOrcado[[#This Row],[Conta]],'Plano de Contas'!A:A,'Plano de Contas'!D:D)</f>
        <v>02 - Outras Receitas</v>
      </c>
    </row>
    <row r="1031" spans="1:5" x14ac:dyDescent="0.25">
      <c r="A1031" s="23">
        <f t="shared" si="13"/>
        <v>43678</v>
      </c>
      <c r="B1031" s="5" t="s">
        <v>100</v>
      </c>
      <c r="C1031" s="5">
        <v>63156</v>
      </c>
      <c r="D1031" s="5" t="str">
        <f>_xlfn.XLOOKUP(fOrcado[[#This Row],[Conta]],'Plano de Contas'!A:A,'Plano de Contas'!C:C)</f>
        <v>(+) RECEITA BRUTA</v>
      </c>
      <c r="E1031" s="5" t="str">
        <f>_xlfn.XLOOKUP(fOrcado[[#This Row],[Conta]],'Plano de Contas'!A:A,'Plano de Contas'!D:D)</f>
        <v>02 - Outras Receitas</v>
      </c>
    </row>
    <row r="1032" spans="1:5" x14ac:dyDescent="0.25">
      <c r="A1032" s="23">
        <f t="shared" si="13"/>
        <v>43678</v>
      </c>
      <c r="B1032" s="5" t="s">
        <v>101</v>
      </c>
      <c r="C1032" s="5">
        <v>212944</v>
      </c>
      <c r="D1032" s="5" t="str">
        <f>_xlfn.XLOOKUP(fOrcado[[#This Row],[Conta]],'Plano de Contas'!A:A,'Plano de Contas'!C:C)</f>
        <v>(+) RECEITA BRUTA</v>
      </c>
      <c r="E1032" s="5" t="str">
        <f>_xlfn.XLOOKUP(fOrcado[[#This Row],[Conta]],'Plano de Contas'!A:A,'Plano de Contas'!D:D)</f>
        <v>02 - Outras Receitas</v>
      </c>
    </row>
    <row r="1033" spans="1:5" x14ac:dyDescent="0.25">
      <c r="A1033" s="23">
        <f t="shared" si="13"/>
        <v>43678</v>
      </c>
      <c r="B1033" s="5" t="s">
        <v>102</v>
      </c>
      <c r="C1033" s="5">
        <v>270639</v>
      </c>
      <c r="D1033" s="5" t="str">
        <f>_xlfn.XLOOKUP(fOrcado[[#This Row],[Conta]],'Plano de Contas'!A:A,'Plano de Contas'!C:C)</f>
        <v>(+) RECEITA BRUTA</v>
      </c>
      <c r="E1033" s="5" t="str">
        <f>_xlfn.XLOOKUP(fOrcado[[#This Row],[Conta]],'Plano de Contas'!A:A,'Plano de Contas'!D:D)</f>
        <v>02 - Outras Receitas</v>
      </c>
    </row>
    <row r="1034" spans="1:5" x14ac:dyDescent="0.25">
      <c r="A1034" s="23">
        <f t="shared" si="13"/>
        <v>43678</v>
      </c>
      <c r="B1034" s="5" t="s">
        <v>103</v>
      </c>
      <c r="C1034" s="5">
        <v>102804</v>
      </c>
      <c r="D1034" s="5" t="str">
        <f>_xlfn.XLOOKUP(fOrcado[[#This Row],[Conta]],'Plano de Contas'!A:A,'Plano de Contas'!C:C)</f>
        <v>(+) RECEITA BRUTA</v>
      </c>
      <c r="E1034" s="5" t="str">
        <f>_xlfn.XLOOKUP(fOrcado[[#This Row],[Conta]],'Plano de Contas'!A:A,'Plano de Contas'!D:D)</f>
        <v>02 - Outras Receitas</v>
      </c>
    </row>
    <row r="1035" spans="1:5" x14ac:dyDescent="0.25">
      <c r="A1035" s="23">
        <f t="shared" si="13"/>
        <v>43678</v>
      </c>
      <c r="B1035" s="5" t="s">
        <v>104</v>
      </c>
      <c r="C1035" s="5">
        <v>88348</v>
      </c>
      <c r="D1035" s="5" t="str">
        <f>_xlfn.XLOOKUP(fOrcado[[#This Row],[Conta]],'Plano de Contas'!A:A,'Plano de Contas'!C:C)</f>
        <v>(+) RECEITA BRUTA</v>
      </c>
      <c r="E1035" s="5" t="str">
        <f>_xlfn.XLOOKUP(fOrcado[[#This Row],[Conta]],'Plano de Contas'!A:A,'Plano de Contas'!D:D)</f>
        <v>02 - Outras Receitas</v>
      </c>
    </row>
    <row r="1036" spans="1:5" x14ac:dyDescent="0.25">
      <c r="A1036" s="23">
        <f t="shared" si="13"/>
        <v>43678</v>
      </c>
      <c r="B1036" s="5" t="s">
        <v>105</v>
      </c>
      <c r="C1036" s="5">
        <v>211285</v>
      </c>
      <c r="D1036" s="5" t="str">
        <f>_xlfn.XLOOKUP(fOrcado[[#This Row],[Conta]],'Plano de Contas'!A:A,'Plano de Contas'!C:C)</f>
        <v>(+) RECEITA BRUTA</v>
      </c>
      <c r="E1036" s="5" t="str">
        <f>_xlfn.XLOOKUP(fOrcado[[#This Row],[Conta]],'Plano de Contas'!A:A,'Plano de Contas'!D:D)</f>
        <v>02 - Outras Receitas</v>
      </c>
    </row>
    <row r="1037" spans="1:5" x14ac:dyDescent="0.25">
      <c r="A1037" s="23">
        <f t="shared" si="13"/>
        <v>43678</v>
      </c>
      <c r="B1037" s="5" t="s">
        <v>106</v>
      </c>
      <c r="C1037" s="5">
        <v>66632</v>
      </c>
      <c r="D1037" s="5" t="str">
        <f>_xlfn.XLOOKUP(fOrcado[[#This Row],[Conta]],'Plano de Contas'!A:A,'Plano de Contas'!C:C)</f>
        <v>(+) RECEITA BRUTA</v>
      </c>
      <c r="E1037" s="5" t="str">
        <f>_xlfn.XLOOKUP(fOrcado[[#This Row],[Conta]],'Plano de Contas'!A:A,'Plano de Contas'!D:D)</f>
        <v>02 - Outras Receitas</v>
      </c>
    </row>
    <row r="1038" spans="1:5" x14ac:dyDescent="0.25">
      <c r="A1038" s="23">
        <f t="shared" si="13"/>
        <v>43678</v>
      </c>
      <c r="B1038" s="5" t="s">
        <v>107</v>
      </c>
      <c r="C1038" s="5">
        <v>285175</v>
      </c>
      <c r="D1038" s="5" t="str">
        <f>_xlfn.XLOOKUP(fOrcado[[#This Row],[Conta]],'Plano de Contas'!A:A,'Plano de Contas'!C:C)</f>
        <v>(+) RECEITA BRUTA</v>
      </c>
      <c r="E1038" s="5" t="str">
        <f>_xlfn.XLOOKUP(fOrcado[[#This Row],[Conta]],'Plano de Contas'!A:A,'Plano de Contas'!D:D)</f>
        <v>02 - Outras Receitas</v>
      </c>
    </row>
    <row r="1039" spans="1:5" x14ac:dyDescent="0.25">
      <c r="A1039" s="23">
        <f t="shared" ref="A1039:A1102" si="14">EDATE(A899,1)</f>
        <v>43678</v>
      </c>
      <c r="B1039" s="5" t="s">
        <v>108</v>
      </c>
      <c r="C1039" s="5">
        <v>147599</v>
      </c>
      <c r="D1039" s="5" t="str">
        <f>_xlfn.XLOOKUP(fOrcado[[#This Row],[Conta]],'Plano de Contas'!A:A,'Plano de Contas'!C:C)</f>
        <v>(+) RECEITA BRUTA</v>
      </c>
      <c r="E1039" s="5" t="str">
        <f>_xlfn.XLOOKUP(fOrcado[[#This Row],[Conta]],'Plano de Contas'!A:A,'Plano de Contas'!D:D)</f>
        <v>02 - Outras Receitas</v>
      </c>
    </row>
    <row r="1040" spans="1:5" x14ac:dyDescent="0.25">
      <c r="A1040" s="23">
        <f t="shared" si="14"/>
        <v>43678</v>
      </c>
      <c r="B1040" s="5" t="s">
        <v>109</v>
      </c>
      <c r="C1040" s="5">
        <v>66252</v>
      </c>
      <c r="D1040" s="5" t="str">
        <f>_xlfn.XLOOKUP(fOrcado[[#This Row],[Conta]],'Plano de Contas'!A:A,'Plano de Contas'!C:C)</f>
        <v>(+) RECEITA BRUTA</v>
      </c>
      <c r="E1040" s="5" t="str">
        <f>_xlfn.XLOOKUP(fOrcado[[#This Row],[Conta]],'Plano de Contas'!A:A,'Plano de Contas'!D:D)</f>
        <v>02 - Outras Receitas</v>
      </c>
    </row>
    <row r="1041" spans="1:5" x14ac:dyDescent="0.25">
      <c r="A1041" s="23">
        <f t="shared" si="14"/>
        <v>43678</v>
      </c>
      <c r="B1041" s="5" t="s">
        <v>110</v>
      </c>
      <c r="C1041" s="5">
        <v>-8954</v>
      </c>
      <c r="D1041" s="5" t="str">
        <f>_xlfn.XLOOKUP(fOrcado[[#This Row],[Conta]],'Plano de Contas'!A:A,'Plano de Contas'!C:C)</f>
        <v>(-) Deduções da Receita</v>
      </c>
      <c r="E1041" s="5" t="str">
        <f>_xlfn.XLOOKUP(fOrcado[[#This Row],[Conta]],'Plano de Contas'!A:A,'Plano de Contas'!D:D)</f>
        <v>03 - Devoluções de Produtos</v>
      </c>
    </row>
    <row r="1042" spans="1:5" x14ac:dyDescent="0.25">
      <c r="A1042" s="23">
        <f t="shared" si="14"/>
        <v>43678</v>
      </c>
      <c r="B1042" s="5" t="s">
        <v>111</v>
      </c>
      <c r="C1042" s="5">
        <v>-5459</v>
      </c>
      <c r="D1042" s="5" t="str">
        <f>_xlfn.XLOOKUP(fOrcado[[#This Row],[Conta]],'Plano de Contas'!A:A,'Plano de Contas'!C:C)</f>
        <v>(-) Deduções da Receita</v>
      </c>
      <c r="E1042" s="5" t="str">
        <f>_xlfn.XLOOKUP(fOrcado[[#This Row],[Conta]],'Plano de Contas'!A:A,'Plano de Contas'!D:D)</f>
        <v>03 - Devoluções de Produtos</v>
      </c>
    </row>
    <row r="1043" spans="1:5" x14ac:dyDescent="0.25">
      <c r="A1043" s="23">
        <f t="shared" si="14"/>
        <v>43678</v>
      </c>
      <c r="B1043" s="5" t="s">
        <v>112</v>
      </c>
      <c r="C1043" s="5">
        <v>-9427</v>
      </c>
      <c r="D1043" s="5" t="str">
        <f>_xlfn.XLOOKUP(fOrcado[[#This Row],[Conta]],'Plano de Contas'!A:A,'Plano de Contas'!C:C)</f>
        <v>(-) Deduções da Receita</v>
      </c>
      <c r="E1043" s="5" t="str">
        <f>_xlfn.XLOOKUP(fOrcado[[#This Row],[Conta]],'Plano de Contas'!A:A,'Plano de Contas'!D:D)</f>
        <v>03 - Devoluções de Produtos</v>
      </c>
    </row>
    <row r="1044" spans="1:5" x14ac:dyDescent="0.25">
      <c r="A1044" s="23">
        <f t="shared" si="14"/>
        <v>43678</v>
      </c>
      <c r="B1044" s="5" t="s">
        <v>113</v>
      </c>
      <c r="C1044" s="5">
        <v>-9118</v>
      </c>
      <c r="D1044" s="5" t="str">
        <f>_xlfn.XLOOKUP(fOrcado[[#This Row],[Conta]],'Plano de Contas'!A:A,'Plano de Contas'!C:C)</f>
        <v>(-) Deduções da Receita</v>
      </c>
      <c r="E1044" s="5" t="str">
        <f>_xlfn.XLOOKUP(fOrcado[[#This Row],[Conta]],'Plano de Contas'!A:A,'Plano de Contas'!D:D)</f>
        <v>03 - Devoluções de Produtos</v>
      </c>
    </row>
    <row r="1045" spans="1:5" x14ac:dyDescent="0.25">
      <c r="A1045" s="23">
        <f t="shared" si="14"/>
        <v>43678</v>
      </c>
      <c r="B1045" s="5" t="s">
        <v>114</v>
      </c>
      <c r="C1045" s="5">
        <v>-8669</v>
      </c>
      <c r="D1045" s="5" t="str">
        <f>_xlfn.XLOOKUP(fOrcado[[#This Row],[Conta]],'Plano de Contas'!A:A,'Plano de Contas'!C:C)</f>
        <v>(-) Deduções da Receita</v>
      </c>
      <c r="E1045" s="5" t="str">
        <f>_xlfn.XLOOKUP(fOrcado[[#This Row],[Conta]],'Plano de Contas'!A:A,'Plano de Contas'!D:D)</f>
        <v>03 - Devoluções de Produtos</v>
      </c>
    </row>
    <row r="1046" spans="1:5" x14ac:dyDescent="0.25">
      <c r="A1046" s="23">
        <f t="shared" si="14"/>
        <v>43678</v>
      </c>
      <c r="B1046" s="5" t="s">
        <v>115</v>
      </c>
      <c r="C1046" s="5">
        <v>-8392</v>
      </c>
      <c r="D1046" s="5" t="str">
        <f>_xlfn.XLOOKUP(fOrcado[[#This Row],[Conta]],'Plano de Contas'!A:A,'Plano de Contas'!C:C)</f>
        <v>(-) Deduções da Receita</v>
      </c>
      <c r="E1046" s="5" t="str">
        <f>_xlfn.XLOOKUP(fOrcado[[#This Row],[Conta]],'Plano de Contas'!A:A,'Plano de Contas'!D:D)</f>
        <v>03 - Devoluções de Produtos</v>
      </c>
    </row>
    <row r="1047" spans="1:5" x14ac:dyDescent="0.25">
      <c r="A1047" s="23">
        <f t="shared" si="14"/>
        <v>43678</v>
      </c>
      <c r="B1047" s="5" t="s">
        <v>116</v>
      </c>
      <c r="C1047" s="5">
        <v>-3238</v>
      </c>
      <c r="D1047" s="5" t="str">
        <f>_xlfn.XLOOKUP(fOrcado[[#This Row],[Conta]],'Plano de Contas'!A:A,'Plano de Contas'!C:C)</f>
        <v>(-) Deduções da Receita</v>
      </c>
      <c r="E1047" s="5" t="str">
        <f>_xlfn.XLOOKUP(fOrcado[[#This Row],[Conta]],'Plano de Contas'!A:A,'Plano de Contas'!D:D)</f>
        <v>03 - Devoluções de Produtos</v>
      </c>
    </row>
    <row r="1048" spans="1:5" x14ac:dyDescent="0.25">
      <c r="A1048" s="23">
        <f t="shared" si="14"/>
        <v>43678</v>
      </c>
      <c r="B1048" s="5" t="s">
        <v>117</v>
      </c>
      <c r="C1048" s="5">
        <v>-8308</v>
      </c>
      <c r="D1048" s="5" t="str">
        <f>_xlfn.XLOOKUP(fOrcado[[#This Row],[Conta]],'Plano de Contas'!A:A,'Plano de Contas'!C:C)</f>
        <v>(-) Deduções da Receita</v>
      </c>
      <c r="E1048" s="5" t="str">
        <f>_xlfn.XLOOKUP(fOrcado[[#This Row],[Conta]],'Plano de Contas'!A:A,'Plano de Contas'!D:D)</f>
        <v>03 - Devoluções de Produtos</v>
      </c>
    </row>
    <row r="1049" spans="1:5" x14ac:dyDescent="0.25">
      <c r="A1049" s="23">
        <f t="shared" si="14"/>
        <v>43678</v>
      </c>
      <c r="B1049" s="5" t="s">
        <v>118</v>
      </c>
      <c r="C1049" s="5">
        <v>-2193</v>
      </c>
      <c r="D1049" s="5" t="str">
        <f>_xlfn.XLOOKUP(fOrcado[[#This Row],[Conta]],'Plano de Contas'!A:A,'Plano de Contas'!C:C)</f>
        <v>(-) Deduções da Receita</v>
      </c>
      <c r="E1049" s="5" t="str">
        <f>_xlfn.XLOOKUP(fOrcado[[#This Row],[Conta]],'Plano de Contas'!A:A,'Plano de Contas'!D:D)</f>
        <v>03 - Devoluções de Produtos</v>
      </c>
    </row>
    <row r="1050" spans="1:5" x14ac:dyDescent="0.25">
      <c r="A1050" s="23">
        <f t="shared" si="14"/>
        <v>43678</v>
      </c>
      <c r="B1050" s="5" t="s">
        <v>119</v>
      </c>
      <c r="C1050" s="5">
        <v>-3285</v>
      </c>
      <c r="D1050" s="5" t="str">
        <f>_xlfn.XLOOKUP(fOrcado[[#This Row],[Conta]],'Plano de Contas'!A:A,'Plano de Contas'!C:C)</f>
        <v>(-) Deduções da Receita</v>
      </c>
      <c r="E1050" s="5" t="str">
        <f>_xlfn.XLOOKUP(fOrcado[[#This Row],[Conta]],'Plano de Contas'!A:A,'Plano de Contas'!D:D)</f>
        <v>03 - Devoluções de Produtos</v>
      </c>
    </row>
    <row r="1051" spans="1:5" x14ac:dyDescent="0.25">
      <c r="A1051" s="23">
        <f t="shared" si="14"/>
        <v>43678</v>
      </c>
      <c r="B1051" s="5" t="s">
        <v>120</v>
      </c>
      <c r="C1051" s="5">
        <v>-8575</v>
      </c>
      <c r="D1051" s="5" t="str">
        <f>_xlfn.XLOOKUP(fOrcado[[#This Row],[Conta]],'Plano de Contas'!A:A,'Plano de Contas'!C:C)</f>
        <v>(-) Deduções da Receita</v>
      </c>
      <c r="E1051" s="5" t="str">
        <f>_xlfn.XLOOKUP(fOrcado[[#This Row],[Conta]],'Plano de Contas'!A:A,'Plano de Contas'!D:D)</f>
        <v>03 - Devoluções de Produtos</v>
      </c>
    </row>
    <row r="1052" spans="1:5" x14ac:dyDescent="0.25">
      <c r="A1052" s="23">
        <f t="shared" si="14"/>
        <v>43678</v>
      </c>
      <c r="B1052" s="5" t="s">
        <v>121</v>
      </c>
      <c r="C1052" s="5">
        <v>-5688</v>
      </c>
      <c r="D1052" s="5" t="str">
        <f>_xlfn.XLOOKUP(fOrcado[[#This Row],[Conta]],'Plano de Contas'!A:A,'Plano de Contas'!C:C)</f>
        <v>(-) Deduções da Receita</v>
      </c>
      <c r="E1052" s="5" t="str">
        <f>_xlfn.XLOOKUP(fOrcado[[#This Row],[Conta]],'Plano de Contas'!A:A,'Plano de Contas'!D:D)</f>
        <v>03 - Devoluções de Produtos</v>
      </c>
    </row>
    <row r="1053" spans="1:5" x14ac:dyDescent="0.25">
      <c r="A1053" s="23">
        <f t="shared" si="14"/>
        <v>43678</v>
      </c>
      <c r="B1053" s="5" t="s">
        <v>122</v>
      </c>
      <c r="C1053" s="5">
        <v>-9055</v>
      </c>
      <c r="D1053" s="5" t="str">
        <f>_xlfn.XLOOKUP(fOrcado[[#This Row],[Conta]],'Plano de Contas'!A:A,'Plano de Contas'!C:C)</f>
        <v>(-) Deduções da Receita</v>
      </c>
      <c r="E1053" s="5" t="str">
        <f>_xlfn.XLOOKUP(fOrcado[[#This Row],[Conta]],'Plano de Contas'!A:A,'Plano de Contas'!D:D)</f>
        <v>03 - Devoluções de Produtos</v>
      </c>
    </row>
    <row r="1054" spans="1:5" x14ac:dyDescent="0.25">
      <c r="A1054" s="23">
        <f t="shared" si="14"/>
        <v>43678</v>
      </c>
      <c r="B1054" s="5" t="s">
        <v>123</v>
      </c>
      <c r="C1054" s="5">
        <v>-2331</v>
      </c>
      <c r="D1054" s="5" t="str">
        <f>_xlfn.XLOOKUP(fOrcado[[#This Row],[Conta]],'Plano de Contas'!A:A,'Plano de Contas'!C:C)</f>
        <v>(-) Deduções da Receita</v>
      </c>
      <c r="E1054" s="5" t="str">
        <f>_xlfn.XLOOKUP(fOrcado[[#This Row],[Conta]],'Plano de Contas'!A:A,'Plano de Contas'!D:D)</f>
        <v>03 - Devoluções de Produtos</v>
      </c>
    </row>
    <row r="1055" spans="1:5" x14ac:dyDescent="0.25">
      <c r="A1055" s="23">
        <f t="shared" si="14"/>
        <v>43678</v>
      </c>
      <c r="B1055" s="5" t="s">
        <v>124</v>
      </c>
      <c r="C1055" s="5">
        <v>-3536</v>
      </c>
      <c r="D1055" s="5" t="str">
        <f>_xlfn.XLOOKUP(fOrcado[[#This Row],[Conta]],'Plano de Contas'!A:A,'Plano de Contas'!C:C)</f>
        <v>(-) Deduções da Receita</v>
      </c>
      <c r="E1055" s="5" t="str">
        <f>_xlfn.XLOOKUP(fOrcado[[#This Row],[Conta]],'Plano de Contas'!A:A,'Plano de Contas'!D:D)</f>
        <v>03 - Devoluções de Produtos</v>
      </c>
    </row>
    <row r="1056" spans="1:5" x14ac:dyDescent="0.25">
      <c r="A1056" s="23">
        <f t="shared" si="14"/>
        <v>43678</v>
      </c>
      <c r="B1056" s="5" t="s">
        <v>125</v>
      </c>
      <c r="C1056" s="5">
        <v>-1624</v>
      </c>
      <c r="D1056" s="5" t="str">
        <f>_xlfn.XLOOKUP(fOrcado[[#This Row],[Conta]],'Plano de Contas'!A:A,'Plano de Contas'!C:C)</f>
        <v>(-) Deduções da Receita</v>
      </c>
      <c r="E1056" s="5" t="str">
        <f>_xlfn.XLOOKUP(fOrcado[[#This Row],[Conta]],'Plano de Contas'!A:A,'Plano de Contas'!D:D)</f>
        <v>03 - Devoluções de Produtos</v>
      </c>
    </row>
    <row r="1057" spans="1:5" x14ac:dyDescent="0.25">
      <c r="A1057" s="23">
        <f t="shared" si="14"/>
        <v>43678</v>
      </c>
      <c r="B1057" s="5" t="s">
        <v>126</v>
      </c>
      <c r="C1057" s="5">
        <v>-7158</v>
      </c>
      <c r="D1057" s="5" t="str">
        <f>_xlfn.XLOOKUP(fOrcado[[#This Row],[Conta]],'Plano de Contas'!A:A,'Plano de Contas'!C:C)</f>
        <v>(-) Deduções da Receita</v>
      </c>
      <c r="E1057" s="5" t="str">
        <f>_xlfn.XLOOKUP(fOrcado[[#This Row],[Conta]],'Plano de Contas'!A:A,'Plano de Contas'!D:D)</f>
        <v>03 - Devoluções de Produtos</v>
      </c>
    </row>
    <row r="1058" spans="1:5" x14ac:dyDescent="0.25">
      <c r="A1058" s="23">
        <f t="shared" si="14"/>
        <v>43678</v>
      </c>
      <c r="B1058" s="5" t="s">
        <v>127</v>
      </c>
      <c r="C1058" s="5">
        <v>-1902</v>
      </c>
      <c r="D1058" s="5" t="str">
        <f>_xlfn.XLOOKUP(fOrcado[[#This Row],[Conta]],'Plano de Contas'!A:A,'Plano de Contas'!C:C)</f>
        <v>(-) Deduções da Receita</v>
      </c>
      <c r="E1058" s="5" t="str">
        <f>_xlfn.XLOOKUP(fOrcado[[#This Row],[Conta]],'Plano de Contas'!A:A,'Plano de Contas'!D:D)</f>
        <v>03 - Devoluções de Produtos</v>
      </c>
    </row>
    <row r="1059" spans="1:5" x14ac:dyDescent="0.25">
      <c r="A1059" s="23">
        <f t="shared" si="14"/>
        <v>43678</v>
      </c>
      <c r="B1059" s="5" t="s">
        <v>128</v>
      </c>
      <c r="C1059" s="5">
        <v>-1117</v>
      </c>
      <c r="D1059" s="5" t="str">
        <f>_xlfn.XLOOKUP(fOrcado[[#This Row],[Conta]],'Plano de Contas'!A:A,'Plano de Contas'!C:C)</f>
        <v>(-) Deduções da Receita</v>
      </c>
      <c r="E1059" s="5" t="str">
        <f>_xlfn.XLOOKUP(fOrcado[[#This Row],[Conta]],'Plano de Contas'!A:A,'Plano de Contas'!D:D)</f>
        <v>03 - Devoluções de Produtos</v>
      </c>
    </row>
    <row r="1060" spans="1:5" x14ac:dyDescent="0.25">
      <c r="A1060" s="23">
        <f t="shared" si="14"/>
        <v>43678</v>
      </c>
      <c r="B1060" s="5" t="s">
        <v>129</v>
      </c>
      <c r="C1060" s="5">
        <v>-2737</v>
      </c>
      <c r="D1060" s="5" t="str">
        <f>_xlfn.XLOOKUP(fOrcado[[#This Row],[Conta]],'Plano de Contas'!A:A,'Plano de Contas'!C:C)</f>
        <v>(-) Deduções da Receita</v>
      </c>
      <c r="E1060" s="5" t="str">
        <f>_xlfn.XLOOKUP(fOrcado[[#This Row],[Conta]],'Plano de Contas'!A:A,'Plano de Contas'!D:D)</f>
        <v>03 - Devoluções de Produtos</v>
      </c>
    </row>
    <row r="1061" spans="1:5" x14ac:dyDescent="0.25">
      <c r="A1061" s="23">
        <f t="shared" si="14"/>
        <v>43678</v>
      </c>
      <c r="B1061" s="5" t="s">
        <v>130</v>
      </c>
      <c r="C1061" s="5">
        <v>-6552</v>
      </c>
      <c r="D1061" s="5" t="str">
        <f>_xlfn.XLOOKUP(fOrcado[[#This Row],[Conta]],'Plano de Contas'!A:A,'Plano de Contas'!C:C)</f>
        <v>(-) Deduções da Receita</v>
      </c>
      <c r="E1061" s="5" t="str">
        <f>_xlfn.XLOOKUP(fOrcado[[#This Row],[Conta]],'Plano de Contas'!A:A,'Plano de Contas'!D:D)</f>
        <v>03 - Devoluções de Produtos</v>
      </c>
    </row>
    <row r="1062" spans="1:5" x14ac:dyDescent="0.25">
      <c r="A1062" s="23">
        <f t="shared" si="14"/>
        <v>43678</v>
      </c>
      <c r="B1062" s="5" t="s">
        <v>131</v>
      </c>
      <c r="C1062" s="5">
        <v>-3650</v>
      </c>
      <c r="D1062" s="5" t="str">
        <f>_xlfn.XLOOKUP(fOrcado[[#This Row],[Conta]],'Plano de Contas'!A:A,'Plano de Contas'!C:C)</f>
        <v>(-) Deduções da Receita</v>
      </c>
      <c r="E1062" s="5" t="str">
        <f>_xlfn.XLOOKUP(fOrcado[[#This Row],[Conta]],'Plano de Contas'!A:A,'Plano de Contas'!D:D)</f>
        <v>03 - Devoluções de Produtos</v>
      </c>
    </row>
    <row r="1063" spans="1:5" x14ac:dyDescent="0.25">
      <c r="A1063" s="23">
        <f t="shared" si="14"/>
        <v>43678</v>
      </c>
      <c r="B1063" s="5" t="s">
        <v>132</v>
      </c>
      <c r="C1063" s="5">
        <v>-3823</v>
      </c>
      <c r="D1063" s="5" t="str">
        <f>_xlfn.XLOOKUP(fOrcado[[#This Row],[Conta]],'Plano de Contas'!A:A,'Plano de Contas'!C:C)</f>
        <v>(-) Deduções da Receita</v>
      </c>
      <c r="E1063" s="5" t="str">
        <f>_xlfn.XLOOKUP(fOrcado[[#This Row],[Conta]],'Plano de Contas'!A:A,'Plano de Contas'!D:D)</f>
        <v>03 - Devoluções de Produtos</v>
      </c>
    </row>
    <row r="1064" spans="1:5" x14ac:dyDescent="0.25">
      <c r="A1064" s="23">
        <f t="shared" si="14"/>
        <v>43678</v>
      </c>
      <c r="B1064" s="5" t="s">
        <v>133</v>
      </c>
      <c r="C1064" s="5">
        <v>-3947</v>
      </c>
      <c r="D1064" s="5" t="str">
        <f>_xlfn.XLOOKUP(fOrcado[[#This Row],[Conta]],'Plano de Contas'!A:A,'Plano de Contas'!C:C)</f>
        <v>(-) Deduções da Receita</v>
      </c>
      <c r="E1064" s="5" t="str">
        <f>_xlfn.XLOOKUP(fOrcado[[#This Row],[Conta]],'Plano de Contas'!A:A,'Plano de Contas'!D:D)</f>
        <v>03 - Devoluções de Produtos</v>
      </c>
    </row>
    <row r="1065" spans="1:5" x14ac:dyDescent="0.25">
      <c r="A1065" s="23">
        <f t="shared" si="14"/>
        <v>43678</v>
      </c>
      <c r="B1065" s="5" t="s">
        <v>134</v>
      </c>
      <c r="C1065" s="5">
        <v>-4522</v>
      </c>
      <c r="D1065" s="5" t="str">
        <f>_xlfn.XLOOKUP(fOrcado[[#This Row],[Conta]],'Plano de Contas'!A:A,'Plano de Contas'!C:C)</f>
        <v>(-) Deduções da Receita</v>
      </c>
      <c r="E1065" s="5" t="str">
        <f>_xlfn.XLOOKUP(fOrcado[[#This Row],[Conta]],'Plano de Contas'!A:A,'Plano de Contas'!D:D)</f>
        <v>03 - Devoluções de Produtos</v>
      </c>
    </row>
    <row r="1066" spans="1:5" x14ac:dyDescent="0.25">
      <c r="A1066" s="23">
        <f t="shared" si="14"/>
        <v>43678</v>
      </c>
      <c r="B1066" s="5" t="s">
        <v>135</v>
      </c>
      <c r="C1066" s="5">
        <v>-3442</v>
      </c>
      <c r="D1066" s="5" t="str">
        <f>_xlfn.XLOOKUP(fOrcado[[#This Row],[Conta]],'Plano de Contas'!A:A,'Plano de Contas'!C:C)</f>
        <v>(-) Deduções da Receita</v>
      </c>
      <c r="E1066" s="5" t="str">
        <f>_xlfn.XLOOKUP(fOrcado[[#This Row],[Conta]],'Plano de Contas'!A:A,'Plano de Contas'!D:D)</f>
        <v>03 - Devoluções de Produtos</v>
      </c>
    </row>
    <row r="1067" spans="1:5" x14ac:dyDescent="0.25">
      <c r="A1067" s="23">
        <f t="shared" si="14"/>
        <v>43678</v>
      </c>
      <c r="B1067" s="5" t="s">
        <v>136</v>
      </c>
      <c r="C1067" s="5">
        <v>-6662</v>
      </c>
      <c r="D1067" s="5" t="str">
        <f>_xlfn.XLOOKUP(fOrcado[[#This Row],[Conta]],'Plano de Contas'!A:A,'Plano de Contas'!C:C)</f>
        <v>(-) Deduções da Receita</v>
      </c>
      <c r="E1067" s="5" t="str">
        <f>_xlfn.XLOOKUP(fOrcado[[#This Row],[Conta]],'Plano de Contas'!A:A,'Plano de Contas'!D:D)</f>
        <v>04 - Taxas de Serviço</v>
      </c>
    </row>
    <row r="1068" spans="1:5" x14ac:dyDescent="0.25">
      <c r="A1068" s="23">
        <f t="shared" si="14"/>
        <v>43678</v>
      </c>
      <c r="B1068" s="5" t="s">
        <v>137</v>
      </c>
      <c r="C1068" s="5">
        <v>-5369</v>
      </c>
      <c r="D1068" s="5" t="str">
        <f>_xlfn.XLOOKUP(fOrcado[[#This Row],[Conta]],'Plano de Contas'!A:A,'Plano de Contas'!C:C)</f>
        <v>(-) Deduções da Receita</v>
      </c>
      <c r="E1068" s="5" t="str">
        <f>_xlfn.XLOOKUP(fOrcado[[#This Row],[Conta]],'Plano de Contas'!A:A,'Plano de Contas'!D:D)</f>
        <v>04 - Taxas de Serviço</v>
      </c>
    </row>
    <row r="1069" spans="1:5" x14ac:dyDescent="0.25">
      <c r="A1069" s="23">
        <f t="shared" si="14"/>
        <v>43678</v>
      </c>
      <c r="B1069" s="5" t="s">
        <v>138</v>
      </c>
      <c r="C1069" s="5">
        <v>-5841</v>
      </c>
      <c r="D1069" s="5" t="str">
        <f>_xlfn.XLOOKUP(fOrcado[[#This Row],[Conta]],'Plano de Contas'!A:A,'Plano de Contas'!C:C)</f>
        <v>(-) Deduções da Receita</v>
      </c>
      <c r="E1069" s="5" t="str">
        <f>_xlfn.XLOOKUP(fOrcado[[#This Row],[Conta]],'Plano de Contas'!A:A,'Plano de Contas'!D:D)</f>
        <v>04 - Taxas de Serviço</v>
      </c>
    </row>
    <row r="1070" spans="1:5" x14ac:dyDescent="0.25">
      <c r="A1070" s="23">
        <f t="shared" si="14"/>
        <v>43678</v>
      </c>
      <c r="B1070" s="5" t="s">
        <v>139</v>
      </c>
      <c r="C1070" s="5">
        <v>-7145</v>
      </c>
      <c r="D1070" s="5" t="str">
        <f>_xlfn.XLOOKUP(fOrcado[[#This Row],[Conta]],'Plano de Contas'!A:A,'Plano de Contas'!C:C)</f>
        <v>(-) Deduções da Receita</v>
      </c>
      <c r="E1070" s="5" t="str">
        <f>_xlfn.XLOOKUP(fOrcado[[#This Row],[Conta]],'Plano de Contas'!A:A,'Plano de Contas'!D:D)</f>
        <v>04 - Taxas de Serviço</v>
      </c>
    </row>
    <row r="1071" spans="1:5" x14ac:dyDescent="0.25">
      <c r="A1071" s="23">
        <f t="shared" si="14"/>
        <v>43678</v>
      </c>
      <c r="B1071" s="5" t="s">
        <v>140</v>
      </c>
      <c r="C1071" s="5">
        <v>-289512</v>
      </c>
      <c r="D1071" s="5" t="str">
        <f>_xlfn.XLOOKUP(fOrcado[[#This Row],[Conta]],'Plano de Contas'!A:A,'Plano de Contas'!C:C)</f>
        <v>(-) Custos de Vendas</v>
      </c>
      <c r="E1071" s="5" t="str">
        <f>_xlfn.XLOOKUP(fOrcado[[#This Row],[Conta]],'Plano de Contas'!A:A,'Plano de Contas'!D:D)</f>
        <v>05 - Custo do Produto</v>
      </c>
    </row>
    <row r="1072" spans="1:5" x14ac:dyDescent="0.25">
      <c r="A1072" s="23">
        <f t="shared" si="14"/>
        <v>43678</v>
      </c>
      <c r="B1072" s="5" t="s">
        <v>141</v>
      </c>
      <c r="C1072" s="5">
        <v>-112051</v>
      </c>
      <c r="D1072" s="5" t="str">
        <f>_xlfn.XLOOKUP(fOrcado[[#This Row],[Conta]],'Plano de Contas'!A:A,'Plano de Contas'!C:C)</f>
        <v>(-) Custos de Vendas</v>
      </c>
      <c r="E1072" s="5" t="str">
        <f>_xlfn.XLOOKUP(fOrcado[[#This Row],[Conta]],'Plano de Contas'!A:A,'Plano de Contas'!D:D)</f>
        <v>05 - Custo do Produto</v>
      </c>
    </row>
    <row r="1073" spans="1:5" x14ac:dyDescent="0.25">
      <c r="A1073" s="23">
        <f t="shared" si="14"/>
        <v>43678</v>
      </c>
      <c r="B1073" s="5" t="s">
        <v>142</v>
      </c>
      <c r="C1073" s="5">
        <v>-168079</v>
      </c>
      <c r="D1073" s="5" t="str">
        <f>_xlfn.XLOOKUP(fOrcado[[#This Row],[Conta]],'Plano de Contas'!A:A,'Plano de Contas'!C:C)</f>
        <v>(-) Custos de Vendas</v>
      </c>
      <c r="E1073" s="5" t="str">
        <f>_xlfn.XLOOKUP(fOrcado[[#This Row],[Conta]],'Plano de Contas'!A:A,'Plano de Contas'!D:D)</f>
        <v>05 - Custo do Produto</v>
      </c>
    </row>
    <row r="1074" spans="1:5" x14ac:dyDescent="0.25">
      <c r="A1074" s="23">
        <f t="shared" si="14"/>
        <v>43678</v>
      </c>
      <c r="B1074" s="5" t="s">
        <v>143</v>
      </c>
      <c r="C1074" s="5">
        <v>-97278</v>
      </c>
      <c r="D1074" s="5" t="str">
        <f>_xlfn.XLOOKUP(fOrcado[[#This Row],[Conta]],'Plano de Contas'!A:A,'Plano de Contas'!C:C)</f>
        <v>(-) Custos de Vendas</v>
      </c>
      <c r="E1074" s="5" t="str">
        <f>_xlfn.XLOOKUP(fOrcado[[#This Row],[Conta]],'Plano de Contas'!A:A,'Plano de Contas'!D:D)</f>
        <v>05 - Custo do Produto</v>
      </c>
    </row>
    <row r="1075" spans="1:5" x14ac:dyDescent="0.25">
      <c r="A1075" s="23">
        <f t="shared" si="14"/>
        <v>43678</v>
      </c>
      <c r="B1075" s="5" t="s">
        <v>144</v>
      </c>
      <c r="C1075" s="5">
        <v>-238564</v>
      </c>
      <c r="D1075" s="5" t="str">
        <f>_xlfn.XLOOKUP(fOrcado[[#This Row],[Conta]],'Plano de Contas'!A:A,'Plano de Contas'!C:C)</f>
        <v>(-) Custos de Vendas</v>
      </c>
      <c r="E1075" s="5" t="str">
        <f>_xlfn.XLOOKUP(fOrcado[[#This Row],[Conta]],'Plano de Contas'!A:A,'Plano de Contas'!D:D)</f>
        <v>05 - Custo do Produto</v>
      </c>
    </row>
    <row r="1076" spans="1:5" x14ac:dyDescent="0.25">
      <c r="A1076" s="23">
        <f t="shared" si="14"/>
        <v>43678</v>
      </c>
      <c r="B1076" s="5" t="s">
        <v>145</v>
      </c>
      <c r="C1076" s="5">
        <v>-217708</v>
      </c>
      <c r="D1076" s="5" t="str">
        <f>_xlfn.XLOOKUP(fOrcado[[#This Row],[Conta]],'Plano de Contas'!A:A,'Plano de Contas'!C:C)</f>
        <v>(-) Custos de Vendas</v>
      </c>
      <c r="E1076" s="5" t="str">
        <f>_xlfn.XLOOKUP(fOrcado[[#This Row],[Conta]],'Plano de Contas'!A:A,'Plano de Contas'!D:D)</f>
        <v>05 - Custo do Produto</v>
      </c>
    </row>
    <row r="1077" spans="1:5" x14ac:dyDescent="0.25">
      <c r="A1077" s="23">
        <f t="shared" si="14"/>
        <v>43678</v>
      </c>
      <c r="B1077" s="5" t="s">
        <v>146</v>
      </c>
      <c r="C1077" s="5">
        <v>-200587</v>
      </c>
      <c r="D1077" s="5" t="str">
        <f>_xlfn.XLOOKUP(fOrcado[[#This Row],[Conta]],'Plano de Contas'!A:A,'Plano de Contas'!C:C)</f>
        <v>(-) Custos de Vendas</v>
      </c>
      <c r="E1077" s="5" t="str">
        <f>_xlfn.XLOOKUP(fOrcado[[#This Row],[Conta]],'Plano de Contas'!A:A,'Plano de Contas'!D:D)</f>
        <v>05 - Custo do Produto</v>
      </c>
    </row>
    <row r="1078" spans="1:5" x14ac:dyDescent="0.25">
      <c r="A1078" s="23">
        <f t="shared" si="14"/>
        <v>43678</v>
      </c>
      <c r="B1078" s="5" t="s">
        <v>147</v>
      </c>
      <c r="C1078" s="5">
        <v>-233733</v>
      </c>
      <c r="D1078" s="5" t="str">
        <f>_xlfn.XLOOKUP(fOrcado[[#This Row],[Conta]],'Plano de Contas'!A:A,'Plano de Contas'!C:C)</f>
        <v>(-) Custos de Vendas</v>
      </c>
      <c r="E1078" s="5" t="str">
        <f>_xlfn.XLOOKUP(fOrcado[[#This Row],[Conta]],'Plano de Contas'!A:A,'Plano de Contas'!D:D)</f>
        <v>05 - Custo do Produto</v>
      </c>
    </row>
    <row r="1079" spans="1:5" x14ac:dyDescent="0.25">
      <c r="A1079" s="23">
        <f t="shared" si="14"/>
        <v>43678</v>
      </c>
      <c r="B1079" s="5" t="s">
        <v>148</v>
      </c>
      <c r="C1079" s="5">
        <v>-243881</v>
      </c>
      <c r="D1079" s="5" t="str">
        <f>_xlfn.XLOOKUP(fOrcado[[#This Row],[Conta]],'Plano de Contas'!A:A,'Plano de Contas'!C:C)</f>
        <v>(-) Custos de Vendas</v>
      </c>
      <c r="E1079" s="5" t="str">
        <f>_xlfn.XLOOKUP(fOrcado[[#This Row],[Conta]],'Plano de Contas'!A:A,'Plano de Contas'!D:D)</f>
        <v>05 - Custo do Produto</v>
      </c>
    </row>
    <row r="1080" spans="1:5" x14ac:dyDescent="0.25">
      <c r="A1080" s="23">
        <f t="shared" si="14"/>
        <v>43678</v>
      </c>
      <c r="B1080" s="5" t="s">
        <v>149</v>
      </c>
      <c r="C1080" s="5">
        <v>-222406</v>
      </c>
      <c r="D1080" s="5" t="str">
        <f>_xlfn.XLOOKUP(fOrcado[[#This Row],[Conta]],'Plano de Contas'!A:A,'Plano de Contas'!C:C)</f>
        <v>(-) Custos de Vendas</v>
      </c>
      <c r="E1080" s="5" t="str">
        <f>_xlfn.XLOOKUP(fOrcado[[#This Row],[Conta]],'Plano de Contas'!A:A,'Plano de Contas'!D:D)</f>
        <v>05 - Custo do Produto</v>
      </c>
    </row>
    <row r="1081" spans="1:5" x14ac:dyDescent="0.25">
      <c r="A1081" s="23">
        <f t="shared" si="14"/>
        <v>43678</v>
      </c>
      <c r="B1081" s="5" t="s">
        <v>150</v>
      </c>
      <c r="C1081" s="5">
        <v>-201029</v>
      </c>
      <c r="D1081" s="5" t="str">
        <f>_xlfn.XLOOKUP(fOrcado[[#This Row],[Conta]],'Plano de Contas'!A:A,'Plano de Contas'!C:C)</f>
        <v>(-) Custos de Vendas</v>
      </c>
      <c r="E1081" s="5" t="str">
        <f>_xlfn.XLOOKUP(fOrcado[[#This Row],[Conta]],'Plano de Contas'!A:A,'Plano de Contas'!D:D)</f>
        <v>05 - Custo do Produto</v>
      </c>
    </row>
    <row r="1082" spans="1:5" x14ac:dyDescent="0.25">
      <c r="A1082" s="23">
        <f t="shared" si="14"/>
        <v>43678</v>
      </c>
      <c r="B1082" s="5" t="s">
        <v>151</v>
      </c>
      <c r="C1082" s="5">
        <v>-169238</v>
      </c>
      <c r="D1082" s="5" t="str">
        <f>_xlfn.XLOOKUP(fOrcado[[#This Row],[Conta]],'Plano de Contas'!A:A,'Plano de Contas'!C:C)</f>
        <v>(-) Custos de Vendas</v>
      </c>
      <c r="E1082" s="5" t="str">
        <f>_xlfn.XLOOKUP(fOrcado[[#This Row],[Conta]],'Plano de Contas'!A:A,'Plano de Contas'!D:D)</f>
        <v>05 - Custo do Produto</v>
      </c>
    </row>
    <row r="1083" spans="1:5" x14ac:dyDescent="0.25">
      <c r="A1083" s="23">
        <f t="shared" si="14"/>
        <v>43678</v>
      </c>
      <c r="B1083" s="5" t="s">
        <v>152</v>
      </c>
      <c r="C1083" s="5">
        <v>-231523</v>
      </c>
      <c r="D1083" s="5" t="str">
        <f>_xlfn.XLOOKUP(fOrcado[[#This Row],[Conta]],'Plano de Contas'!A:A,'Plano de Contas'!C:C)</f>
        <v>(-) Custos de Vendas</v>
      </c>
      <c r="E1083" s="5" t="str">
        <f>_xlfn.XLOOKUP(fOrcado[[#This Row],[Conta]],'Plano de Contas'!A:A,'Plano de Contas'!D:D)</f>
        <v>05 - Custo do Produto</v>
      </c>
    </row>
    <row r="1084" spans="1:5" x14ac:dyDescent="0.25">
      <c r="A1084" s="23">
        <f t="shared" si="14"/>
        <v>43678</v>
      </c>
      <c r="B1084" s="5" t="s">
        <v>153</v>
      </c>
      <c r="C1084" s="5">
        <v>-256332</v>
      </c>
      <c r="D1084" s="5" t="str">
        <f>_xlfn.XLOOKUP(fOrcado[[#This Row],[Conta]],'Plano de Contas'!A:A,'Plano de Contas'!C:C)</f>
        <v>(-) Custos de Vendas</v>
      </c>
      <c r="E1084" s="5" t="str">
        <f>_xlfn.XLOOKUP(fOrcado[[#This Row],[Conta]],'Plano de Contas'!A:A,'Plano de Contas'!D:D)</f>
        <v>05 - Custo do Produto</v>
      </c>
    </row>
    <row r="1085" spans="1:5" x14ac:dyDescent="0.25">
      <c r="A1085" s="23">
        <f t="shared" si="14"/>
        <v>43678</v>
      </c>
      <c r="B1085" s="5" t="s">
        <v>154</v>
      </c>
      <c r="C1085" s="5">
        <v>-233528</v>
      </c>
      <c r="D1085" s="5" t="str">
        <f>_xlfn.XLOOKUP(fOrcado[[#This Row],[Conta]],'Plano de Contas'!A:A,'Plano de Contas'!C:C)</f>
        <v>(-) Custos de Vendas</v>
      </c>
      <c r="E1085" s="5" t="str">
        <f>_xlfn.XLOOKUP(fOrcado[[#This Row],[Conta]],'Plano de Contas'!A:A,'Plano de Contas'!D:D)</f>
        <v>05 - Custo do Produto</v>
      </c>
    </row>
    <row r="1086" spans="1:5" x14ac:dyDescent="0.25">
      <c r="A1086" s="23">
        <f t="shared" si="14"/>
        <v>43678</v>
      </c>
      <c r="B1086" s="5" t="s">
        <v>155</v>
      </c>
      <c r="C1086" s="5">
        <v>-234472</v>
      </c>
      <c r="D1086" s="5" t="str">
        <f>_xlfn.XLOOKUP(fOrcado[[#This Row],[Conta]],'Plano de Contas'!A:A,'Plano de Contas'!C:C)</f>
        <v>(-) Custos de Vendas</v>
      </c>
      <c r="E1086" s="5" t="str">
        <f>_xlfn.XLOOKUP(fOrcado[[#This Row],[Conta]],'Plano de Contas'!A:A,'Plano de Contas'!D:D)</f>
        <v>05 - Custo do Produto</v>
      </c>
    </row>
    <row r="1087" spans="1:5" x14ac:dyDescent="0.25">
      <c r="A1087" s="23">
        <f t="shared" si="14"/>
        <v>43678</v>
      </c>
      <c r="B1087" s="5" t="s">
        <v>156</v>
      </c>
      <c r="C1087" s="5">
        <v>-250427</v>
      </c>
      <c r="D1087" s="5" t="str">
        <f>_xlfn.XLOOKUP(fOrcado[[#This Row],[Conta]],'Plano de Contas'!A:A,'Plano de Contas'!C:C)</f>
        <v>(-) Custos de Vendas</v>
      </c>
      <c r="E1087" s="5" t="str">
        <f>_xlfn.XLOOKUP(fOrcado[[#This Row],[Conta]],'Plano de Contas'!A:A,'Plano de Contas'!D:D)</f>
        <v>05 - Custo do Produto</v>
      </c>
    </row>
    <row r="1088" spans="1:5" x14ac:dyDescent="0.25">
      <c r="A1088" s="23">
        <f t="shared" si="14"/>
        <v>43678</v>
      </c>
      <c r="B1088" s="5" t="s">
        <v>157</v>
      </c>
      <c r="C1088" s="5">
        <v>-205408</v>
      </c>
      <c r="D1088" s="5" t="str">
        <f>_xlfn.XLOOKUP(fOrcado[[#This Row],[Conta]],'Plano de Contas'!A:A,'Plano de Contas'!C:C)</f>
        <v>(-) Custos de Vendas</v>
      </c>
      <c r="E1088" s="5" t="str">
        <f>_xlfn.XLOOKUP(fOrcado[[#This Row],[Conta]],'Plano de Contas'!A:A,'Plano de Contas'!D:D)</f>
        <v>05 - Custo do Produto</v>
      </c>
    </row>
    <row r="1089" spans="1:5" x14ac:dyDescent="0.25">
      <c r="A1089" s="23">
        <f t="shared" si="14"/>
        <v>43678</v>
      </c>
      <c r="B1089" s="5" t="s">
        <v>158</v>
      </c>
      <c r="C1089" s="5">
        <v>-216077</v>
      </c>
      <c r="D1089" s="5" t="str">
        <f>_xlfn.XLOOKUP(fOrcado[[#This Row],[Conta]],'Plano de Contas'!A:A,'Plano de Contas'!C:C)</f>
        <v>(-) Custos de Vendas</v>
      </c>
      <c r="E1089" s="5" t="str">
        <f>_xlfn.XLOOKUP(fOrcado[[#This Row],[Conta]],'Plano de Contas'!A:A,'Plano de Contas'!D:D)</f>
        <v>05 - Custo do Produto</v>
      </c>
    </row>
    <row r="1090" spans="1:5" x14ac:dyDescent="0.25">
      <c r="A1090" s="23">
        <f t="shared" si="14"/>
        <v>43678</v>
      </c>
      <c r="B1090" s="5" t="s">
        <v>159</v>
      </c>
      <c r="C1090" s="5">
        <v>-113441</v>
      </c>
      <c r="D1090" s="5" t="str">
        <f>_xlfn.XLOOKUP(fOrcado[[#This Row],[Conta]],'Plano de Contas'!A:A,'Plano de Contas'!C:C)</f>
        <v>(-) Custos de Vendas</v>
      </c>
      <c r="E1090" s="5" t="str">
        <f>_xlfn.XLOOKUP(fOrcado[[#This Row],[Conta]],'Plano de Contas'!A:A,'Plano de Contas'!D:D)</f>
        <v>05 - Custo do Produto</v>
      </c>
    </row>
    <row r="1091" spans="1:5" x14ac:dyDescent="0.25">
      <c r="A1091" s="23">
        <f t="shared" si="14"/>
        <v>43678</v>
      </c>
      <c r="B1091" s="5" t="s">
        <v>160</v>
      </c>
      <c r="C1091" s="5">
        <v>-156742</v>
      </c>
      <c r="D1091" s="5" t="str">
        <f>_xlfn.XLOOKUP(fOrcado[[#This Row],[Conta]],'Plano de Contas'!A:A,'Plano de Contas'!C:C)</f>
        <v>(-) Custos de Vendas</v>
      </c>
      <c r="E1091" s="5" t="str">
        <f>_xlfn.XLOOKUP(fOrcado[[#This Row],[Conta]],'Plano de Contas'!A:A,'Plano de Contas'!D:D)</f>
        <v>05 - Custo do Produto</v>
      </c>
    </row>
    <row r="1092" spans="1:5" x14ac:dyDescent="0.25">
      <c r="A1092" s="23">
        <f t="shared" si="14"/>
        <v>43678</v>
      </c>
      <c r="B1092" s="5" t="s">
        <v>161</v>
      </c>
      <c r="C1092" s="5">
        <v>-187107</v>
      </c>
      <c r="D1092" s="5" t="str">
        <f>_xlfn.XLOOKUP(fOrcado[[#This Row],[Conta]],'Plano de Contas'!A:A,'Plano de Contas'!C:C)</f>
        <v>(-) Custos de Vendas</v>
      </c>
      <c r="E1092" s="5" t="str">
        <f>_xlfn.XLOOKUP(fOrcado[[#This Row],[Conta]],'Plano de Contas'!A:A,'Plano de Contas'!D:D)</f>
        <v>05 - Custo do Produto</v>
      </c>
    </row>
    <row r="1093" spans="1:5" x14ac:dyDescent="0.25">
      <c r="A1093" s="23">
        <f t="shared" si="14"/>
        <v>43678</v>
      </c>
      <c r="B1093" s="5" t="s">
        <v>162</v>
      </c>
      <c r="C1093" s="5">
        <v>-172485</v>
      </c>
      <c r="D1093" s="5" t="str">
        <f>_xlfn.XLOOKUP(fOrcado[[#This Row],[Conta]],'Plano de Contas'!A:A,'Plano de Contas'!C:C)</f>
        <v>(-) Custos de Vendas</v>
      </c>
      <c r="E1093" s="5" t="str">
        <f>_xlfn.XLOOKUP(fOrcado[[#This Row],[Conta]],'Plano de Contas'!A:A,'Plano de Contas'!D:D)</f>
        <v>05 - Custo do Produto</v>
      </c>
    </row>
    <row r="1094" spans="1:5" x14ac:dyDescent="0.25">
      <c r="A1094" s="23">
        <f t="shared" si="14"/>
        <v>43678</v>
      </c>
      <c r="B1094" s="5" t="s">
        <v>163</v>
      </c>
      <c r="C1094" s="5">
        <v>-272776</v>
      </c>
      <c r="D1094" s="5" t="str">
        <f>_xlfn.XLOOKUP(fOrcado[[#This Row],[Conta]],'Plano de Contas'!A:A,'Plano de Contas'!C:C)</f>
        <v>(-) Custos de Vendas</v>
      </c>
      <c r="E1094" s="5" t="str">
        <f>_xlfn.XLOOKUP(fOrcado[[#This Row],[Conta]],'Plano de Contas'!A:A,'Plano de Contas'!D:D)</f>
        <v>05 - Custo do Produto</v>
      </c>
    </row>
    <row r="1095" spans="1:5" x14ac:dyDescent="0.25">
      <c r="A1095" s="23">
        <f t="shared" si="14"/>
        <v>43678</v>
      </c>
      <c r="B1095" s="5" t="s">
        <v>164</v>
      </c>
      <c r="C1095" s="5">
        <v>-81474</v>
      </c>
      <c r="D1095" s="5" t="str">
        <f>_xlfn.XLOOKUP(fOrcado[[#This Row],[Conta]],'Plano de Contas'!A:A,'Plano de Contas'!C:C)</f>
        <v>(-) Custos de Vendas</v>
      </c>
      <c r="E1095" s="5" t="str">
        <f>_xlfn.XLOOKUP(fOrcado[[#This Row],[Conta]],'Plano de Contas'!A:A,'Plano de Contas'!D:D)</f>
        <v>06 - Outros Custos</v>
      </c>
    </row>
    <row r="1096" spans="1:5" x14ac:dyDescent="0.25">
      <c r="A1096" s="23">
        <f t="shared" si="14"/>
        <v>43678</v>
      </c>
      <c r="B1096" s="5" t="s">
        <v>165</v>
      </c>
      <c r="C1096" s="5">
        <v>-54188</v>
      </c>
      <c r="D1096" s="5" t="str">
        <f>_xlfn.XLOOKUP(fOrcado[[#This Row],[Conta]],'Plano de Contas'!A:A,'Plano de Contas'!C:C)</f>
        <v>(-) Custos de Vendas</v>
      </c>
      <c r="E1096" s="5" t="str">
        <f>_xlfn.XLOOKUP(fOrcado[[#This Row],[Conta]],'Plano de Contas'!A:A,'Plano de Contas'!D:D)</f>
        <v>06 - Outros Custos</v>
      </c>
    </row>
    <row r="1097" spans="1:5" x14ac:dyDescent="0.25">
      <c r="A1097" s="23">
        <f t="shared" si="14"/>
        <v>43678</v>
      </c>
      <c r="B1097" s="5" t="s">
        <v>166</v>
      </c>
      <c r="C1097" s="5">
        <v>-74128</v>
      </c>
      <c r="D1097" s="5" t="str">
        <f>_xlfn.XLOOKUP(fOrcado[[#This Row],[Conta]],'Plano de Contas'!A:A,'Plano de Contas'!C:C)</f>
        <v>(-) Custos de Vendas</v>
      </c>
      <c r="E1097" s="5" t="str">
        <f>_xlfn.XLOOKUP(fOrcado[[#This Row],[Conta]],'Plano de Contas'!A:A,'Plano de Contas'!D:D)</f>
        <v>06 - Outros Custos</v>
      </c>
    </row>
    <row r="1098" spans="1:5" x14ac:dyDescent="0.25">
      <c r="A1098" s="23">
        <f t="shared" si="14"/>
        <v>43678</v>
      </c>
      <c r="B1098" s="5" t="s">
        <v>167</v>
      </c>
      <c r="C1098" s="5">
        <v>-278038</v>
      </c>
      <c r="D1098" s="5" t="str">
        <f>_xlfn.XLOOKUP(fOrcado[[#This Row],[Conta]],'Plano de Contas'!A:A,'Plano de Contas'!C:C)</f>
        <v>(-) Despesas Gerais</v>
      </c>
      <c r="E1098" s="5" t="str">
        <f>_xlfn.XLOOKUP(fOrcado[[#This Row],[Conta]],'Plano de Contas'!A:A,'Plano de Contas'!D:D)</f>
        <v>07 - Despesas Administrativas</v>
      </c>
    </row>
    <row r="1099" spans="1:5" x14ac:dyDescent="0.25">
      <c r="A1099" s="23">
        <f t="shared" si="14"/>
        <v>43678</v>
      </c>
      <c r="B1099" s="5" t="s">
        <v>168</v>
      </c>
      <c r="C1099" s="5">
        <v>-180665</v>
      </c>
      <c r="D1099" s="5" t="str">
        <f>_xlfn.XLOOKUP(fOrcado[[#This Row],[Conta]],'Plano de Contas'!A:A,'Plano de Contas'!C:C)</f>
        <v>(-) Despesas Gerais</v>
      </c>
      <c r="E1099" s="5" t="str">
        <f>_xlfn.XLOOKUP(fOrcado[[#This Row],[Conta]],'Plano de Contas'!A:A,'Plano de Contas'!D:D)</f>
        <v>07 - Despesas Administrativas</v>
      </c>
    </row>
    <row r="1100" spans="1:5" x14ac:dyDescent="0.25">
      <c r="A1100" s="23">
        <f t="shared" si="14"/>
        <v>43678</v>
      </c>
      <c r="B1100" s="5" t="s">
        <v>169</v>
      </c>
      <c r="C1100" s="5">
        <v>-242713</v>
      </c>
      <c r="D1100" s="5" t="str">
        <f>_xlfn.XLOOKUP(fOrcado[[#This Row],[Conta]],'Plano de Contas'!A:A,'Plano de Contas'!C:C)</f>
        <v>(-) Despesas Gerais</v>
      </c>
      <c r="E1100" s="5" t="str">
        <f>_xlfn.XLOOKUP(fOrcado[[#This Row],[Conta]],'Plano de Contas'!A:A,'Plano de Contas'!D:D)</f>
        <v>07 - Despesas Administrativas</v>
      </c>
    </row>
    <row r="1101" spans="1:5" x14ac:dyDescent="0.25">
      <c r="A1101" s="23">
        <f t="shared" si="14"/>
        <v>43678</v>
      </c>
      <c r="B1101" s="5" t="s">
        <v>170</v>
      </c>
      <c r="C1101" s="5">
        <v>-355598</v>
      </c>
      <c r="D1101" s="5" t="str">
        <f>_xlfn.XLOOKUP(fOrcado[[#This Row],[Conta]],'Plano de Contas'!A:A,'Plano de Contas'!C:C)</f>
        <v>(-) Despesas Gerais</v>
      </c>
      <c r="E1101" s="5" t="str">
        <f>_xlfn.XLOOKUP(fOrcado[[#This Row],[Conta]],'Plano de Contas'!A:A,'Plano de Contas'!D:D)</f>
        <v>07 - Despesas Administrativas</v>
      </c>
    </row>
    <row r="1102" spans="1:5" x14ac:dyDescent="0.25">
      <c r="A1102" s="23">
        <f t="shared" si="14"/>
        <v>43678</v>
      </c>
      <c r="B1102" s="5" t="s">
        <v>171</v>
      </c>
      <c r="C1102" s="5">
        <v>-265144</v>
      </c>
      <c r="D1102" s="5" t="str">
        <f>_xlfn.XLOOKUP(fOrcado[[#This Row],[Conta]],'Plano de Contas'!A:A,'Plano de Contas'!C:C)</f>
        <v>(-) Despesas Gerais</v>
      </c>
      <c r="E1102" s="5" t="str">
        <f>_xlfn.XLOOKUP(fOrcado[[#This Row],[Conta]],'Plano de Contas'!A:A,'Plano de Contas'!D:D)</f>
        <v>07 - Despesas Administrativas</v>
      </c>
    </row>
    <row r="1103" spans="1:5" x14ac:dyDescent="0.25">
      <c r="A1103" s="23">
        <f t="shared" ref="A1103:A1144" si="15">EDATE(A963,1)</f>
        <v>43678</v>
      </c>
      <c r="B1103" s="5" t="s">
        <v>172</v>
      </c>
      <c r="C1103" s="5">
        <v>-302768</v>
      </c>
      <c r="D1103" s="5" t="str">
        <f>_xlfn.XLOOKUP(fOrcado[[#This Row],[Conta]],'Plano de Contas'!A:A,'Plano de Contas'!C:C)</f>
        <v>(-) Despesas Gerais</v>
      </c>
      <c r="E1103" s="5" t="str">
        <f>_xlfn.XLOOKUP(fOrcado[[#This Row],[Conta]],'Plano de Contas'!A:A,'Plano de Contas'!D:D)</f>
        <v>07 - Despesas Administrativas</v>
      </c>
    </row>
    <row r="1104" spans="1:5" x14ac:dyDescent="0.25">
      <c r="A1104" s="23">
        <f t="shared" si="15"/>
        <v>43678</v>
      </c>
      <c r="B1104" s="5" t="s">
        <v>173</v>
      </c>
      <c r="C1104" s="5">
        <v>-44823</v>
      </c>
      <c r="D1104" s="5" t="str">
        <f>_xlfn.XLOOKUP(fOrcado[[#This Row],[Conta]],'Plano de Contas'!A:A,'Plano de Contas'!C:C)</f>
        <v>(-) Despesas Gerais</v>
      </c>
      <c r="E1104" s="5" t="str">
        <f>_xlfn.XLOOKUP(fOrcado[[#This Row],[Conta]],'Plano de Contas'!A:A,'Plano de Contas'!D:D)</f>
        <v>08 - Despesas Financeiras</v>
      </c>
    </row>
    <row r="1105" spans="1:5" x14ac:dyDescent="0.25">
      <c r="A1105" s="23">
        <f t="shared" si="15"/>
        <v>43678</v>
      </c>
      <c r="B1105" s="5" t="s">
        <v>174</v>
      </c>
      <c r="C1105" s="5">
        <v>-55101</v>
      </c>
      <c r="D1105" s="5" t="str">
        <f>_xlfn.XLOOKUP(fOrcado[[#This Row],[Conta]],'Plano de Contas'!A:A,'Plano de Contas'!C:C)</f>
        <v>(-) Despesas Gerais</v>
      </c>
      <c r="E1105" s="5" t="str">
        <f>_xlfn.XLOOKUP(fOrcado[[#This Row],[Conta]],'Plano de Contas'!A:A,'Plano de Contas'!D:D)</f>
        <v>08 - Despesas Financeiras</v>
      </c>
    </row>
    <row r="1106" spans="1:5" x14ac:dyDescent="0.25">
      <c r="A1106" s="23">
        <f t="shared" si="15"/>
        <v>43678</v>
      </c>
      <c r="B1106" s="5" t="s">
        <v>175</v>
      </c>
      <c r="C1106" s="5">
        <v>-53763</v>
      </c>
      <c r="D1106" s="5" t="str">
        <f>_xlfn.XLOOKUP(fOrcado[[#This Row],[Conta]],'Plano de Contas'!A:A,'Plano de Contas'!C:C)</f>
        <v>(-) Despesas Gerais</v>
      </c>
      <c r="E1106" s="5" t="str">
        <f>_xlfn.XLOOKUP(fOrcado[[#This Row],[Conta]],'Plano de Contas'!A:A,'Plano de Contas'!D:D)</f>
        <v>08 - Despesas Financeiras</v>
      </c>
    </row>
    <row r="1107" spans="1:5" x14ac:dyDescent="0.25">
      <c r="A1107" s="23">
        <f t="shared" si="15"/>
        <v>43678</v>
      </c>
      <c r="B1107" s="5" t="s">
        <v>176</v>
      </c>
      <c r="C1107" s="5">
        <v>-40122</v>
      </c>
      <c r="D1107" s="5" t="str">
        <f>_xlfn.XLOOKUP(fOrcado[[#This Row],[Conta]],'Plano de Contas'!A:A,'Plano de Contas'!C:C)</f>
        <v>(-) Despesas Gerais</v>
      </c>
      <c r="E1107" s="5" t="str">
        <f>_xlfn.XLOOKUP(fOrcado[[#This Row],[Conta]],'Plano de Contas'!A:A,'Plano de Contas'!D:D)</f>
        <v>08 - Despesas Financeiras</v>
      </c>
    </row>
    <row r="1108" spans="1:5" x14ac:dyDescent="0.25">
      <c r="A1108" s="23">
        <f t="shared" si="15"/>
        <v>43678</v>
      </c>
      <c r="B1108" s="5" t="s">
        <v>177</v>
      </c>
      <c r="C1108" s="5">
        <v>-46235</v>
      </c>
      <c r="D1108" s="5" t="str">
        <f>_xlfn.XLOOKUP(fOrcado[[#This Row],[Conta]],'Plano de Contas'!A:A,'Plano de Contas'!C:C)</f>
        <v>(-) Despesas Gerais</v>
      </c>
      <c r="E1108" s="5" t="str">
        <f>_xlfn.XLOOKUP(fOrcado[[#This Row],[Conta]],'Plano de Contas'!A:A,'Plano de Contas'!D:D)</f>
        <v>08 - Despesas Financeiras</v>
      </c>
    </row>
    <row r="1109" spans="1:5" x14ac:dyDescent="0.25">
      <c r="A1109" s="23">
        <f t="shared" si="15"/>
        <v>43678</v>
      </c>
      <c r="B1109" s="5" t="s">
        <v>178</v>
      </c>
      <c r="C1109" s="5">
        <v>-237185</v>
      </c>
      <c r="D1109" s="5" t="str">
        <f>_xlfn.XLOOKUP(fOrcado[[#This Row],[Conta]],'Plano de Contas'!A:A,'Plano de Contas'!C:C)</f>
        <v>(-) Despesas Gerais</v>
      </c>
      <c r="E1109" s="5" t="str">
        <f>_xlfn.XLOOKUP(fOrcado[[#This Row],[Conta]],'Plano de Contas'!A:A,'Plano de Contas'!D:D)</f>
        <v>09 - Tecnologia da Informação</v>
      </c>
    </row>
    <row r="1110" spans="1:5" x14ac:dyDescent="0.25">
      <c r="A1110" s="23">
        <f t="shared" si="15"/>
        <v>43678</v>
      </c>
      <c r="B1110" s="5" t="s">
        <v>179</v>
      </c>
      <c r="C1110" s="5">
        <v>-182692</v>
      </c>
      <c r="D1110" s="5" t="str">
        <f>_xlfn.XLOOKUP(fOrcado[[#This Row],[Conta]],'Plano de Contas'!A:A,'Plano de Contas'!C:C)</f>
        <v>(-) Despesas Gerais</v>
      </c>
      <c r="E1110" s="5" t="str">
        <f>_xlfn.XLOOKUP(fOrcado[[#This Row],[Conta]],'Plano de Contas'!A:A,'Plano de Contas'!D:D)</f>
        <v>09 - Tecnologia da Informação</v>
      </c>
    </row>
    <row r="1111" spans="1:5" x14ac:dyDescent="0.25">
      <c r="A1111" s="23">
        <f t="shared" si="15"/>
        <v>43678</v>
      </c>
      <c r="B1111" s="5" t="s">
        <v>180</v>
      </c>
      <c r="C1111" s="5">
        <v>-238292</v>
      </c>
      <c r="D1111" s="5" t="str">
        <f>_xlfn.XLOOKUP(fOrcado[[#This Row],[Conta]],'Plano de Contas'!A:A,'Plano de Contas'!C:C)</f>
        <v>(-) Despesas Gerais</v>
      </c>
      <c r="E1111" s="5" t="str">
        <f>_xlfn.XLOOKUP(fOrcado[[#This Row],[Conta]],'Plano de Contas'!A:A,'Plano de Contas'!D:D)</f>
        <v>09 - Tecnologia da Informação</v>
      </c>
    </row>
    <row r="1112" spans="1:5" x14ac:dyDescent="0.25">
      <c r="A1112" s="23">
        <f t="shared" si="15"/>
        <v>43678</v>
      </c>
      <c r="B1112" s="5" t="s">
        <v>181</v>
      </c>
      <c r="C1112" s="5">
        <v>-59199</v>
      </c>
      <c r="D1112" s="5" t="str">
        <f>_xlfn.XLOOKUP(fOrcado[[#This Row],[Conta]],'Plano de Contas'!A:A,'Plano de Contas'!C:C)</f>
        <v>(-) Despesas Gerais</v>
      </c>
      <c r="E1112" s="5" t="str">
        <f>_xlfn.XLOOKUP(fOrcado[[#This Row],[Conta]],'Plano de Contas'!A:A,'Plano de Contas'!D:D)</f>
        <v>10 - Recursos Humanos</v>
      </c>
    </row>
    <row r="1113" spans="1:5" x14ac:dyDescent="0.25">
      <c r="A1113" s="23">
        <f t="shared" si="15"/>
        <v>43678</v>
      </c>
      <c r="B1113" s="5" t="s">
        <v>182</v>
      </c>
      <c r="C1113" s="5">
        <v>-78442</v>
      </c>
      <c r="D1113" s="5" t="str">
        <f>_xlfn.XLOOKUP(fOrcado[[#This Row],[Conta]],'Plano de Contas'!A:A,'Plano de Contas'!C:C)</f>
        <v>(-) Despesas Gerais</v>
      </c>
      <c r="E1113" s="5" t="str">
        <f>_xlfn.XLOOKUP(fOrcado[[#This Row],[Conta]],'Plano de Contas'!A:A,'Plano de Contas'!D:D)</f>
        <v>10 - Recursos Humanos</v>
      </c>
    </row>
    <row r="1114" spans="1:5" x14ac:dyDescent="0.25">
      <c r="A1114" s="23">
        <f t="shared" si="15"/>
        <v>43678</v>
      </c>
      <c r="B1114" s="5" t="s">
        <v>183</v>
      </c>
      <c r="C1114" s="5">
        <v>-59897</v>
      </c>
      <c r="D1114" s="5" t="str">
        <f>_xlfn.XLOOKUP(fOrcado[[#This Row],[Conta]],'Plano de Contas'!A:A,'Plano de Contas'!C:C)</f>
        <v>(-) Despesas Gerais</v>
      </c>
      <c r="E1114" s="5" t="str">
        <f>_xlfn.XLOOKUP(fOrcado[[#This Row],[Conta]],'Plano de Contas'!A:A,'Plano de Contas'!D:D)</f>
        <v>10 - Recursos Humanos</v>
      </c>
    </row>
    <row r="1115" spans="1:5" x14ac:dyDescent="0.25">
      <c r="A1115" s="23">
        <f t="shared" si="15"/>
        <v>43678</v>
      </c>
      <c r="B1115" s="5" t="s">
        <v>184</v>
      </c>
      <c r="C1115" s="5">
        <v>-78605</v>
      </c>
      <c r="D1115" s="5" t="str">
        <f>_xlfn.XLOOKUP(fOrcado[[#This Row],[Conta]],'Plano de Contas'!A:A,'Plano de Contas'!C:C)</f>
        <v>(-) Despesas Gerais</v>
      </c>
      <c r="E1115" s="5" t="str">
        <f>_xlfn.XLOOKUP(fOrcado[[#This Row],[Conta]],'Plano de Contas'!A:A,'Plano de Contas'!D:D)</f>
        <v>10 - Recursos Humanos</v>
      </c>
    </row>
    <row r="1116" spans="1:5" x14ac:dyDescent="0.25">
      <c r="A1116" s="23">
        <f t="shared" si="15"/>
        <v>43678</v>
      </c>
      <c r="B1116" s="5" t="s">
        <v>185</v>
      </c>
      <c r="C1116" s="5">
        <v>-117331</v>
      </c>
      <c r="D1116" s="5" t="str">
        <f>_xlfn.XLOOKUP(fOrcado[[#This Row],[Conta]],'Plano de Contas'!A:A,'Plano de Contas'!C:C)</f>
        <v>(-) Despesas Gerais</v>
      </c>
      <c r="E1116" s="5" t="str">
        <f>_xlfn.XLOOKUP(fOrcado[[#This Row],[Conta]],'Plano de Contas'!A:A,'Plano de Contas'!D:D)</f>
        <v>11 - Relacionamento com Cliente</v>
      </c>
    </row>
    <row r="1117" spans="1:5" x14ac:dyDescent="0.25">
      <c r="A1117" s="23">
        <f t="shared" si="15"/>
        <v>43678</v>
      </c>
      <c r="B1117" s="5" t="s">
        <v>186</v>
      </c>
      <c r="C1117" s="5">
        <v>-91738</v>
      </c>
      <c r="D1117" s="5" t="str">
        <f>_xlfn.XLOOKUP(fOrcado[[#This Row],[Conta]],'Plano de Contas'!A:A,'Plano de Contas'!C:C)</f>
        <v>(-) Despesas Gerais</v>
      </c>
      <c r="E1117" s="5" t="str">
        <f>_xlfn.XLOOKUP(fOrcado[[#This Row],[Conta]],'Plano de Contas'!A:A,'Plano de Contas'!D:D)</f>
        <v>11 - Relacionamento com Cliente</v>
      </c>
    </row>
    <row r="1118" spans="1:5" x14ac:dyDescent="0.25">
      <c r="A1118" s="23">
        <f t="shared" si="15"/>
        <v>43678</v>
      </c>
      <c r="B1118" s="5" t="s">
        <v>187</v>
      </c>
      <c r="C1118" s="5">
        <v>-191541</v>
      </c>
      <c r="D1118" s="5" t="str">
        <f>_xlfn.XLOOKUP(fOrcado[[#This Row],[Conta]],'Plano de Contas'!A:A,'Plano de Contas'!C:C)</f>
        <v>(-) Despesas Gerais</v>
      </c>
      <c r="E1118" s="5" t="str">
        <f>_xlfn.XLOOKUP(fOrcado[[#This Row],[Conta]],'Plano de Contas'!A:A,'Plano de Contas'!D:D)</f>
        <v>12 - Marketing e Divulgação</v>
      </c>
    </row>
    <row r="1119" spans="1:5" x14ac:dyDescent="0.25">
      <c r="A1119" s="23">
        <f t="shared" si="15"/>
        <v>43678</v>
      </c>
      <c r="B1119" s="5" t="s">
        <v>188</v>
      </c>
      <c r="C1119" s="5">
        <v>-134329</v>
      </c>
      <c r="D1119" s="5" t="str">
        <f>_xlfn.XLOOKUP(fOrcado[[#This Row],[Conta]],'Plano de Contas'!A:A,'Plano de Contas'!C:C)</f>
        <v>(-) Despesas Gerais</v>
      </c>
      <c r="E1119" s="5" t="str">
        <f>_xlfn.XLOOKUP(fOrcado[[#This Row],[Conta]],'Plano de Contas'!A:A,'Plano de Contas'!D:D)</f>
        <v>12 - Marketing e Divulgação</v>
      </c>
    </row>
    <row r="1120" spans="1:5" x14ac:dyDescent="0.25">
      <c r="A1120" s="23">
        <f t="shared" si="15"/>
        <v>43678</v>
      </c>
      <c r="B1120" s="5" t="s">
        <v>189</v>
      </c>
      <c r="C1120" s="5">
        <v>-9267</v>
      </c>
      <c r="D1120" s="5" t="str">
        <f>_xlfn.XLOOKUP(fOrcado[[#This Row],[Conta]],'Plano de Contas'!A:A,'Plano de Contas'!C:C)</f>
        <v>(-) Impostos</v>
      </c>
      <c r="E1120" s="5" t="str">
        <f>_xlfn.XLOOKUP(fOrcado[[#This Row],[Conta]],'Plano de Contas'!A:A,'Plano de Contas'!D:D)</f>
        <v>13 - Impostos Estaduais</v>
      </c>
    </row>
    <row r="1121" spans="1:5" x14ac:dyDescent="0.25">
      <c r="A1121" s="23">
        <f t="shared" si="15"/>
        <v>43678</v>
      </c>
      <c r="B1121" s="5" t="s">
        <v>190</v>
      </c>
      <c r="C1121" s="5">
        <v>-18074</v>
      </c>
      <c r="D1121" s="5" t="str">
        <f>_xlfn.XLOOKUP(fOrcado[[#This Row],[Conta]],'Plano de Contas'!A:A,'Plano de Contas'!C:C)</f>
        <v>(-) Impostos</v>
      </c>
      <c r="E1121" s="5" t="str">
        <f>_xlfn.XLOOKUP(fOrcado[[#This Row],[Conta]],'Plano de Contas'!A:A,'Plano de Contas'!D:D)</f>
        <v>14 - Impostos Federais</v>
      </c>
    </row>
    <row r="1122" spans="1:5" x14ac:dyDescent="0.25">
      <c r="A1122" s="23">
        <f t="shared" si="15"/>
        <v>43709</v>
      </c>
      <c r="B1122" s="5" t="s">
        <v>51</v>
      </c>
      <c r="C1122" s="5">
        <v>922481</v>
      </c>
      <c r="D1122" s="5" t="str">
        <f>_xlfn.XLOOKUP(fOrcado[[#This Row],[Conta]],'Plano de Contas'!A:A,'Plano de Contas'!C:C)</f>
        <v>(+) RECEITA BRUTA</v>
      </c>
      <c r="E1122" s="5" t="str">
        <f>_xlfn.XLOOKUP(fOrcado[[#This Row],[Conta]],'Plano de Contas'!A:A,'Plano de Contas'!D:D)</f>
        <v>01 - Vendas de Produtos</v>
      </c>
    </row>
    <row r="1123" spans="1:5" x14ac:dyDescent="0.25">
      <c r="A1123" s="23">
        <f t="shared" si="15"/>
        <v>43709</v>
      </c>
      <c r="B1123" s="5" t="s">
        <v>52</v>
      </c>
      <c r="C1123" s="5">
        <v>578764</v>
      </c>
      <c r="D1123" s="5" t="str">
        <f>_xlfn.XLOOKUP(fOrcado[[#This Row],[Conta]],'Plano de Contas'!A:A,'Plano de Contas'!C:C)</f>
        <v>(+) RECEITA BRUTA</v>
      </c>
      <c r="E1123" s="5" t="str">
        <f>_xlfn.XLOOKUP(fOrcado[[#This Row],[Conta]],'Plano de Contas'!A:A,'Plano de Contas'!D:D)</f>
        <v>01 - Vendas de Produtos</v>
      </c>
    </row>
    <row r="1124" spans="1:5" x14ac:dyDescent="0.25">
      <c r="A1124" s="23">
        <f t="shared" si="15"/>
        <v>43709</v>
      </c>
      <c r="B1124" s="5" t="s">
        <v>53</v>
      </c>
      <c r="C1124" s="5">
        <v>966534</v>
      </c>
      <c r="D1124" s="5" t="str">
        <f>_xlfn.XLOOKUP(fOrcado[[#This Row],[Conta]],'Plano de Contas'!A:A,'Plano de Contas'!C:C)</f>
        <v>(+) RECEITA BRUTA</v>
      </c>
      <c r="E1124" s="5" t="str">
        <f>_xlfn.XLOOKUP(fOrcado[[#This Row],[Conta]],'Plano de Contas'!A:A,'Plano de Contas'!D:D)</f>
        <v>01 - Vendas de Produtos</v>
      </c>
    </row>
    <row r="1125" spans="1:5" x14ac:dyDescent="0.25">
      <c r="A1125" s="23">
        <f t="shared" si="15"/>
        <v>43709</v>
      </c>
      <c r="B1125" s="5" t="s">
        <v>54</v>
      </c>
      <c r="C1125" s="5">
        <v>240069</v>
      </c>
      <c r="D1125" s="5" t="str">
        <f>_xlfn.XLOOKUP(fOrcado[[#This Row],[Conta]],'Plano de Contas'!A:A,'Plano de Contas'!C:C)</f>
        <v>(+) RECEITA BRUTA</v>
      </c>
      <c r="E1125" s="5" t="str">
        <f>_xlfn.XLOOKUP(fOrcado[[#This Row],[Conta]],'Plano de Contas'!A:A,'Plano de Contas'!D:D)</f>
        <v>01 - Vendas de Produtos</v>
      </c>
    </row>
    <row r="1126" spans="1:5" x14ac:dyDescent="0.25">
      <c r="A1126" s="23">
        <f t="shared" si="15"/>
        <v>43709</v>
      </c>
      <c r="B1126" s="5" t="s">
        <v>55</v>
      </c>
      <c r="C1126" s="5">
        <v>788828</v>
      </c>
      <c r="D1126" s="5" t="str">
        <f>_xlfn.XLOOKUP(fOrcado[[#This Row],[Conta]],'Plano de Contas'!A:A,'Plano de Contas'!C:C)</f>
        <v>(+) RECEITA BRUTA</v>
      </c>
      <c r="E1126" s="5" t="str">
        <f>_xlfn.XLOOKUP(fOrcado[[#This Row],[Conta]],'Plano de Contas'!A:A,'Plano de Contas'!D:D)</f>
        <v>01 - Vendas de Produtos</v>
      </c>
    </row>
    <row r="1127" spans="1:5" x14ac:dyDescent="0.25">
      <c r="A1127" s="23">
        <f t="shared" si="15"/>
        <v>43709</v>
      </c>
      <c r="B1127" s="5" t="s">
        <v>56</v>
      </c>
      <c r="C1127" s="5">
        <v>317773</v>
      </c>
      <c r="D1127" s="5" t="str">
        <f>_xlfn.XLOOKUP(fOrcado[[#This Row],[Conta]],'Plano de Contas'!A:A,'Plano de Contas'!C:C)</f>
        <v>(+) RECEITA BRUTA</v>
      </c>
      <c r="E1127" s="5" t="str">
        <f>_xlfn.XLOOKUP(fOrcado[[#This Row],[Conta]],'Plano de Contas'!A:A,'Plano de Contas'!D:D)</f>
        <v>01 - Vendas de Produtos</v>
      </c>
    </row>
    <row r="1128" spans="1:5" x14ac:dyDescent="0.25">
      <c r="A1128" s="23">
        <f t="shared" si="15"/>
        <v>43709</v>
      </c>
      <c r="B1128" s="5" t="s">
        <v>57</v>
      </c>
      <c r="C1128" s="5">
        <v>800363</v>
      </c>
      <c r="D1128" s="5" t="str">
        <f>_xlfn.XLOOKUP(fOrcado[[#This Row],[Conta]],'Plano de Contas'!A:A,'Plano de Contas'!C:C)</f>
        <v>(+) RECEITA BRUTA</v>
      </c>
      <c r="E1128" s="5" t="str">
        <f>_xlfn.XLOOKUP(fOrcado[[#This Row],[Conta]],'Plano de Contas'!A:A,'Plano de Contas'!D:D)</f>
        <v>01 - Vendas de Produtos</v>
      </c>
    </row>
    <row r="1129" spans="1:5" x14ac:dyDescent="0.25">
      <c r="A1129" s="23">
        <f t="shared" si="15"/>
        <v>43709</v>
      </c>
      <c r="B1129" s="5" t="s">
        <v>58</v>
      </c>
      <c r="C1129" s="5">
        <v>273675</v>
      </c>
      <c r="D1129" s="5" t="str">
        <f>_xlfn.XLOOKUP(fOrcado[[#This Row],[Conta]],'Plano de Contas'!A:A,'Plano de Contas'!C:C)</f>
        <v>(+) RECEITA BRUTA</v>
      </c>
      <c r="E1129" s="5" t="str">
        <f>_xlfn.XLOOKUP(fOrcado[[#This Row],[Conta]],'Plano de Contas'!A:A,'Plano de Contas'!D:D)</f>
        <v>01 - Vendas de Produtos</v>
      </c>
    </row>
    <row r="1130" spans="1:5" x14ac:dyDescent="0.25">
      <c r="A1130" s="23">
        <f t="shared" si="15"/>
        <v>43709</v>
      </c>
      <c r="B1130" s="5" t="s">
        <v>59</v>
      </c>
      <c r="C1130" s="5">
        <v>478308</v>
      </c>
      <c r="D1130" s="5" t="str">
        <f>_xlfn.XLOOKUP(fOrcado[[#This Row],[Conta]],'Plano de Contas'!A:A,'Plano de Contas'!C:C)</f>
        <v>(+) RECEITA BRUTA</v>
      </c>
      <c r="E1130" s="5" t="str">
        <f>_xlfn.XLOOKUP(fOrcado[[#This Row],[Conta]],'Plano de Contas'!A:A,'Plano de Contas'!D:D)</f>
        <v>01 - Vendas de Produtos</v>
      </c>
    </row>
    <row r="1131" spans="1:5" x14ac:dyDescent="0.25">
      <c r="A1131" s="23">
        <f t="shared" si="15"/>
        <v>43709</v>
      </c>
      <c r="B1131" s="5" t="s">
        <v>60</v>
      </c>
      <c r="C1131" s="5">
        <v>617998</v>
      </c>
      <c r="D1131" s="5" t="str">
        <f>_xlfn.XLOOKUP(fOrcado[[#This Row],[Conta]],'Plano de Contas'!A:A,'Plano de Contas'!C:C)</f>
        <v>(+) RECEITA BRUTA</v>
      </c>
      <c r="E1131" s="5" t="str">
        <f>_xlfn.XLOOKUP(fOrcado[[#This Row],[Conta]],'Plano de Contas'!A:A,'Plano de Contas'!D:D)</f>
        <v>01 - Vendas de Produtos</v>
      </c>
    </row>
    <row r="1132" spans="1:5" x14ac:dyDescent="0.25">
      <c r="A1132" s="23">
        <f t="shared" si="15"/>
        <v>43709</v>
      </c>
      <c r="B1132" s="5" t="s">
        <v>61</v>
      </c>
      <c r="C1132" s="5">
        <v>646862</v>
      </c>
      <c r="D1132" s="5" t="str">
        <f>_xlfn.XLOOKUP(fOrcado[[#This Row],[Conta]],'Plano de Contas'!A:A,'Plano de Contas'!C:C)</f>
        <v>(+) RECEITA BRUTA</v>
      </c>
      <c r="E1132" s="5" t="str">
        <f>_xlfn.XLOOKUP(fOrcado[[#This Row],[Conta]],'Plano de Contas'!A:A,'Plano de Contas'!D:D)</f>
        <v>01 - Vendas de Produtos</v>
      </c>
    </row>
    <row r="1133" spans="1:5" x14ac:dyDescent="0.25">
      <c r="A1133" s="23">
        <f t="shared" si="15"/>
        <v>43709</v>
      </c>
      <c r="B1133" s="5" t="s">
        <v>62</v>
      </c>
      <c r="C1133" s="5">
        <v>386548</v>
      </c>
      <c r="D1133" s="5" t="str">
        <f>_xlfn.XLOOKUP(fOrcado[[#This Row],[Conta]],'Plano de Contas'!A:A,'Plano de Contas'!C:C)</f>
        <v>(+) RECEITA BRUTA</v>
      </c>
      <c r="E1133" s="5" t="str">
        <f>_xlfn.XLOOKUP(fOrcado[[#This Row],[Conta]],'Plano de Contas'!A:A,'Plano de Contas'!D:D)</f>
        <v>01 - Vendas de Produtos</v>
      </c>
    </row>
    <row r="1134" spans="1:5" x14ac:dyDescent="0.25">
      <c r="A1134" s="23">
        <f t="shared" si="15"/>
        <v>43709</v>
      </c>
      <c r="B1134" s="5" t="s">
        <v>63</v>
      </c>
      <c r="C1134" s="5">
        <v>785437</v>
      </c>
      <c r="D1134" s="5" t="str">
        <f>_xlfn.XLOOKUP(fOrcado[[#This Row],[Conta]],'Plano de Contas'!A:A,'Plano de Contas'!C:C)</f>
        <v>(+) RECEITA BRUTA</v>
      </c>
      <c r="E1134" s="5" t="str">
        <f>_xlfn.XLOOKUP(fOrcado[[#This Row],[Conta]],'Plano de Contas'!A:A,'Plano de Contas'!D:D)</f>
        <v>01 - Vendas de Produtos</v>
      </c>
    </row>
    <row r="1135" spans="1:5" x14ac:dyDescent="0.25">
      <c r="A1135" s="23">
        <f t="shared" si="15"/>
        <v>43709</v>
      </c>
      <c r="B1135" s="5" t="s">
        <v>64</v>
      </c>
      <c r="C1135" s="5">
        <v>911403</v>
      </c>
      <c r="D1135" s="5" t="str">
        <f>_xlfn.XLOOKUP(fOrcado[[#This Row],[Conta]],'Plano de Contas'!A:A,'Plano de Contas'!C:C)</f>
        <v>(+) RECEITA BRUTA</v>
      </c>
      <c r="E1135" s="5" t="str">
        <f>_xlfn.XLOOKUP(fOrcado[[#This Row],[Conta]],'Plano de Contas'!A:A,'Plano de Contas'!D:D)</f>
        <v>01 - Vendas de Produtos</v>
      </c>
    </row>
    <row r="1136" spans="1:5" x14ac:dyDescent="0.25">
      <c r="A1136" s="23">
        <f t="shared" si="15"/>
        <v>43709</v>
      </c>
      <c r="B1136" s="5" t="s">
        <v>65</v>
      </c>
      <c r="C1136" s="5">
        <v>858377</v>
      </c>
      <c r="D1136" s="5" t="str">
        <f>_xlfn.XLOOKUP(fOrcado[[#This Row],[Conta]],'Plano de Contas'!A:A,'Plano de Contas'!C:C)</f>
        <v>(+) RECEITA BRUTA</v>
      </c>
      <c r="E1136" s="5" t="str">
        <f>_xlfn.XLOOKUP(fOrcado[[#This Row],[Conta]],'Plano de Contas'!A:A,'Plano de Contas'!D:D)</f>
        <v>01 - Vendas de Produtos</v>
      </c>
    </row>
    <row r="1137" spans="1:5" x14ac:dyDescent="0.25">
      <c r="A1137" s="23">
        <f t="shared" si="15"/>
        <v>43709</v>
      </c>
      <c r="B1137" s="5" t="s">
        <v>66</v>
      </c>
      <c r="C1137" s="5">
        <v>217887</v>
      </c>
      <c r="D1137" s="5" t="str">
        <f>_xlfn.XLOOKUP(fOrcado[[#This Row],[Conta]],'Plano de Contas'!A:A,'Plano de Contas'!C:C)</f>
        <v>(+) RECEITA BRUTA</v>
      </c>
      <c r="E1137" s="5" t="str">
        <f>_xlfn.XLOOKUP(fOrcado[[#This Row],[Conta]],'Plano de Contas'!A:A,'Plano de Contas'!D:D)</f>
        <v>01 - Vendas de Produtos</v>
      </c>
    </row>
    <row r="1138" spans="1:5" x14ac:dyDescent="0.25">
      <c r="A1138" s="23">
        <f t="shared" si="15"/>
        <v>43709</v>
      </c>
      <c r="B1138" s="5" t="s">
        <v>67</v>
      </c>
      <c r="C1138" s="5">
        <v>570517</v>
      </c>
      <c r="D1138" s="5" t="str">
        <f>_xlfn.XLOOKUP(fOrcado[[#This Row],[Conta]],'Plano de Contas'!A:A,'Plano de Contas'!C:C)</f>
        <v>(+) RECEITA BRUTA</v>
      </c>
      <c r="E1138" s="5" t="str">
        <f>_xlfn.XLOOKUP(fOrcado[[#This Row],[Conta]],'Plano de Contas'!A:A,'Plano de Contas'!D:D)</f>
        <v>01 - Vendas de Produtos</v>
      </c>
    </row>
    <row r="1139" spans="1:5" x14ac:dyDescent="0.25">
      <c r="A1139" s="23">
        <f t="shared" si="15"/>
        <v>43709</v>
      </c>
      <c r="B1139" s="5" t="s">
        <v>68</v>
      </c>
      <c r="C1139" s="5">
        <v>203833</v>
      </c>
      <c r="D1139" s="5" t="str">
        <f>_xlfn.XLOOKUP(fOrcado[[#This Row],[Conta]],'Plano de Contas'!A:A,'Plano de Contas'!C:C)</f>
        <v>(+) RECEITA BRUTA</v>
      </c>
      <c r="E1139" s="5" t="str">
        <f>_xlfn.XLOOKUP(fOrcado[[#This Row],[Conta]],'Plano de Contas'!A:A,'Plano de Contas'!D:D)</f>
        <v>01 - Vendas de Produtos</v>
      </c>
    </row>
    <row r="1140" spans="1:5" x14ac:dyDescent="0.25">
      <c r="A1140" s="23">
        <f t="shared" si="15"/>
        <v>43709</v>
      </c>
      <c r="B1140" s="5" t="s">
        <v>69</v>
      </c>
      <c r="C1140" s="5">
        <v>906544</v>
      </c>
      <c r="D1140" s="5" t="str">
        <f>_xlfn.XLOOKUP(fOrcado[[#This Row],[Conta]],'Plano de Contas'!A:A,'Plano de Contas'!C:C)</f>
        <v>(+) RECEITA BRUTA</v>
      </c>
      <c r="E1140" s="5" t="str">
        <f>_xlfn.XLOOKUP(fOrcado[[#This Row],[Conta]],'Plano de Contas'!A:A,'Plano de Contas'!D:D)</f>
        <v>01 - Vendas de Produtos</v>
      </c>
    </row>
    <row r="1141" spans="1:5" x14ac:dyDescent="0.25">
      <c r="A1141" s="23">
        <f t="shared" si="15"/>
        <v>43709</v>
      </c>
      <c r="B1141" s="5" t="s">
        <v>70</v>
      </c>
      <c r="C1141" s="5">
        <v>366002</v>
      </c>
      <c r="D1141" s="5" t="str">
        <f>_xlfn.XLOOKUP(fOrcado[[#This Row],[Conta]],'Plano de Contas'!A:A,'Plano de Contas'!C:C)</f>
        <v>(+) RECEITA BRUTA</v>
      </c>
      <c r="E1141" s="5" t="str">
        <f>_xlfn.XLOOKUP(fOrcado[[#This Row],[Conta]],'Plano de Contas'!A:A,'Plano de Contas'!D:D)</f>
        <v>01 - Vendas de Produtos</v>
      </c>
    </row>
    <row r="1142" spans="1:5" x14ac:dyDescent="0.25">
      <c r="A1142" s="23">
        <f t="shared" si="15"/>
        <v>43709</v>
      </c>
      <c r="B1142" s="5" t="s">
        <v>71</v>
      </c>
      <c r="C1142" s="5">
        <v>522341</v>
      </c>
      <c r="D1142" s="5" t="str">
        <f>_xlfn.XLOOKUP(fOrcado[[#This Row],[Conta]],'Plano de Contas'!A:A,'Plano de Contas'!C:C)</f>
        <v>(+) RECEITA BRUTA</v>
      </c>
      <c r="E1142" s="5" t="str">
        <f>_xlfn.XLOOKUP(fOrcado[[#This Row],[Conta]],'Plano de Contas'!A:A,'Plano de Contas'!D:D)</f>
        <v>01 - Vendas de Produtos</v>
      </c>
    </row>
    <row r="1143" spans="1:5" x14ac:dyDescent="0.25">
      <c r="A1143" s="23">
        <f t="shared" si="15"/>
        <v>43709</v>
      </c>
      <c r="B1143" s="5" t="s">
        <v>72</v>
      </c>
      <c r="C1143" s="5">
        <v>690198</v>
      </c>
      <c r="D1143" s="5" t="str">
        <f>_xlfn.XLOOKUP(fOrcado[[#This Row],[Conta]],'Plano de Contas'!A:A,'Plano de Contas'!C:C)</f>
        <v>(+) RECEITA BRUTA</v>
      </c>
      <c r="E1143" s="5" t="str">
        <f>_xlfn.XLOOKUP(fOrcado[[#This Row],[Conta]],'Plano de Contas'!A:A,'Plano de Contas'!D:D)</f>
        <v>01 - Vendas de Produtos</v>
      </c>
    </row>
    <row r="1144" spans="1:5" x14ac:dyDescent="0.25">
      <c r="A1144" s="23">
        <f t="shared" si="15"/>
        <v>43709</v>
      </c>
      <c r="B1144" s="5" t="s">
        <v>73</v>
      </c>
      <c r="C1144" s="5">
        <v>144451</v>
      </c>
      <c r="D1144" s="5" t="str">
        <f>_xlfn.XLOOKUP(fOrcado[[#This Row],[Conta]],'Plano de Contas'!A:A,'Plano de Contas'!C:C)</f>
        <v>(+) RECEITA BRUTA</v>
      </c>
      <c r="E1144" s="5" t="str">
        <f>_xlfn.XLOOKUP(fOrcado[[#This Row],[Conta]],'Plano de Contas'!A:A,'Plano de Contas'!D:D)</f>
        <v>01 - Vendas de Produtos</v>
      </c>
    </row>
    <row r="1145" spans="1:5" x14ac:dyDescent="0.25">
      <c r="A1145" s="23">
        <f>EDATE(A1005,1)</f>
        <v>43709</v>
      </c>
      <c r="B1145" s="5" t="s">
        <v>74</v>
      </c>
      <c r="C1145" s="5">
        <v>248977</v>
      </c>
      <c r="D1145" s="5" t="str">
        <f>_xlfn.XLOOKUP(fOrcado[[#This Row],[Conta]],'Plano de Contas'!A:A,'Plano de Contas'!C:C)</f>
        <v>(+) RECEITA BRUTA</v>
      </c>
      <c r="E1145" s="5" t="str">
        <f>_xlfn.XLOOKUP(fOrcado[[#This Row],[Conta]],'Plano de Contas'!A:A,'Plano de Contas'!D:D)</f>
        <v>01 - Vendas de Produtos</v>
      </c>
    </row>
    <row r="1146" spans="1:5" x14ac:dyDescent="0.25">
      <c r="A1146" s="23">
        <f t="shared" ref="A1146:A1209" si="16">EDATE(A1006,1)</f>
        <v>43709</v>
      </c>
      <c r="B1146" s="5" t="s">
        <v>75</v>
      </c>
      <c r="C1146" s="5">
        <v>125468</v>
      </c>
      <c r="D1146" s="5" t="str">
        <f>_xlfn.XLOOKUP(fOrcado[[#This Row],[Conta]],'Plano de Contas'!A:A,'Plano de Contas'!C:C)</f>
        <v>(+) RECEITA BRUTA</v>
      </c>
      <c r="E1146" s="5" t="str">
        <f>_xlfn.XLOOKUP(fOrcado[[#This Row],[Conta]],'Plano de Contas'!A:A,'Plano de Contas'!D:D)</f>
        <v>02 - Outras Receitas</v>
      </c>
    </row>
    <row r="1147" spans="1:5" x14ac:dyDescent="0.25">
      <c r="A1147" s="23">
        <f t="shared" si="16"/>
        <v>43709</v>
      </c>
      <c r="B1147" s="5" t="s">
        <v>76</v>
      </c>
      <c r="C1147" s="5">
        <v>298978</v>
      </c>
      <c r="D1147" s="5" t="str">
        <f>_xlfn.XLOOKUP(fOrcado[[#This Row],[Conta]],'Plano de Contas'!A:A,'Plano de Contas'!C:C)</f>
        <v>(+) RECEITA BRUTA</v>
      </c>
      <c r="E1147" s="5" t="str">
        <f>_xlfn.XLOOKUP(fOrcado[[#This Row],[Conta]],'Plano de Contas'!A:A,'Plano de Contas'!D:D)</f>
        <v>02 - Outras Receitas</v>
      </c>
    </row>
    <row r="1148" spans="1:5" x14ac:dyDescent="0.25">
      <c r="A1148" s="23">
        <f t="shared" si="16"/>
        <v>43709</v>
      </c>
      <c r="B1148" s="5" t="s">
        <v>77</v>
      </c>
      <c r="C1148" s="5">
        <v>116580</v>
      </c>
      <c r="D1148" s="5" t="str">
        <f>_xlfn.XLOOKUP(fOrcado[[#This Row],[Conta]],'Plano de Contas'!A:A,'Plano de Contas'!C:C)</f>
        <v>(+) RECEITA BRUTA</v>
      </c>
      <c r="E1148" s="5" t="str">
        <f>_xlfn.XLOOKUP(fOrcado[[#This Row],[Conta]],'Plano de Contas'!A:A,'Plano de Contas'!D:D)</f>
        <v>02 - Outras Receitas</v>
      </c>
    </row>
    <row r="1149" spans="1:5" x14ac:dyDescent="0.25">
      <c r="A1149" s="23">
        <f t="shared" si="16"/>
        <v>43709</v>
      </c>
      <c r="B1149" s="5" t="s">
        <v>78</v>
      </c>
      <c r="C1149" s="5">
        <v>249131</v>
      </c>
      <c r="D1149" s="5" t="str">
        <f>_xlfn.XLOOKUP(fOrcado[[#This Row],[Conta]],'Plano de Contas'!A:A,'Plano de Contas'!C:C)</f>
        <v>(+) RECEITA BRUTA</v>
      </c>
      <c r="E1149" s="5" t="str">
        <f>_xlfn.XLOOKUP(fOrcado[[#This Row],[Conta]],'Plano de Contas'!A:A,'Plano de Contas'!D:D)</f>
        <v>02 - Outras Receitas</v>
      </c>
    </row>
    <row r="1150" spans="1:5" x14ac:dyDescent="0.25">
      <c r="A1150" s="23">
        <f t="shared" si="16"/>
        <v>43709</v>
      </c>
      <c r="B1150" s="5" t="s">
        <v>79</v>
      </c>
      <c r="C1150" s="5">
        <v>148001</v>
      </c>
      <c r="D1150" s="5" t="str">
        <f>_xlfn.XLOOKUP(fOrcado[[#This Row],[Conta]],'Plano de Contas'!A:A,'Plano de Contas'!C:C)</f>
        <v>(+) RECEITA BRUTA</v>
      </c>
      <c r="E1150" s="5" t="str">
        <f>_xlfn.XLOOKUP(fOrcado[[#This Row],[Conta]],'Plano de Contas'!A:A,'Plano de Contas'!D:D)</f>
        <v>02 - Outras Receitas</v>
      </c>
    </row>
    <row r="1151" spans="1:5" x14ac:dyDescent="0.25">
      <c r="A1151" s="23">
        <f t="shared" si="16"/>
        <v>43709</v>
      </c>
      <c r="B1151" s="5" t="s">
        <v>80</v>
      </c>
      <c r="C1151" s="5">
        <v>77119</v>
      </c>
      <c r="D1151" s="5" t="str">
        <f>_xlfn.XLOOKUP(fOrcado[[#This Row],[Conta]],'Plano de Contas'!A:A,'Plano de Contas'!C:C)</f>
        <v>(+) RECEITA BRUTA</v>
      </c>
      <c r="E1151" s="5" t="str">
        <f>_xlfn.XLOOKUP(fOrcado[[#This Row],[Conta]],'Plano de Contas'!A:A,'Plano de Contas'!D:D)</f>
        <v>02 - Outras Receitas</v>
      </c>
    </row>
    <row r="1152" spans="1:5" x14ac:dyDescent="0.25">
      <c r="A1152" s="23">
        <f t="shared" si="16"/>
        <v>43709</v>
      </c>
      <c r="B1152" s="5" t="s">
        <v>81</v>
      </c>
      <c r="C1152" s="5">
        <v>182863</v>
      </c>
      <c r="D1152" s="5" t="str">
        <f>_xlfn.XLOOKUP(fOrcado[[#This Row],[Conta]],'Plano de Contas'!A:A,'Plano de Contas'!C:C)</f>
        <v>(+) RECEITA BRUTA</v>
      </c>
      <c r="E1152" s="5" t="str">
        <f>_xlfn.XLOOKUP(fOrcado[[#This Row],[Conta]],'Plano de Contas'!A:A,'Plano de Contas'!D:D)</f>
        <v>02 - Outras Receitas</v>
      </c>
    </row>
    <row r="1153" spans="1:5" x14ac:dyDescent="0.25">
      <c r="A1153" s="23">
        <f t="shared" si="16"/>
        <v>43709</v>
      </c>
      <c r="B1153" s="5" t="s">
        <v>82</v>
      </c>
      <c r="C1153" s="5">
        <v>274636</v>
      </c>
      <c r="D1153" s="5" t="str">
        <f>_xlfn.XLOOKUP(fOrcado[[#This Row],[Conta]],'Plano de Contas'!A:A,'Plano de Contas'!C:C)</f>
        <v>(+) RECEITA BRUTA</v>
      </c>
      <c r="E1153" s="5" t="str">
        <f>_xlfn.XLOOKUP(fOrcado[[#This Row],[Conta]],'Plano de Contas'!A:A,'Plano de Contas'!D:D)</f>
        <v>02 - Outras Receitas</v>
      </c>
    </row>
    <row r="1154" spans="1:5" x14ac:dyDescent="0.25">
      <c r="A1154" s="23">
        <f t="shared" si="16"/>
        <v>43709</v>
      </c>
      <c r="B1154" s="5" t="s">
        <v>83</v>
      </c>
      <c r="C1154" s="5">
        <v>61074</v>
      </c>
      <c r="D1154" s="5" t="str">
        <f>_xlfn.XLOOKUP(fOrcado[[#This Row],[Conta]],'Plano de Contas'!A:A,'Plano de Contas'!C:C)</f>
        <v>(+) RECEITA BRUTA</v>
      </c>
      <c r="E1154" s="5" t="str">
        <f>_xlfn.XLOOKUP(fOrcado[[#This Row],[Conta]],'Plano de Contas'!A:A,'Plano de Contas'!D:D)</f>
        <v>02 - Outras Receitas</v>
      </c>
    </row>
    <row r="1155" spans="1:5" x14ac:dyDescent="0.25">
      <c r="A1155" s="23">
        <f t="shared" si="16"/>
        <v>43709</v>
      </c>
      <c r="B1155" s="5" t="s">
        <v>84</v>
      </c>
      <c r="C1155" s="5">
        <v>225486</v>
      </c>
      <c r="D1155" s="5" t="str">
        <f>_xlfn.XLOOKUP(fOrcado[[#This Row],[Conta]],'Plano de Contas'!A:A,'Plano de Contas'!C:C)</f>
        <v>(+) RECEITA BRUTA</v>
      </c>
      <c r="E1155" s="5" t="str">
        <f>_xlfn.XLOOKUP(fOrcado[[#This Row],[Conta]],'Plano de Contas'!A:A,'Plano de Contas'!D:D)</f>
        <v>02 - Outras Receitas</v>
      </c>
    </row>
    <row r="1156" spans="1:5" x14ac:dyDescent="0.25">
      <c r="A1156" s="23">
        <f t="shared" si="16"/>
        <v>43709</v>
      </c>
      <c r="B1156" s="5" t="s">
        <v>85</v>
      </c>
      <c r="C1156" s="5">
        <v>112167</v>
      </c>
      <c r="D1156" s="5" t="str">
        <f>_xlfn.XLOOKUP(fOrcado[[#This Row],[Conta]],'Plano de Contas'!A:A,'Plano de Contas'!C:C)</f>
        <v>(+) RECEITA BRUTA</v>
      </c>
      <c r="E1156" s="5" t="str">
        <f>_xlfn.XLOOKUP(fOrcado[[#This Row],[Conta]],'Plano de Contas'!A:A,'Plano de Contas'!D:D)</f>
        <v>02 - Outras Receitas</v>
      </c>
    </row>
    <row r="1157" spans="1:5" x14ac:dyDescent="0.25">
      <c r="A1157" s="23">
        <f t="shared" si="16"/>
        <v>43709</v>
      </c>
      <c r="B1157" s="5" t="s">
        <v>86</v>
      </c>
      <c r="C1157" s="5">
        <v>257949</v>
      </c>
      <c r="D1157" s="5" t="str">
        <f>_xlfn.XLOOKUP(fOrcado[[#This Row],[Conta]],'Plano de Contas'!A:A,'Plano de Contas'!C:C)</f>
        <v>(+) RECEITA BRUTA</v>
      </c>
      <c r="E1157" s="5" t="str">
        <f>_xlfn.XLOOKUP(fOrcado[[#This Row],[Conta]],'Plano de Contas'!A:A,'Plano de Contas'!D:D)</f>
        <v>02 - Outras Receitas</v>
      </c>
    </row>
    <row r="1158" spans="1:5" x14ac:dyDescent="0.25">
      <c r="A1158" s="23">
        <f t="shared" si="16"/>
        <v>43709</v>
      </c>
      <c r="B1158" s="5" t="s">
        <v>87</v>
      </c>
      <c r="C1158" s="5">
        <v>149499</v>
      </c>
      <c r="D1158" s="5" t="str">
        <f>_xlfn.XLOOKUP(fOrcado[[#This Row],[Conta]],'Plano de Contas'!A:A,'Plano de Contas'!C:C)</f>
        <v>(+) RECEITA BRUTA</v>
      </c>
      <c r="E1158" s="5" t="str">
        <f>_xlfn.XLOOKUP(fOrcado[[#This Row],[Conta]],'Plano de Contas'!A:A,'Plano de Contas'!D:D)</f>
        <v>02 - Outras Receitas</v>
      </c>
    </row>
    <row r="1159" spans="1:5" x14ac:dyDescent="0.25">
      <c r="A1159" s="23">
        <f t="shared" si="16"/>
        <v>43709</v>
      </c>
      <c r="B1159" s="5" t="s">
        <v>88</v>
      </c>
      <c r="C1159" s="5">
        <v>117421</v>
      </c>
      <c r="D1159" s="5" t="str">
        <f>_xlfn.XLOOKUP(fOrcado[[#This Row],[Conta]],'Plano de Contas'!A:A,'Plano de Contas'!C:C)</f>
        <v>(+) RECEITA BRUTA</v>
      </c>
      <c r="E1159" s="5" t="str">
        <f>_xlfn.XLOOKUP(fOrcado[[#This Row],[Conta]],'Plano de Contas'!A:A,'Plano de Contas'!D:D)</f>
        <v>02 - Outras Receitas</v>
      </c>
    </row>
    <row r="1160" spans="1:5" x14ac:dyDescent="0.25">
      <c r="A1160" s="23">
        <f t="shared" si="16"/>
        <v>43709</v>
      </c>
      <c r="B1160" s="5" t="s">
        <v>89</v>
      </c>
      <c r="C1160" s="5">
        <v>121420</v>
      </c>
      <c r="D1160" s="5" t="str">
        <f>_xlfn.XLOOKUP(fOrcado[[#This Row],[Conta]],'Plano de Contas'!A:A,'Plano de Contas'!C:C)</f>
        <v>(+) RECEITA BRUTA</v>
      </c>
      <c r="E1160" s="5" t="str">
        <f>_xlfn.XLOOKUP(fOrcado[[#This Row],[Conta]],'Plano de Contas'!A:A,'Plano de Contas'!D:D)</f>
        <v>02 - Outras Receitas</v>
      </c>
    </row>
    <row r="1161" spans="1:5" x14ac:dyDescent="0.25">
      <c r="A1161" s="23">
        <f t="shared" si="16"/>
        <v>43709</v>
      </c>
      <c r="B1161" s="5" t="s">
        <v>90</v>
      </c>
      <c r="C1161" s="5">
        <v>155740</v>
      </c>
      <c r="D1161" s="5" t="str">
        <f>_xlfn.XLOOKUP(fOrcado[[#This Row],[Conta]],'Plano de Contas'!A:A,'Plano de Contas'!C:C)</f>
        <v>(+) RECEITA BRUTA</v>
      </c>
      <c r="E1161" s="5" t="str">
        <f>_xlfn.XLOOKUP(fOrcado[[#This Row],[Conta]],'Plano de Contas'!A:A,'Plano de Contas'!D:D)</f>
        <v>02 - Outras Receitas</v>
      </c>
    </row>
    <row r="1162" spans="1:5" x14ac:dyDescent="0.25">
      <c r="A1162" s="23">
        <f t="shared" si="16"/>
        <v>43709</v>
      </c>
      <c r="B1162" s="5" t="s">
        <v>91</v>
      </c>
      <c r="C1162" s="5">
        <v>94756</v>
      </c>
      <c r="D1162" s="5" t="str">
        <f>_xlfn.XLOOKUP(fOrcado[[#This Row],[Conta]],'Plano de Contas'!A:A,'Plano de Contas'!C:C)</f>
        <v>(+) RECEITA BRUTA</v>
      </c>
      <c r="E1162" s="5" t="str">
        <f>_xlfn.XLOOKUP(fOrcado[[#This Row],[Conta]],'Plano de Contas'!A:A,'Plano de Contas'!D:D)</f>
        <v>02 - Outras Receitas</v>
      </c>
    </row>
    <row r="1163" spans="1:5" x14ac:dyDescent="0.25">
      <c r="A1163" s="23">
        <f t="shared" si="16"/>
        <v>43709</v>
      </c>
      <c r="B1163" s="5" t="s">
        <v>92</v>
      </c>
      <c r="C1163" s="5">
        <v>250153</v>
      </c>
      <c r="D1163" s="5" t="str">
        <f>_xlfn.XLOOKUP(fOrcado[[#This Row],[Conta]],'Plano de Contas'!A:A,'Plano de Contas'!C:C)</f>
        <v>(+) RECEITA BRUTA</v>
      </c>
      <c r="E1163" s="5" t="str">
        <f>_xlfn.XLOOKUP(fOrcado[[#This Row],[Conta]],'Plano de Contas'!A:A,'Plano de Contas'!D:D)</f>
        <v>02 - Outras Receitas</v>
      </c>
    </row>
    <row r="1164" spans="1:5" x14ac:dyDescent="0.25">
      <c r="A1164" s="23">
        <f t="shared" si="16"/>
        <v>43709</v>
      </c>
      <c r="B1164" s="5" t="s">
        <v>93</v>
      </c>
      <c r="C1164" s="5">
        <v>123970</v>
      </c>
      <c r="D1164" s="5" t="str">
        <f>_xlfn.XLOOKUP(fOrcado[[#This Row],[Conta]],'Plano de Contas'!A:A,'Plano de Contas'!C:C)</f>
        <v>(+) RECEITA BRUTA</v>
      </c>
      <c r="E1164" s="5" t="str">
        <f>_xlfn.XLOOKUP(fOrcado[[#This Row],[Conta]],'Plano de Contas'!A:A,'Plano de Contas'!D:D)</f>
        <v>02 - Outras Receitas</v>
      </c>
    </row>
    <row r="1165" spans="1:5" x14ac:dyDescent="0.25">
      <c r="A1165" s="23">
        <f t="shared" si="16"/>
        <v>43709</v>
      </c>
      <c r="B1165" s="5" t="s">
        <v>94</v>
      </c>
      <c r="C1165" s="5">
        <v>194138</v>
      </c>
      <c r="D1165" s="5" t="str">
        <f>_xlfn.XLOOKUP(fOrcado[[#This Row],[Conta]],'Plano de Contas'!A:A,'Plano de Contas'!C:C)</f>
        <v>(+) RECEITA BRUTA</v>
      </c>
      <c r="E1165" s="5" t="str">
        <f>_xlfn.XLOOKUP(fOrcado[[#This Row],[Conta]],'Plano de Contas'!A:A,'Plano de Contas'!D:D)</f>
        <v>02 - Outras Receitas</v>
      </c>
    </row>
    <row r="1166" spans="1:5" x14ac:dyDescent="0.25">
      <c r="A1166" s="23">
        <f t="shared" si="16"/>
        <v>43709</v>
      </c>
      <c r="B1166" s="5" t="s">
        <v>95</v>
      </c>
      <c r="C1166" s="5">
        <v>62140</v>
      </c>
      <c r="D1166" s="5" t="str">
        <f>_xlfn.XLOOKUP(fOrcado[[#This Row],[Conta]],'Plano de Contas'!A:A,'Plano de Contas'!C:C)</f>
        <v>(+) RECEITA BRUTA</v>
      </c>
      <c r="E1166" s="5" t="str">
        <f>_xlfn.XLOOKUP(fOrcado[[#This Row],[Conta]],'Plano de Contas'!A:A,'Plano de Contas'!D:D)</f>
        <v>02 - Outras Receitas</v>
      </c>
    </row>
    <row r="1167" spans="1:5" x14ac:dyDescent="0.25">
      <c r="A1167" s="23">
        <f t="shared" si="16"/>
        <v>43709</v>
      </c>
      <c r="B1167" s="5" t="s">
        <v>96</v>
      </c>
      <c r="C1167" s="5">
        <v>260601</v>
      </c>
      <c r="D1167" s="5" t="str">
        <f>_xlfn.XLOOKUP(fOrcado[[#This Row],[Conta]],'Plano de Contas'!A:A,'Plano de Contas'!C:C)</f>
        <v>(+) RECEITA BRUTA</v>
      </c>
      <c r="E1167" s="5" t="str">
        <f>_xlfn.XLOOKUP(fOrcado[[#This Row],[Conta]],'Plano de Contas'!A:A,'Plano de Contas'!D:D)</f>
        <v>02 - Outras Receitas</v>
      </c>
    </row>
    <row r="1168" spans="1:5" x14ac:dyDescent="0.25">
      <c r="A1168" s="23">
        <f t="shared" si="16"/>
        <v>43709</v>
      </c>
      <c r="B1168" s="5" t="s">
        <v>97</v>
      </c>
      <c r="C1168" s="5">
        <v>281909</v>
      </c>
      <c r="D1168" s="5" t="str">
        <f>_xlfn.XLOOKUP(fOrcado[[#This Row],[Conta]],'Plano de Contas'!A:A,'Plano de Contas'!C:C)</f>
        <v>(+) RECEITA BRUTA</v>
      </c>
      <c r="E1168" s="5" t="str">
        <f>_xlfn.XLOOKUP(fOrcado[[#This Row],[Conta]],'Plano de Contas'!A:A,'Plano de Contas'!D:D)</f>
        <v>02 - Outras Receitas</v>
      </c>
    </row>
    <row r="1169" spans="1:5" x14ac:dyDescent="0.25">
      <c r="A1169" s="23">
        <f t="shared" si="16"/>
        <v>43709</v>
      </c>
      <c r="B1169" s="5" t="s">
        <v>98</v>
      </c>
      <c r="C1169" s="5">
        <v>118606</v>
      </c>
      <c r="D1169" s="5" t="str">
        <f>_xlfn.XLOOKUP(fOrcado[[#This Row],[Conta]],'Plano de Contas'!A:A,'Plano de Contas'!C:C)</f>
        <v>(+) RECEITA BRUTA</v>
      </c>
      <c r="E1169" s="5" t="str">
        <f>_xlfn.XLOOKUP(fOrcado[[#This Row],[Conta]],'Plano de Contas'!A:A,'Plano de Contas'!D:D)</f>
        <v>02 - Outras Receitas</v>
      </c>
    </row>
    <row r="1170" spans="1:5" x14ac:dyDescent="0.25">
      <c r="A1170" s="23">
        <f t="shared" si="16"/>
        <v>43709</v>
      </c>
      <c r="B1170" s="5" t="s">
        <v>99</v>
      </c>
      <c r="C1170" s="5">
        <v>60346</v>
      </c>
      <c r="D1170" s="5" t="str">
        <f>_xlfn.XLOOKUP(fOrcado[[#This Row],[Conta]],'Plano de Contas'!A:A,'Plano de Contas'!C:C)</f>
        <v>(+) RECEITA BRUTA</v>
      </c>
      <c r="E1170" s="5" t="str">
        <f>_xlfn.XLOOKUP(fOrcado[[#This Row],[Conta]],'Plano de Contas'!A:A,'Plano de Contas'!D:D)</f>
        <v>02 - Outras Receitas</v>
      </c>
    </row>
    <row r="1171" spans="1:5" x14ac:dyDescent="0.25">
      <c r="A1171" s="23">
        <f t="shared" si="16"/>
        <v>43709</v>
      </c>
      <c r="B1171" s="5" t="s">
        <v>100</v>
      </c>
      <c r="C1171" s="5">
        <v>183306</v>
      </c>
      <c r="D1171" s="5" t="str">
        <f>_xlfn.XLOOKUP(fOrcado[[#This Row],[Conta]],'Plano de Contas'!A:A,'Plano de Contas'!C:C)</f>
        <v>(+) RECEITA BRUTA</v>
      </c>
      <c r="E1171" s="5" t="str">
        <f>_xlfn.XLOOKUP(fOrcado[[#This Row],[Conta]],'Plano de Contas'!A:A,'Plano de Contas'!D:D)</f>
        <v>02 - Outras Receitas</v>
      </c>
    </row>
    <row r="1172" spans="1:5" x14ac:dyDescent="0.25">
      <c r="A1172" s="23">
        <f t="shared" si="16"/>
        <v>43709</v>
      </c>
      <c r="B1172" s="5" t="s">
        <v>101</v>
      </c>
      <c r="C1172" s="5">
        <v>158687</v>
      </c>
      <c r="D1172" s="5" t="str">
        <f>_xlfn.XLOOKUP(fOrcado[[#This Row],[Conta]],'Plano de Contas'!A:A,'Plano de Contas'!C:C)</f>
        <v>(+) RECEITA BRUTA</v>
      </c>
      <c r="E1172" s="5" t="str">
        <f>_xlfn.XLOOKUP(fOrcado[[#This Row],[Conta]],'Plano de Contas'!A:A,'Plano de Contas'!D:D)</f>
        <v>02 - Outras Receitas</v>
      </c>
    </row>
    <row r="1173" spans="1:5" x14ac:dyDescent="0.25">
      <c r="A1173" s="23">
        <f t="shared" si="16"/>
        <v>43709</v>
      </c>
      <c r="B1173" s="5" t="s">
        <v>102</v>
      </c>
      <c r="C1173" s="5">
        <v>105420</v>
      </c>
      <c r="D1173" s="5" t="str">
        <f>_xlfn.XLOOKUP(fOrcado[[#This Row],[Conta]],'Plano de Contas'!A:A,'Plano de Contas'!C:C)</f>
        <v>(+) RECEITA BRUTA</v>
      </c>
      <c r="E1173" s="5" t="str">
        <f>_xlfn.XLOOKUP(fOrcado[[#This Row],[Conta]],'Plano de Contas'!A:A,'Plano de Contas'!D:D)</f>
        <v>02 - Outras Receitas</v>
      </c>
    </row>
    <row r="1174" spans="1:5" x14ac:dyDescent="0.25">
      <c r="A1174" s="23">
        <f t="shared" si="16"/>
        <v>43709</v>
      </c>
      <c r="B1174" s="5" t="s">
        <v>103</v>
      </c>
      <c r="C1174" s="5">
        <v>145322</v>
      </c>
      <c r="D1174" s="5" t="str">
        <f>_xlfn.XLOOKUP(fOrcado[[#This Row],[Conta]],'Plano de Contas'!A:A,'Plano de Contas'!C:C)</f>
        <v>(+) RECEITA BRUTA</v>
      </c>
      <c r="E1174" s="5" t="str">
        <f>_xlfn.XLOOKUP(fOrcado[[#This Row],[Conta]],'Plano de Contas'!A:A,'Plano de Contas'!D:D)</f>
        <v>02 - Outras Receitas</v>
      </c>
    </row>
    <row r="1175" spans="1:5" x14ac:dyDescent="0.25">
      <c r="A1175" s="23">
        <f t="shared" si="16"/>
        <v>43709</v>
      </c>
      <c r="B1175" s="5" t="s">
        <v>104</v>
      </c>
      <c r="C1175" s="5">
        <v>251139</v>
      </c>
      <c r="D1175" s="5" t="str">
        <f>_xlfn.XLOOKUP(fOrcado[[#This Row],[Conta]],'Plano de Contas'!A:A,'Plano de Contas'!C:C)</f>
        <v>(+) RECEITA BRUTA</v>
      </c>
      <c r="E1175" s="5" t="str">
        <f>_xlfn.XLOOKUP(fOrcado[[#This Row],[Conta]],'Plano de Contas'!A:A,'Plano de Contas'!D:D)</f>
        <v>02 - Outras Receitas</v>
      </c>
    </row>
    <row r="1176" spans="1:5" x14ac:dyDescent="0.25">
      <c r="A1176" s="23">
        <f t="shared" si="16"/>
        <v>43709</v>
      </c>
      <c r="B1176" s="5" t="s">
        <v>105</v>
      </c>
      <c r="C1176" s="5">
        <v>119693</v>
      </c>
      <c r="D1176" s="5" t="str">
        <f>_xlfn.XLOOKUP(fOrcado[[#This Row],[Conta]],'Plano de Contas'!A:A,'Plano de Contas'!C:C)</f>
        <v>(+) RECEITA BRUTA</v>
      </c>
      <c r="E1176" s="5" t="str">
        <f>_xlfn.XLOOKUP(fOrcado[[#This Row],[Conta]],'Plano de Contas'!A:A,'Plano de Contas'!D:D)</f>
        <v>02 - Outras Receitas</v>
      </c>
    </row>
    <row r="1177" spans="1:5" x14ac:dyDescent="0.25">
      <c r="A1177" s="23">
        <f t="shared" si="16"/>
        <v>43709</v>
      </c>
      <c r="B1177" s="5" t="s">
        <v>106</v>
      </c>
      <c r="C1177" s="5">
        <v>61367</v>
      </c>
      <c r="D1177" s="5" t="str">
        <f>_xlfn.XLOOKUP(fOrcado[[#This Row],[Conta]],'Plano de Contas'!A:A,'Plano de Contas'!C:C)</f>
        <v>(+) RECEITA BRUTA</v>
      </c>
      <c r="E1177" s="5" t="str">
        <f>_xlfn.XLOOKUP(fOrcado[[#This Row],[Conta]],'Plano de Contas'!A:A,'Plano de Contas'!D:D)</f>
        <v>02 - Outras Receitas</v>
      </c>
    </row>
    <row r="1178" spans="1:5" x14ac:dyDescent="0.25">
      <c r="A1178" s="23">
        <f t="shared" si="16"/>
        <v>43709</v>
      </c>
      <c r="B1178" s="5" t="s">
        <v>107</v>
      </c>
      <c r="C1178" s="5">
        <v>225751</v>
      </c>
      <c r="D1178" s="5" t="str">
        <f>_xlfn.XLOOKUP(fOrcado[[#This Row],[Conta]],'Plano de Contas'!A:A,'Plano de Contas'!C:C)</f>
        <v>(+) RECEITA BRUTA</v>
      </c>
      <c r="E1178" s="5" t="str">
        <f>_xlfn.XLOOKUP(fOrcado[[#This Row],[Conta]],'Plano de Contas'!A:A,'Plano de Contas'!D:D)</f>
        <v>02 - Outras Receitas</v>
      </c>
    </row>
    <row r="1179" spans="1:5" x14ac:dyDescent="0.25">
      <c r="A1179" s="23">
        <f t="shared" si="16"/>
        <v>43709</v>
      </c>
      <c r="B1179" s="5" t="s">
        <v>108</v>
      </c>
      <c r="C1179" s="5">
        <v>228863</v>
      </c>
      <c r="D1179" s="5" t="str">
        <f>_xlfn.XLOOKUP(fOrcado[[#This Row],[Conta]],'Plano de Contas'!A:A,'Plano de Contas'!C:C)</f>
        <v>(+) RECEITA BRUTA</v>
      </c>
      <c r="E1179" s="5" t="str">
        <f>_xlfn.XLOOKUP(fOrcado[[#This Row],[Conta]],'Plano de Contas'!A:A,'Plano de Contas'!D:D)</f>
        <v>02 - Outras Receitas</v>
      </c>
    </row>
    <row r="1180" spans="1:5" x14ac:dyDescent="0.25">
      <c r="A1180" s="23">
        <f t="shared" si="16"/>
        <v>43709</v>
      </c>
      <c r="B1180" s="5" t="s">
        <v>109</v>
      </c>
      <c r="C1180" s="5">
        <v>248430</v>
      </c>
      <c r="D1180" s="5" t="str">
        <f>_xlfn.XLOOKUP(fOrcado[[#This Row],[Conta]],'Plano de Contas'!A:A,'Plano de Contas'!C:C)</f>
        <v>(+) RECEITA BRUTA</v>
      </c>
      <c r="E1180" s="5" t="str">
        <f>_xlfn.XLOOKUP(fOrcado[[#This Row],[Conta]],'Plano de Contas'!A:A,'Plano de Contas'!D:D)</f>
        <v>02 - Outras Receitas</v>
      </c>
    </row>
    <row r="1181" spans="1:5" x14ac:dyDescent="0.25">
      <c r="A1181" s="23">
        <f t="shared" si="16"/>
        <v>43709</v>
      </c>
      <c r="B1181" s="5" t="s">
        <v>110</v>
      </c>
      <c r="C1181" s="5">
        <v>-5648</v>
      </c>
      <c r="D1181" s="5" t="str">
        <f>_xlfn.XLOOKUP(fOrcado[[#This Row],[Conta]],'Plano de Contas'!A:A,'Plano de Contas'!C:C)</f>
        <v>(-) Deduções da Receita</v>
      </c>
      <c r="E1181" s="5" t="str">
        <f>_xlfn.XLOOKUP(fOrcado[[#This Row],[Conta]],'Plano de Contas'!A:A,'Plano de Contas'!D:D)</f>
        <v>03 - Devoluções de Produtos</v>
      </c>
    </row>
    <row r="1182" spans="1:5" x14ac:dyDescent="0.25">
      <c r="A1182" s="23">
        <f t="shared" si="16"/>
        <v>43709</v>
      </c>
      <c r="B1182" s="5" t="s">
        <v>111</v>
      </c>
      <c r="C1182" s="5">
        <v>-8045</v>
      </c>
      <c r="D1182" s="5" t="str">
        <f>_xlfn.XLOOKUP(fOrcado[[#This Row],[Conta]],'Plano de Contas'!A:A,'Plano de Contas'!C:C)</f>
        <v>(-) Deduções da Receita</v>
      </c>
      <c r="E1182" s="5" t="str">
        <f>_xlfn.XLOOKUP(fOrcado[[#This Row],[Conta]],'Plano de Contas'!A:A,'Plano de Contas'!D:D)</f>
        <v>03 - Devoluções de Produtos</v>
      </c>
    </row>
    <row r="1183" spans="1:5" x14ac:dyDescent="0.25">
      <c r="A1183" s="23">
        <f t="shared" si="16"/>
        <v>43709</v>
      </c>
      <c r="B1183" s="5" t="s">
        <v>112</v>
      </c>
      <c r="C1183" s="5">
        <v>-6879</v>
      </c>
      <c r="D1183" s="5" t="str">
        <f>_xlfn.XLOOKUP(fOrcado[[#This Row],[Conta]],'Plano de Contas'!A:A,'Plano de Contas'!C:C)</f>
        <v>(-) Deduções da Receita</v>
      </c>
      <c r="E1183" s="5" t="str">
        <f>_xlfn.XLOOKUP(fOrcado[[#This Row],[Conta]],'Plano de Contas'!A:A,'Plano de Contas'!D:D)</f>
        <v>03 - Devoluções de Produtos</v>
      </c>
    </row>
    <row r="1184" spans="1:5" x14ac:dyDescent="0.25">
      <c r="A1184" s="23">
        <f t="shared" si="16"/>
        <v>43709</v>
      </c>
      <c r="B1184" s="5" t="s">
        <v>113</v>
      </c>
      <c r="C1184" s="5">
        <v>-1369</v>
      </c>
      <c r="D1184" s="5" t="str">
        <f>_xlfn.XLOOKUP(fOrcado[[#This Row],[Conta]],'Plano de Contas'!A:A,'Plano de Contas'!C:C)</f>
        <v>(-) Deduções da Receita</v>
      </c>
      <c r="E1184" s="5" t="str">
        <f>_xlfn.XLOOKUP(fOrcado[[#This Row],[Conta]],'Plano de Contas'!A:A,'Plano de Contas'!D:D)</f>
        <v>03 - Devoluções de Produtos</v>
      </c>
    </row>
    <row r="1185" spans="1:5" x14ac:dyDescent="0.25">
      <c r="A1185" s="23">
        <f t="shared" si="16"/>
        <v>43709</v>
      </c>
      <c r="B1185" s="5" t="s">
        <v>114</v>
      </c>
      <c r="C1185" s="5">
        <v>-7123</v>
      </c>
      <c r="D1185" s="5" t="str">
        <f>_xlfn.XLOOKUP(fOrcado[[#This Row],[Conta]],'Plano de Contas'!A:A,'Plano de Contas'!C:C)</f>
        <v>(-) Deduções da Receita</v>
      </c>
      <c r="E1185" s="5" t="str">
        <f>_xlfn.XLOOKUP(fOrcado[[#This Row],[Conta]],'Plano de Contas'!A:A,'Plano de Contas'!D:D)</f>
        <v>03 - Devoluções de Produtos</v>
      </c>
    </row>
    <row r="1186" spans="1:5" x14ac:dyDescent="0.25">
      <c r="A1186" s="23">
        <f t="shared" si="16"/>
        <v>43709</v>
      </c>
      <c r="B1186" s="5" t="s">
        <v>115</v>
      </c>
      <c r="C1186" s="5">
        <v>-2945</v>
      </c>
      <c r="D1186" s="5" t="str">
        <f>_xlfn.XLOOKUP(fOrcado[[#This Row],[Conta]],'Plano de Contas'!A:A,'Plano de Contas'!C:C)</f>
        <v>(-) Deduções da Receita</v>
      </c>
      <c r="E1186" s="5" t="str">
        <f>_xlfn.XLOOKUP(fOrcado[[#This Row],[Conta]],'Plano de Contas'!A:A,'Plano de Contas'!D:D)</f>
        <v>03 - Devoluções de Produtos</v>
      </c>
    </row>
    <row r="1187" spans="1:5" x14ac:dyDescent="0.25">
      <c r="A1187" s="23">
        <f t="shared" si="16"/>
        <v>43709</v>
      </c>
      <c r="B1187" s="5" t="s">
        <v>116</v>
      </c>
      <c r="C1187" s="5">
        <v>-2498</v>
      </c>
      <c r="D1187" s="5" t="str">
        <f>_xlfn.XLOOKUP(fOrcado[[#This Row],[Conta]],'Plano de Contas'!A:A,'Plano de Contas'!C:C)</f>
        <v>(-) Deduções da Receita</v>
      </c>
      <c r="E1187" s="5" t="str">
        <f>_xlfn.XLOOKUP(fOrcado[[#This Row],[Conta]],'Plano de Contas'!A:A,'Plano de Contas'!D:D)</f>
        <v>03 - Devoluções de Produtos</v>
      </c>
    </row>
    <row r="1188" spans="1:5" x14ac:dyDescent="0.25">
      <c r="A1188" s="23">
        <f t="shared" si="16"/>
        <v>43709</v>
      </c>
      <c r="B1188" s="5" t="s">
        <v>117</v>
      </c>
      <c r="C1188" s="5">
        <v>-6289</v>
      </c>
      <c r="D1188" s="5" t="str">
        <f>_xlfn.XLOOKUP(fOrcado[[#This Row],[Conta]],'Plano de Contas'!A:A,'Plano de Contas'!C:C)</f>
        <v>(-) Deduções da Receita</v>
      </c>
      <c r="E1188" s="5" t="str">
        <f>_xlfn.XLOOKUP(fOrcado[[#This Row],[Conta]],'Plano de Contas'!A:A,'Plano de Contas'!D:D)</f>
        <v>03 - Devoluções de Produtos</v>
      </c>
    </row>
    <row r="1189" spans="1:5" x14ac:dyDescent="0.25">
      <c r="A1189" s="23">
        <f t="shared" si="16"/>
        <v>43709</v>
      </c>
      <c r="B1189" s="5" t="s">
        <v>118</v>
      </c>
      <c r="C1189" s="5">
        <v>-8178</v>
      </c>
      <c r="D1189" s="5" t="str">
        <f>_xlfn.XLOOKUP(fOrcado[[#This Row],[Conta]],'Plano de Contas'!A:A,'Plano de Contas'!C:C)</f>
        <v>(-) Deduções da Receita</v>
      </c>
      <c r="E1189" s="5" t="str">
        <f>_xlfn.XLOOKUP(fOrcado[[#This Row],[Conta]],'Plano de Contas'!A:A,'Plano de Contas'!D:D)</f>
        <v>03 - Devoluções de Produtos</v>
      </c>
    </row>
    <row r="1190" spans="1:5" x14ac:dyDescent="0.25">
      <c r="A1190" s="23">
        <f t="shared" si="16"/>
        <v>43709</v>
      </c>
      <c r="B1190" s="5" t="s">
        <v>119</v>
      </c>
      <c r="C1190" s="5">
        <v>-2820</v>
      </c>
      <c r="D1190" s="5" t="str">
        <f>_xlfn.XLOOKUP(fOrcado[[#This Row],[Conta]],'Plano de Contas'!A:A,'Plano de Contas'!C:C)</f>
        <v>(-) Deduções da Receita</v>
      </c>
      <c r="E1190" s="5" t="str">
        <f>_xlfn.XLOOKUP(fOrcado[[#This Row],[Conta]],'Plano de Contas'!A:A,'Plano de Contas'!D:D)</f>
        <v>03 - Devoluções de Produtos</v>
      </c>
    </row>
    <row r="1191" spans="1:5" x14ac:dyDescent="0.25">
      <c r="A1191" s="23">
        <f t="shared" si="16"/>
        <v>43709</v>
      </c>
      <c r="B1191" s="5" t="s">
        <v>120</v>
      </c>
      <c r="C1191" s="5">
        <v>-6906</v>
      </c>
      <c r="D1191" s="5" t="str">
        <f>_xlfn.XLOOKUP(fOrcado[[#This Row],[Conta]],'Plano de Contas'!A:A,'Plano de Contas'!C:C)</f>
        <v>(-) Deduções da Receita</v>
      </c>
      <c r="E1191" s="5" t="str">
        <f>_xlfn.XLOOKUP(fOrcado[[#This Row],[Conta]],'Plano de Contas'!A:A,'Plano de Contas'!D:D)</f>
        <v>03 - Devoluções de Produtos</v>
      </c>
    </row>
    <row r="1192" spans="1:5" x14ac:dyDescent="0.25">
      <c r="A1192" s="23">
        <f t="shared" si="16"/>
        <v>43709</v>
      </c>
      <c r="B1192" s="5" t="s">
        <v>121</v>
      </c>
      <c r="C1192" s="5">
        <v>-6968</v>
      </c>
      <c r="D1192" s="5" t="str">
        <f>_xlfn.XLOOKUP(fOrcado[[#This Row],[Conta]],'Plano de Contas'!A:A,'Plano de Contas'!C:C)</f>
        <v>(-) Deduções da Receita</v>
      </c>
      <c r="E1192" s="5" t="str">
        <f>_xlfn.XLOOKUP(fOrcado[[#This Row],[Conta]],'Plano de Contas'!A:A,'Plano de Contas'!D:D)</f>
        <v>03 - Devoluções de Produtos</v>
      </c>
    </row>
    <row r="1193" spans="1:5" x14ac:dyDescent="0.25">
      <c r="A1193" s="23">
        <f t="shared" si="16"/>
        <v>43709</v>
      </c>
      <c r="B1193" s="5" t="s">
        <v>122</v>
      </c>
      <c r="C1193" s="5">
        <v>-1353</v>
      </c>
      <c r="D1193" s="5" t="str">
        <f>_xlfn.XLOOKUP(fOrcado[[#This Row],[Conta]],'Plano de Contas'!A:A,'Plano de Contas'!C:C)</f>
        <v>(-) Deduções da Receita</v>
      </c>
      <c r="E1193" s="5" t="str">
        <f>_xlfn.XLOOKUP(fOrcado[[#This Row],[Conta]],'Plano de Contas'!A:A,'Plano de Contas'!D:D)</f>
        <v>03 - Devoluções de Produtos</v>
      </c>
    </row>
    <row r="1194" spans="1:5" x14ac:dyDescent="0.25">
      <c r="A1194" s="23">
        <f t="shared" si="16"/>
        <v>43709</v>
      </c>
      <c r="B1194" s="5" t="s">
        <v>123</v>
      </c>
      <c r="C1194" s="5">
        <v>-3835</v>
      </c>
      <c r="D1194" s="5" t="str">
        <f>_xlfn.XLOOKUP(fOrcado[[#This Row],[Conta]],'Plano de Contas'!A:A,'Plano de Contas'!C:C)</f>
        <v>(-) Deduções da Receita</v>
      </c>
      <c r="E1194" s="5" t="str">
        <f>_xlfn.XLOOKUP(fOrcado[[#This Row],[Conta]],'Plano de Contas'!A:A,'Plano de Contas'!D:D)</f>
        <v>03 - Devoluções de Produtos</v>
      </c>
    </row>
    <row r="1195" spans="1:5" x14ac:dyDescent="0.25">
      <c r="A1195" s="23">
        <f t="shared" si="16"/>
        <v>43709</v>
      </c>
      <c r="B1195" s="5" t="s">
        <v>124</v>
      </c>
      <c r="C1195" s="5">
        <v>-4927</v>
      </c>
      <c r="D1195" s="5" t="str">
        <f>_xlfn.XLOOKUP(fOrcado[[#This Row],[Conta]],'Plano de Contas'!A:A,'Plano de Contas'!C:C)</f>
        <v>(-) Deduções da Receita</v>
      </c>
      <c r="E1195" s="5" t="str">
        <f>_xlfn.XLOOKUP(fOrcado[[#This Row],[Conta]],'Plano de Contas'!A:A,'Plano de Contas'!D:D)</f>
        <v>03 - Devoluções de Produtos</v>
      </c>
    </row>
    <row r="1196" spans="1:5" x14ac:dyDescent="0.25">
      <c r="A1196" s="23">
        <f t="shared" si="16"/>
        <v>43709</v>
      </c>
      <c r="B1196" s="5" t="s">
        <v>125</v>
      </c>
      <c r="C1196" s="5">
        <v>-4033</v>
      </c>
      <c r="D1196" s="5" t="str">
        <f>_xlfn.XLOOKUP(fOrcado[[#This Row],[Conta]],'Plano de Contas'!A:A,'Plano de Contas'!C:C)</f>
        <v>(-) Deduções da Receita</v>
      </c>
      <c r="E1196" s="5" t="str">
        <f>_xlfn.XLOOKUP(fOrcado[[#This Row],[Conta]],'Plano de Contas'!A:A,'Plano de Contas'!D:D)</f>
        <v>03 - Devoluções de Produtos</v>
      </c>
    </row>
    <row r="1197" spans="1:5" x14ac:dyDescent="0.25">
      <c r="A1197" s="23">
        <f t="shared" si="16"/>
        <v>43709</v>
      </c>
      <c r="B1197" s="5" t="s">
        <v>126</v>
      </c>
      <c r="C1197" s="5">
        <v>-8910</v>
      </c>
      <c r="D1197" s="5" t="str">
        <f>_xlfn.XLOOKUP(fOrcado[[#This Row],[Conta]],'Plano de Contas'!A:A,'Plano de Contas'!C:C)</f>
        <v>(-) Deduções da Receita</v>
      </c>
      <c r="E1197" s="5" t="str">
        <f>_xlfn.XLOOKUP(fOrcado[[#This Row],[Conta]],'Plano de Contas'!A:A,'Plano de Contas'!D:D)</f>
        <v>03 - Devoluções de Produtos</v>
      </c>
    </row>
    <row r="1198" spans="1:5" x14ac:dyDescent="0.25">
      <c r="A1198" s="23">
        <f t="shared" si="16"/>
        <v>43709</v>
      </c>
      <c r="B1198" s="5" t="s">
        <v>127</v>
      </c>
      <c r="C1198" s="5">
        <v>-4687</v>
      </c>
      <c r="D1198" s="5" t="str">
        <f>_xlfn.XLOOKUP(fOrcado[[#This Row],[Conta]],'Plano de Contas'!A:A,'Plano de Contas'!C:C)</f>
        <v>(-) Deduções da Receita</v>
      </c>
      <c r="E1198" s="5" t="str">
        <f>_xlfn.XLOOKUP(fOrcado[[#This Row],[Conta]],'Plano de Contas'!A:A,'Plano de Contas'!D:D)</f>
        <v>03 - Devoluções de Produtos</v>
      </c>
    </row>
    <row r="1199" spans="1:5" x14ac:dyDescent="0.25">
      <c r="A1199" s="23">
        <f t="shared" si="16"/>
        <v>43709</v>
      </c>
      <c r="B1199" s="5" t="s">
        <v>128</v>
      </c>
      <c r="C1199" s="5">
        <v>-4443</v>
      </c>
      <c r="D1199" s="5" t="str">
        <f>_xlfn.XLOOKUP(fOrcado[[#This Row],[Conta]],'Plano de Contas'!A:A,'Plano de Contas'!C:C)</f>
        <v>(-) Deduções da Receita</v>
      </c>
      <c r="E1199" s="5" t="str">
        <f>_xlfn.XLOOKUP(fOrcado[[#This Row],[Conta]],'Plano de Contas'!A:A,'Plano de Contas'!D:D)</f>
        <v>03 - Devoluções de Produtos</v>
      </c>
    </row>
    <row r="1200" spans="1:5" x14ac:dyDescent="0.25">
      <c r="A1200" s="23">
        <f t="shared" si="16"/>
        <v>43709</v>
      </c>
      <c r="B1200" s="5" t="s">
        <v>129</v>
      </c>
      <c r="C1200" s="5">
        <v>-4460</v>
      </c>
      <c r="D1200" s="5" t="str">
        <f>_xlfn.XLOOKUP(fOrcado[[#This Row],[Conta]],'Plano de Contas'!A:A,'Plano de Contas'!C:C)</f>
        <v>(-) Deduções da Receita</v>
      </c>
      <c r="E1200" s="5" t="str">
        <f>_xlfn.XLOOKUP(fOrcado[[#This Row],[Conta]],'Plano de Contas'!A:A,'Plano de Contas'!D:D)</f>
        <v>03 - Devoluções de Produtos</v>
      </c>
    </row>
    <row r="1201" spans="1:5" x14ac:dyDescent="0.25">
      <c r="A1201" s="23">
        <f t="shared" si="16"/>
        <v>43709</v>
      </c>
      <c r="B1201" s="5" t="s">
        <v>130</v>
      </c>
      <c r="C1201" s="5">
        <v>-1640</v>
      </c>
      <c r="D1201" s="5" t="str">
        <f>_xlfn.XLOOKUP(fOrcado[[#This Row],[Conta]],'Plano de Contas'!A:A,'Plano de Contas'!C:C)</f>
        <v>(-) Deduções da Receita</v>
      </c>
      <c r="E1201" s="5" t="str">
        <f>_xlfn.XLOOKUP(fOrcado[[#This Row],[Conta]],'Plano de Contas'!A:A,'Plano de Contas'!D:D)</f>
        <v>03 - Devoluções de Produtos</v>
      </c>
    </row>
    <row r="1202" spans="1:5" x14ac:dyDescent="0.25">
      <c r="A1202" s="23">
        <f t="shared" si="16"/>
        <v>43709</v>
      </c>
      <c r="B1202" s="5" t="s">
        <v>131</v>
      </c>
      <c r="C1202" s="5">
        <v>-5692</v>
      </c>
      <c r="D1202" s="5" t="str">
        <f>_xlfn.XLOOKUP(fOrcado[[#This Row],[Conta]],'Plano de Contas'!A:A,'Plano de Contas'!C:C)</f>
        <v>(-) Deduções da Receita</v>
      </c>
      <c r="E1202" s="5" t="str">
        <f>_xlfn.XLOOKUP(fOrcado[[#This Row],[Conta]],'Plano de Contas'!A:A,'Plano de Contas'!D:D)</f>
        <v>03 - Devoluções de Produtos</v>
      </c>
    </row>
    <row r="1203" spans="1:5" x14ac:dyDescent="0.25">
      <c r="A1203" s="23">
        <f t="shared" si="16"/>
        <v>43709</v>
      </c>
      <c r="B1203" s="5" t="s">
        <v>132</v>
      </c>
      <c r="C1203" s="5">
        <v>-7011</v>
      </c>
      <c r="D1203" s="5" t="str">
        <f>_xlfn.XLOOKUP(fOrcado[[#This Row],[Conta]],'Plano de Contas'!A:A,'Plano de Contas'!C:C)</f>
        <v>(-) Deduções da Receita</v>
      </c>
      <c r="E1203" s="5" t="str">
        <f>_xlfn.XLOOKUP(fOrcado[[#This Row],[Conta]],'Plano de Contas'!A:A,'Plano de Contas'!D:D)</f>
        <v>03 - Devoluções de Produtos</v>
      </c>
    </row>
    <row r="1204" spans="1:5" x14ac:dyDescent="0.25">
      <c r="A1204" s="23">
        <f t="shared" si="16"/>
        <v>43709</v>
      </c>
      <c r="B1204" s="5" t="s">
        <v>133</v>
      </c>
      <c r="C1204" s="5">
        <v>-1859</v>
      </c>
      <c r="D1204" s="5" t="str">
        <f>_xlfn.XLOOKUP(fOrcado[[#This Row],[Conta]],'Plano de Contas'!A:A,'Plano de Contas'!C:C)</f>
        <v>(-) Deduções da Receita</v>
      </c>
      <c r="E1204" s="5" t="str">
        <f>_xlfn.XLOOKUP(fOrcado[[#This Row],[Conta]],'Plano de Contas'!A:A,'Plano de Contas'!D:D)</f>
        <v>03 - Devoluções de Produtos</v>
      </c>
    </row>
    <row r="1205" spans="1:5" x14ac:dyDescent="0.25">
      <c r="A1205" s="23">
        <f t="shared" si="16"/>
        <v>43709</v>
      </c>
      <c r="B1205" s="5" t="s">
        <v>134</v>
      </c>
      <c r="C1205" s="5">
        <v>-7253</v>
      </c>
      <c r="D1205" s="5" t="str">
        <f>_xlfn.XLOOKUP(fOrcado[[#This Row],[Conta]],'Plano de Contas'!A:A,'Plano de Contas'!C:C)</f>
        <v>(-) Deduções da Receita</v>
      </c>
      <c r="E1205" s="5" t="str">
        <f>_xlfn.XLOOKUP(fOrcado[[#This Row],[Conta]],'Plano de Contas'!A:A,'Plano de Contas'!D:D)</f>
        <v>03 - Devoluções de Produtos</v>
      </c>
    </row>
    <row r="1206" spans="1:5" x14ac:dyDescent="0.25">
      <c r="A1206" s="23">
        <f t="shared" si="16"/>
        <v>43709</v>
      </c>
      <c r="B1206" s="5" t="s">
        <v>135</v>
      </c>
      <c r="C1206" s="5">
        <v>-2216</v>
      </c>
      <c r="D1206" s="5" t="str">
        <f>_xlfn.XLOOKUP(fOrcado[[#This Row],[Conta]],'Plano de Contas'!A:A,'Plano de Contas'!C:C)</f>
        <v>(-) Deduções da Receita</v>
      </c>
      <c r="E1206" s="5" t="str">
        <f>_xlfn.XLOOKUP(fOrcado[[#This Row],[Conta]],'Plano de Contas'!A:A,'Plano de Contas'!D:D)</f>
        <v>03 - Devoluções de Produtos</v>
      </c>
    </row>
    <row r="1207" spans="1:5" x14ac:dyDescent="0.25">
      <c r="A1207" s="23">
        <f t="shared" si="16"/>
        <v>43709</v>
      </c>
      <c r="B1207" s="5" t="s">
        <v>136</v>
      </c>
      <c r="C1207" s="5">
        <v>-6861</v>
      </c>
      <c r="D1207" s="5" t="str">
        <f>_xlfn.XLOOKUP(fOrcado[[#This Row],[Conta]],'Plano de Contas'!A:A,'Plano de Contas'!C:C)</f>
        <v>(-) Deduções da Receita</v>
      </c>
      <c r="E1207" s="5" t="str">
        <f>_xlfn.XLOOKUP(fOrcado[[#This Row],[Conta]],'Plano de Contas'!A:A,'Plano de Contas'!D:D)</f>
        <v>04 - Taxas de Serviço</v>
      </c>
    </row>
    <row r="1208" spans="1:5" x14ac:dyDescent="0.25">
      <c r="A1208" s="23">
        <f t="shared" si="16"/>
        <v>43709</v>
      </c>
      <c r="B1208" s="5" t="s">
        <v>137</v>
      </c>
      <c r="C1208" s="5">
        <v>-5255</v>
      </c>
      <c r="D1208" s="5" t="str">
        <f>_xlfn.XLOOKUP(fOrcado[[#This Row],[Conta]],'Plano de Contas'!A:A,'Plano de Contas'!C:C)</f>
        <v>(-) Deduções da Receita</v>
      </c>
      <c r="E1208" s="5" t="str">
        <f>_xlfn.XLOOKUP(fOrcado[[#This Row],[Conta]],'Plano de Contas'!A:A,'Plano de Contas'!D:D)</f>
        <v>04 - Taxas de Serviço</v>
      </c>
    </row>
    <row r="1209" spans="1:5" x14ac:dyDescent="0.25">
      <c r="A1209" s="23">
        <f t="shared" si="16"/>
        <v>43709</v>
      </c>
      <c r="B1209" s="5" t="s">
        <v>138</v>
      </c>
      <c r="C1209" s="5">
        <v>-9452</v>
      </c>
      <c r="D1209" s="5" t="str">
        <f>_xlfn.XLOOKUP(fOrcado[[#This Row],[Conta]],'Plano de Contas'!A:A,'Plano de Contas'!C:C)</f>
        <v>(-) Deduções da Receita</v>
      </c>
      <c r="E1209" s="5" t="str">
        <f>_xlfn.XLOOKUP(fOrcado[[#This Row],[Conta]],'Plano de Contas'!A:A,'Plano de Contas'!D:D)</f>
        <v>04 - Taxas de Serviço</v>
      </c>
    </row>
    <row r="1210" spans="1:5" x14ac:dyDescent="0.25">
      <c r="A1210" s="23">
        <f t="shared" ref="A1210:A1222" si="17">EDATE(A1070,1)</f>
        <v>43709</v>
      </c>
      <c r="B1210" s="5" t="s">
        <v>139</v>
      </c>
      <c r="C1210" s="5">
        <v>-7625</v>
      </c>
      <c r="D1210" s="5" t="str">
        <f>_xlfn.XLOOKUP(fOrcado[[#This Row],[Conta]],'Plano de Contas'!A:A,'Plano de Contas'!C:C)</f>
        <v>(-) Deduções da Receita</v>
      </c>
      <c r="E1210" s="5" t="str">
        <f>_xlfn.XLOOKUP(fOrcado[[#This Row],[Conta]],'Plano de Contas'!A:A,'Plano de Contas'!D:D)</f>
        <v>04 - Taxas de Serviço</v>
      </c>
    </row>
    <row r="1211" spans="1:5" x14ac:dyDescent="0.25">
      <c r="A1211" s="23">
        <f t="shared" si="17"/>
        <v>43709</v>
      </c>
      <c r="B1211" s="5" t="s">
        <v>140</v>
      </c>
      <c r="C1211" s="5">
        <v>-166850</v>
      </c>
      <c r="D1211" s="5" t="str">
        <f>_xlfn.XLOOKUP(fOrcado[[#This Row],[Conta]],'Plano de Contas'!A:A,'Plano de Contas'!C:C)</f>
        <v>(-) Custos de Vendas</v>
      </c>
      <c r="E1211" s="5" t="str">
        <f>_xlfn.XLOOKUP(fOrcado[[#This Row],[Conta]],'Plano de Contas'!A:A,'Plano de Contas'!D:D)</f>
        <v>05 - Custo do Produto</v>
      </c>
    </row>
    <row r="1212" spans="1:5" x14ac:dyDescent="0.25">
      <c r="A1212" s="23">
        <f t="shared" si="17"/>
        <v>43709</v>
      </c>
      <c r="B1212" s="5" t="s">
        <v>141</v>
      </c>
      <c r="C1212" s="5">
        <v>-98963</v>
      </c>
      <c r="D1212" s="5" t="str">
        <f>_xlfn.XLOOKUP(fOrcado[[#This Row],[Conta]],'Plano de Contas'!A:A,'Plano de Contas'!C:C)</f>
        <v>(-) Custos de Vendas</v>
      </c>
      <c r="E1212" s="5" t="str">
        <f>_xlfn.XLOOKUP(fOrcado[[#This Row],[Conta]],'Plano de Contas'!A:A,'Plano de Contas'!D:D)</f>
        <v>05 - Custo do Produto</v>
      </c>
    </row>
    <row r="1213" spans="1:5" x14ac:dyDescent="0.25">
      <c r="A1213" s="23">
        <f t="shared" si="17"/>
        <v>43709</v>
      </c>
      <c r="B1213" s="5" t="s">
        <v>142</v>
      </c>
      <c r="C1213" s="5">
        <v>-106592</v>
      </c>
      <c r="D1213" s="5" t="str">
        <f>_xlfn.XLOOKUP(fOrcado[[#This Row],[Conta]],'Plano de Contas'!A:A,'Plano de Contas'!C:C)</f>
        <v>(-) Custos de Vendas</v>
      </c>
      <c r="E1213" s="5" t="str">
        <f>_xlfn.XLOOKUP(fOrcado[[#This Row],[Conta]],'Plano de Contas'!A:A,'Plano de Contas'!D:D)</f>
        <v>05 - Custo do Produto</v>
      </c>
    </row>
    <row r="1214" spans="1:5" x14ac:dyDescent="0.25">
      <c r="A1214" s="23">
        <f t="shared" si="17"/>
        <v>43709</v>
      </c>
      <c r="B1214" s="5" t="s">
        <v>143</v>
      </c>
      <c r="C1214" s="5">
        <v>-262072</v>
      </c>
      <c r="D1214" s="5" t="str">
        <f>_xlfn.XLOOKUP(fOrcado[[#This Row],[Conta]],'Plano de Contas'!A:A,'Plano de Contas'!C:C)</f>
        <v>(-) Custos de Vendas</v>
      </c>
      <c r="E1214" s="5" t="str">
        <f>_xlfn.XLOOKUP(fOrcado[[#This Row],[Conta]],'Plano de Contas'!A:A,'Plano de Contas'!D:D)</f>
        <v>05 - Custo do Produto</v>
      </c>
    </row>
    <row r="1215" spans="1:5" x14ac:dyDescent="0.25">
      <c r="A1215" s="23">
        <f t="shared" si="17"/>
        <v>43709</v>
      </c>
      <c r="B1215" s="5" t="s">
        <v>144</v>
      </c>
      <c r="C1215" s="5">
        <v>-128391</v>
      </c>
      <c r="D1215" s="5" t="str">
        <f>_xlfn.XLOOKUP(fOrcado[[#This Row],[Conta]],'Plano de Contas'!A:A,'Plano de Contas'!C:C)</f>
        <v>(-) Custos de Vendas</v>
      </c>
      <c r="E1215" s="5" t="str">
        <f>_xlfn.XLOOKUP(fOrcado[[#This Row],[Conta]],'Plano de Contas'!A:A,'Plano de Contas'!D:D)</f>
        <v>05 - Custo do Produto</v>
      </c>
    </row>
    <row r="1216" spans="1:5" x14ac:dyDescent="0.25">
      <c r="A1216" s="23">
        <f t="shared" si="17"/>
        <v>43709</v>
      </c>
      <c r="B1216" s="5" t="s">
        <v>145</v>
      </c>
      <c r="C1216" s="5">
        <v>-221487</v>
      </c>
      <c r="D1216" s="5" t="str">
        <f>_xlfn.XLOOKUP(fOrcado[[#This Row],[Conta]],'Plano de Contas'!A:A,'Plano de Contas'!C:C)</f>
        <v>(-) Custos de Vendas</v>
      </c>
      <c r="E1216" s="5" t="str">
        <f>_xlfn.XLOOKUP(fOrcado[[#This Row],[Conta]],'Plano de Contas'!A:A,'Plano de Contas'!D:D)</f>
        <v>05 - Custo do Produto</v>
      </c>
    </row>
    <row r="1217" spans="1:5" x14ac:dyDescent="0.25">
      <c r="A1217" s="23">
        <f t="shared" si="17"/>
        <v>43709</v>
      </c>
      <c r="B1217" s="5" t="s">
        <v>146</v>
      </c>
      <c r="C1217" s="5">
        <v>-170398</v>
      </c>
      <c r="D1217" s="5" t="str">
        <f>_xlfn.XLOOKUP(fOrcado[[#This Row],[Conta]],'Plano de Contas'!A:A,'Plano de Contas'!C:C)</f>
        <v>(-) Custos de Vendas</v>
      </c>
      <c r="E1217" s="5" t="str">
        <f>_xlfn.XLOOKUP(fOrcado[[#This Row],[Conta]],'Plano de Contas'!A:A,'Plano de Contas'!D:D)</f>
        <v>05 - Custo do Produto</v>
      </c>
    </row>
    <row r="1218" spans="1:5" x14ac:dyDescent="0.25">
      <c r="A1218" s="23">
        <f t="shared" si="17"/>
        <v>43709</v>
      </c>
      <c r="B1218" s="5" t="s">
        <v>147</v>
      </c>
      <c r="C1218" s="5">
        <v>-89141</v>
      </c>
      <c r="D1218" s="5" t="str">
        <f>_xlfn.XLOOKUP(fOrcado[[#This Row],[Conta]],'Plano de Contas'!A:A,'Plano de Contas'!C:C)</f>
        <v>(-) Custos de Vendas</v>
      </c>
      <c r="E1218" s="5" t="str">
        <f>_xlfn.XLOOKUP(fOrcado[[#This Row],[Conta]],'Plano de Contas'!A:A,'Plano de Contas'!D:D)</f>
        <v>05 - Custo do Produto</v>
      </c>
    </row>
    <row r="1219" spans="1:5" x14ac:dyDescent="0.25">
      <c r="A1219" s="23">
        <f t="shared" si="17"/>
        <v>43709</v>
      </c>
      <c r="B1219" s="5" t="s">
        <v>148</v>
      </c>
      <c r="C1219" s="5">
        <v>-159411</v>
      </c>
      <c r="D1219" s="5" t="str">
        <f>_xlfn.XLOOKUP(fOrcado[[#This Row],[Conta]],'Plano de Contas'!A:A,'Plano de Contas'!C:C)</f>
        <v>(-) Custos de Vendas</v>
      </c>
      <c r="E1219" s="5" t="str">
        <f>_xlfn.XLOOKUP(fOrcado[[#This Row],[Conta]],'Plano de Contas'!A:A,'Plano de Contas'!D:D)</f>
        <v>05 - Custo do Produto</v>
      </c>
    </row>
    <row r="1220" spans="1:5" x14ac:dyDescent="0.25">
      <c r="A1220" s="23">
        <f t="shared" si="17"/>
        <v>43709</v>
      </c>
      <c r="B1220" s="5" t="s">
        <v>149</v>
      </c>
      <c r="C1220" s="5">
        <v>-128654</v>
      </c>
      <c r="D1220" s="5" t="str">
        <f>_xlfn.XLOOKUP(fOrcado[[#This Row],[Conta]],'Plano de Contas'!A:A,'Plano de Contas'!C:C)</f>
        <v>(-) Custos de Vendas</v>
      </c>
      <c r="E1220" s="5" t="str">
        <f>_xlfn.XLOOKUP(fOrcado[[#This Row],[Conta]],'Plano de Contas'!A:A,'Plano de Contas'!D:D)</f>
        <v>05 - Custo do Produto</v>
      </c>
    </row>
    <row r="1221" spans="1:5" x14ac:dyDescent="0.25">
      <c r="A1221" s="23">
        <f t="shared" si="17"/>
        <v>43709</v>
      </c>
      <c r="B1221" s="5" t="s">
        <v>150</v>
      </c>
      <c r="C1221" s="5">
        <v>-206530</v>
      </c>
      <c r="D1221" s="5" t="str">
        <f>_xlfn.XLOOKUP(fOrcado[[#This Row],[Conta]],'Plano de Contas'!A:A,'Plano de Contas'!C:C)</f>
        <v>(-) Custos de Vendas</v>
      </c>
      <c r="E1221" s="5" t="str">
        <f>_xlfn.XLOOKUP(fOrcado[[#This Row],[Conta]],'Plano de Contas'!A:A,'Plano de Contas'!D:D)</f>
        <v>05 - Custo do Produto</v>
      </c>
    </row>
    <row r="1222" spans="1:5" x14ac:dyDescent="0.25">
      <c r="A1222" s="23">
        <f t="shared" si="17"/>
        <v>43709</v>
      </c>
      <c r="B1222" s="5" t="s">
        <v>151</v>
      </c>
      <c r="C1222" s="5">
        <v>-184087</v>
      </c>
      <c r="D1222" s="5" t="str">
        <f>_xlfn.XLOOKUP(fOrcado[[#This Row],[Conta]],'Plano de Contas'!A:A,'Plano de Contas'!C:C)</f>
        <v>(-) Custos de Vendas</v>
      </c>
      <c r="E1222" s="5" t="str">
        <f>_xlfn.XLOOKUP(fOrcado[[#This Row],[Conta]],'Plano de Contas'!A:A,'Plano de Contas'!D:D)</f>
        <v>05 - Custo do Produto</v>
      </c>
    </row>
    <row r="1223" spans="1:5" x14ac:dyDescent="0.25">
      <c r="A1223" s="23">
        <f>EDATE(A1083,1)</f>
        <v>43709</v>
      </c>
      <c r="B1223" s="5" t="s">
        <v>152</v>
      </c>
      <c r="C1223" s="5">
        <v>-224430</v>
      </c>
      <c r="D1223" s="5" t="str">
        <f>_xlfn.XLOOKUP(fOrcado[[#This Row],[Conta]],'Plano de Contas'!A:A,'Plano de Contas'!C:C)</f>
        <v>(-) Custos de Vendas</v>
      </c>
      <c r="E1223" s="5" t="str">
        <f>_xlfn.XLOOKUP(fOrcado[[#This Row],[Conta]],'Plano de Contas'!A:A,'Plano de Contas'!D:D)</f>
        <v>05 - Custo do Produto</v>
      </c>
    </row>
    <row r="1224" spans="1:5" x14ac:dyDescent="0.25">
      <c r="A1224" s="23">
        <f t="shared" ref="A1224:A1287" si="18">EDATE(A1084,1)</f>
        <v>43709</v>
      </c>
      <c r="B1224" s="5" t="s">
        <v>153</v>
      </c>
      <c r="C1224" s="5">
        <v>-130492</v>
      </c>
      <c r="D1224" s="5" t="str">
        <f>_xlfn.XLOOKUP(fOrcado[[#This Row],[Conta]],'Plano de Contas'!A:A,'Plano de Contas'!C:C)</f>
        <v>(-) Custos de Vendas</v>
      </c>
      <c r="E1224" s="5" t="str">
        <f>_xlfn.XLOOKUP(fOrcado[[#This Row],[Conta]],'Plano de Contas'!A:A,'Plano de Contas'!D:D)</f>
        <v>05 - Custo do Produto</v>
      </c>
    </row>
    <row r="1225" spans="1:5" x14ac:dyDescent="0.25">
      <c r="A1225" s="23">
        <f t="shared" si="18"/>
        <v>43709</v>
      </c>
      <c r="B1225" s="5" t="s">
        <v>154</v>
      </c>
      <c r="C1225" s="5">
        <v>-233553</v>
      </c>
      <c r="D1225" s="5" t="str">
        <f>_xlfn.XLOOKUP(fOrcado[[#This Row],[Conta]],'Plano de Contas'!A:A,'Plano de Contas'!C:C)</f>
        <v>(-) Custos de Vendas</v>
      </c>
      <c r="E1225" s="5" t="str">
        <f>_xlfn.XLOOKUP(fOrcado[[#This Row],[Conta]],'Plano de Contas'!A:A,'Plano de Contas'!D:D)</f>
        <v>05 - Custo do Produto</v>
      </c>
    </row>
    <row r="1226" spans="1:5" x14ac:dyDescent="0.25">
      <c r="A1226" s="23">
        <f t="shared" si="18"/>
        <v>43709</v>
      </c>
      <c r="B1226" s="5" t="s">
        <v>155</v>
      </c>
      <c r="C1226" s="5">
        <v>-209780</v>
      </c>
      <c r="D1226" s="5" t="str">
        <f>_xlfn.XLOOKUP(fOrcado[[#This Row],[Conta]],'Plano de Contas'!A:A,'Plano de Contas'!C:C)</f>
        <v>(-) Custos de Vendas</v>
      </c>
      <c r="E1226" s="5" t="str">
        <f>_xlfn.XLOOKUP(fOrcado[[#This Row],[Conta]],'Plano de Contas'!A:A,'Plano de Contas'!D:D)</f>
        <v>05 - Custo do Produto</v>
      </c>
    </row>
    <row r="1227" spans="1:5" x14ac:dyDescent="0.25">
      <c r="A1227" s="23">
        <f t="shared" si="18"/>
        <v>43709</v>
      </c>
      <c r="B1227" s="5" t="s">
        <v>156</v>
      </c>
      <c r="C1227" s="5">
        <v>-141786</v>
      </c>
      <c r="D1227" s="5" t="str">
        <f>_xlfn.XLOOKUP(fOrcado[[#This Row],[Conta]],'Plano de Contas'!A:A,'Plano de Contas'!C:C)</f>
        <v>(-) Custos de Vendas</v>
      </c>
      <c r="E1227" s="5" t="str">
        <f>_xlfn.XLOOKUP(fOrcado[[#This Row],[Conta]],'Plano de Contas'!A:A,'Plano de Contas'!D:D)</f>
        <v>05 - Custo do Produto</v>
      </c>
    </row>
    <row r="1228" spans="1:5" x14ac:dyDescent="0.25">
      <c r="A1228" s="23">
        <f t="shared" si="18"/>
        <v>43709</v>
      </c>
      <c r="B1228" s="5" t="s">
        <v>157</v>
      </c>
      <c r="C1228" s="5">
        <v>-212917</v>
      </c>
      <c r="D1228" s="5" t="str">
        <f>_xlfn.XLOOKUP(fOrcado[[#This Row],[Conta]],'Plano de Contas'!A:A,'Plano de Contas'!C:C)</f>
        <v>(-) Custos de Vendas</v>
      </c>
      <c r="E1228" s="5" t="str">
        <f>_xlfn.XLOOKUP(fOrcado[[#This Row],[Conta]],'Plano de Contas'!A:A,'Plano de Contas'!D:D)</f>
        <v>05 - Custo do Produto</v>
      </c>
    </row>
    <row r="1229" spans="1:5" x14ac:dyDescent="0.25">
      <c r="A1229" s="23">
        <f t="shared" si="18"/>
        <v>43709</v>
      </c>
      <c r="B1229" s="5" t="s">
        <v>158</v>
      </c>
      <c r="C1229" s="5">
        <v>-135373</v>
      </c>
      <c r="D1229" s="5" t="str">
        <f>_xlfn.XLOOKUP(fOrcado[[#This Row],[Conta]],'Plano de Contas'!A:A,'Plano de Contas'!C:C)</f>
        <v>(-) Custos de Vendas</v>
      </c>
      <c r="E1229" s="5" t="str">
        <f>_xlfn.XLOOKUP(fOrcado[[#This Row],[Conta]],'Plano de Contas'!A:A,'Plano de Contas'!D:D)</f>
        <v>05 - Custo do Produto</v>
      </c>
    </row>
    <row r="1230" spans="1:5" x14ac:dyDescent="0.25">
      <c r="A1230" s="23">
        <f t="shared" si="18"/>
        <v>43709</v>
      </c>
      <c r="B1230" s="5" t="s">
        <v>159</v>
      </c>
      <c r="C1230" s="5">
        <v>-170543</v>
      </c>
      <c r="D1230" s="5" t="str">
        <f>_xlfn.XLOOKUP(fOrcado[[#This Row],[Conta]],'Plano de Contas'!A:A,'Plano de Contas'!C:C)</f>
        <v>(-) Custos de Vendas</v>
      </c>
      <c r="E1230" s="5" t="str">
        <f>_xlfn.XLOOKUP(fOrcado[[#This Row],[Conta]],'Plano de Contas'!A:A,'Plano de Contas'!D:D)</f>
        <v>05 - Custo do Produto</v>
      </c>
    </row>
    <row r="1231" spans="1:5" x14ac:dyDescent="0.25">
      <c r="A1231" s="23">
        <f t="shared" si="18"/>
        <v>43709</v>
      </c>
      <c r="B1231" s="5" t="s">
        <v>160</v>
      </c>
      <c r="C1231" s="5">
        <v>-163805</v>
      </c>
      <c r="D1231" s="5" t="str">
        <f>_xlfn.XLOOKUP(fOrcado[[#This Row],[Conta]],'Plano de Contas'!A:A,'Plano de Contas'!C:C)</f>
        <v>(-) Custos de Vendas</v>
      </c>
      <c r="E1231" s="5" t="str">
        <f>_xlfn.XLOOKUP(fOrcado[[#This Row],[Conta]],'Plano de Contas'!A:A,'Plano de Contas'!D:D)</f>
        <v>05 - Custo do Produto</v>
      </c>
    </row>
    <row r="1232" spans="1:5" x14ac:dyDescent="0.25">
      <c r="A1232" s="23">
        <f t="shared" si="18"/>
        <v>43709</v>
      </c>
      <c r="B1232" s="5" t="s">
        <v>161</v>
      </c>
      <c r="C1232" s="5">
        <v>-84690</v>
      </c>
      <c r="D1232" s="5" t="str">
        <f>_xlfn.XLOOKUP(fOrcado[[#This Row],[Conta]],'Plano de Contas'!A:A,'Plano de Contas'!C:C)</f>
        <v>(-) Custos de Vendas</v>
      </c>
      <c r="E1232" s="5" t="str">
        <f>_xlfn.XLOOKUP(fOrcado[[#This Row],[Conta]],'Plano de Contas'!A:A,'Plano de Contas'!D:D)</f>
        <v>05 - Custo do Produto</v>
      </c>
    </row>
    <row r="1233" spans="1:5" x14ac:dyDescent="0.25">
      <c r="A1233" s="23">
        <f t="shared" si="18"/>
        <v>43709</v>
      </c>
      <c r="B1233" s="5" t="s">
        <v>162</v>
      </c>
      <c r="C1233" s="5">
        <v>-83151</v>
      </c>
      <c r="D1233" s="5" t="str">
        <f>_xlfn.XLOOKUP(fOrcado[[#This Row],[Conta]],'Plano de Contas'!A:A,'Plano de Contas'!C:C)</f>
        <v>(-) Custos de Vendas</v>
      </c>
      <c r="E1233" s="5" t="str">
        <f>_xlfn.XLOOKUP(fOrcado[[#This Row],[Conta]],'Plano de Contas'!A:A,'Plano de Contas'!D:D)</f>
        <v>05 - Custo do Produto</v>
      </c>
    </row>
    <row r="1234" spans="1:5" x14ac:dyDescent="0.25">
      <c r="A1234" s="23">
        <f t="shared" si="18"/>
        <v>43709</v>
      </c>
      <c r="B1234" s="5" t="s">
        <v>163</v>
      </c>
      <c r="C1234" s="5">
        <v>-180849</v>
      </c>
      <c r="D1234" s="5" t="str">
        <f>_xlfn.XLOOKUP(fOrcado[[#This Row],[Conta]],'Plano de Contas'!A:A,'Plano de Contas'!C:C)</f>
        <v>(-) Custos de Vendas</v>
      </c>
      <c r="E1234" s="5" t="str">
        <f>_xlfn.XLOOKUP(fOrcado[[#This Row],[Conta]],'Plano de Contas'!A:A,'Plano de Contas'!D:D)</f>
        <v>05 - Custo do Produto</v>
      </c>
    </row>
    <row r="1235" spans="1:5" x14ac:dyDescent="0.25">
      <c r="A1235" s="23">
        <f t="shared" si="18"/>
        <v>43709</v>
      </c>
      <c r="B1235" s="5" t="s">
        <v>164</v>
      </c>
      <c r="C1235" s="5">
        <v>-67339</v>
      </c>
      <c r="D1235" s="5" t="str">
        <f>_xlfn.XLOOKUP(fOrcado[[#This Row],[Conta]],'Plano de Contas'!A:A,'Plano de Contas'!C:C)</f>
        <v>(-) Custos de Vendas</v>
      </c>
      <c r="E1235" s="5" t="str">
        <f>_xlfn.XLOOKUP(fOrcado[[#This Row],[Conta]],'Plano de Contas'!A:A,'Plano de Contas'!D:D)</f>
        <v>06 - Outros Custos</v>
      </c>
    </row>
    <row r="1236" spans="1:5" x14ac:dyDescent="0.25">
      <c r="A1236" s="23">
        <f t="shared" si="18"/>
        <v>43709</v>
      </c>
      <c r="B1236" s="5" t="s">
        <v>165</v>
      </c>
      <c r="C1236" s="5">
        <v>-83807</v>
      </c>
      <c r="D1236" s="5" t="str">
        <f>_xlfn.XLOOKUP(fOrcado[[#This Row],[Conta]],'Plano de Contas'!A:A,'Plano de Contas'!C:C)</f>
        <v>(-) Custos de Vendas</v>
      </c>
      <c r="E1236" s="5" t="str">
        <f>_xlfn.XLOOKUP(fOrcado[[#This Row],[Conta]],'Plano de Contas'!A:A,'Plano de Contas'!D:D)</f>
        <v>06 - Outros Custos</v>
      </c>
    </row>
    <row r="1237" spans="1:5" x14ac:dyDescent="0.25">
      <c r="A1237" s="23">
        <f t="shared" si="18"/>
        <v>43709</v>
      </c>
      <c r="B1237" s="5" t="s">
        <v>166</v>
      </c>
      <c r="C1237" s="5">
        <v>-87192</v>
      </c>
      <c r="D1237" s="5" t="str">
        <f>_xlfn.XLOOKUP(fOrcado[[#This Row],[Conta]],'Plano de Contas'!A:A,'Plano de Contas'!C:C)</f>
        <v>(-) Custos de Vendas</v>
      </c>
      <c r="E1237" s="5" t="str">
        <f>_xlfn.XLOOKUP(fOrcado[[#This Row],[Conta]],'Plano de Contas'!A:A,'Plano de Contas'!D:D)</f>
        <v>06 - Outros Custos</v>
      </c>
    </row>
    <row r="1238" spans="1:5" x14ac:dyDescent="0.25">
      <c r="A1238" s="23">
        <f t="shared" si="18"/>
        <v>43709</v>
      </c>
      <c r="B1238" s="5" t="s">
        <v>167</v>
      </c>
      <c r="C1238" s="5">
        <v>-190663</v>
      </c>
      <c r="D1238" s="5" t="str">
        <f>_xlfn.XLOOKUP(fOrcado[[#This Row],[Conta]],'Plano de Contas'!A:A,'Plano de Contas'!C:C)</f>
        <v>(-) Despesas Gerais</v>
      </c>
      <c r="E1238" s="5" t="str">
        <f>_xlfn.XLOOKUP(fOrcado[[#This Row],[Conta]],'Plano de Contas'!A:A,'Plano de Contas'!D:D)</f>
        <v>07 - Despesas Administrativas</v>
      </c>
    </row>
    <row r="1239" spans="1:5" x14ac:dyDescent="0.25">
      <c r="A1239" s="23">
        <f t="shared" si="18"/>
        <v>43709</v>
      </c>
      <c r="B1239" s="5" t="s">
        <v>168</v>
      </c>
      <c r="C1239" s="5">
        <v>-93485</v>
      </c>
      <c r="D1239" s="5" t="str">
        <f>_xlfn.XLOOKUP(fOrcado[[#This Row],[Conta]],'Plano de Contas'!A:A,'Plano de Contas'!C:C)</f>
        <v>(-) Despesas Gerais</v>
      </c>
      <c r="E1239" s="5" t="str">
        <f>_xlfn.XLOOKUP(fOrcado[[#This Row],[Conta]],'Plano de Contas'!A:A,'Plano de Contas'!D:D)</f>
        <v>07 - Despesas Administrativas</v>
      </c>
    </row>
    <row r="1240" spans="1:5" x14ac:dyDescent="0.25">
      <c r="A1240" s="23">
        <f t="shared" si="18"/>
        <v>43709</v>
      </c>
      <c r="B1240" s="5" t="s">
        <v>169</v>
      </c>
      <c r="C1240" s="5">
        <v>-270247</v>
      </c>
      <c r="D1240" s="5" t="str">
        <f>_xlfn.XLOOKUP(fOrcado[[#This Row],[Conta]],'Plano de Contas'!A:A,'Plano de Contas'!C:C)</f>
        <v>(-) Despesas Gerais</v>
      </c>
      <c r="E1240" s="5" t="str">
        <f>_xlfn.XLOOKUP(fOrcado[[#This Row],[Conta]],'Plano de Contas'!A:A,'Plano de Contas'!D:D)</f>
        <v>07 - Despesas Administrativas</v>
      </c>
    </row>
    <row r="1241" spans="1:5" x14ac:dyDescent="0.25">
      <c r="A1241" s="23">
        <f t="shared" si="18"/>
        <v>43709</v>
      </c>
      <c r="B1241" s="5" t="s">
        <v>170</v>
      </c>
      <c r="C1241" s="5">
        <v>-267024</v>
      </c>
      <c r="D1241" s="5" t="str">
        <f>_xlfn.XLOOKUP(fOrcado[[#This Row],[Conta]],'Plano de Contas'!A:A,'Plano de Contas'!C:C)</f>
        <v>(-) Despesas Gerais</v>
      </c>
      <c r="E1241" s="5" t="str">
        <f>_xlfn.XLOOKUP(fOrcado[[#This Row],[Conta]],'Plano de Contas'!A:A,'Plano de Contas'!D:D)</f>
        <v>07 - Despesas Administrativas</v>
      </c>
    </row>
    <row r="1242" spans="1:5" x14ac:dyDescent="0.25">
      <c r="A1242" s="23">
        <f t="shared" si="18"/>
        <v>43709</v>
      </c>
      <c r="B1242" s="5" t="s">
        <v>171</v>
      </c>
      <c r="C1242" s="5">
        <v>-345092</v>
      </c>
      <c r="D1242" s="5" t="str">
        <f>_xlfn.XLOOKUP(fOrcado[[#This Row],[Conta]],'Plano de Contas'!A:A,'Plano de Contas'!C:C)</f>
        <v>(-) Despesas Gerais</v>
      </c>
      <c r="E1242" s="5" t="str">
        <f>_xlfn.XLOOKUP(fOrcado[[#This Row],[Conta]],'Plano de Contas'!A:A,'Plano de Contas'!D:D)</f>
        <v>07 - Despesas Administrativas</v>
      </c>
    </row>
    <row r="1243" spans="1:5" x14ac:dyDescent="0.25">
      <c r="A1243" s="23">
        <f t="shared" si="18"/>
        <v>43709</v>
      </c>
      <c r="B1243" s="5" t="s">
        <v>172</v>
      </c>
      <c r="C1243" s="5">
        <v>-137079</v>
      </c>
      <c r="D1243" s="5" t="str">
        <f>_xlfn.XLOOKUP(fOrcado[[#This Row],[Conta]],'Plano de Contas'!A:A,'Plano de Contas'!C:C)</f>
        <v>(-) Despesas Gerais</v>
      </c>
      <c r="E1243" s="5" t="str">
        <f>_xlfn.XLOOKUP(fOrcado[[#This Row],[Conta]],'Plano de Contas'!A:A,'Plano de Contas'!D:D)</f>
        <v>07 - Despesas Administrativas</v>
      </c>
    </row>
    <row r="1244" spans="1:5" x14ac:dyDescent="0.25">
      <c r="A1244" s="23">
        <f t="shared" si="18"/>
        <v>43709</v>
      </c>
      <c r="B1244" s="5" t="s">
        <v>173</v>
      </c>
      <c r="C1244" s="5">
        <v>-59838</v>
      </c>
      <c r="D1244" s="5" t="str">
        <f>_xlfn.XLOOKUP(fOrcado[[#This Row],[Conta]],'Plano de Contas'!A:A,'Plano de Contas'!C:C)</f>
        <v>(-) Despesas Gerais</v>
      </c>
      <c r="E1244" s="5" t="str">
        <f>_xlfn.XLOOKUP(fOrcado[[#This Row],[Conta]],'Plano de Contas'!A:A,'Plano de Contas'!D:D)</f>
        <v>08 - Despesas Financeiras</v>
      </c>
    </row>
    <row r="1245" spans="1:5" x14ac:dyDescent="0.25">
      <c r="A1245" s="23">
        <f t="shared" si="18"/>
        <v>43709</v>
      </c>
      <c r="B1245" s="5" t="s">
        <v>174</v>
      </c>
      <c r="C1245" s="5">
        <v>-40653</v>
      </c>
      <c r="D1245" s="5" t="str">
        <f>_xlfn.XLOOKUP(fOrcado[[#This Row],[Conta]],'Plano de Contas'!A:A,'Plano de Contas'!C:C)</f>
        <v>(-) Despesas Gerais</v>
      </c>
      <c r="E1245" s="5" t="str">
        <f>_xlfn.XLOOKUP(fOrcado[[#This Row],[Conta]],'Plano de Contas'!A:A,'Plano de Contas'!D:D)</f>
        <v>08 - Despesas Financeiras</v>
      </c>
    </row>
    <row r="1246" spans="1:5" x14ac:dyDescent="0.25">
      <c r="A1246" s="23">
        <f t="shared" si="18"/>
        <v>43709</v>
      </c>
      <c r="B1246" s="5" t="s">
        <v>175</v>
      </c>
      <c r="C1246" s="5">
        <v>-51533</v>
      </c>
      <c r="D1246" s="5" t="str">
        <f>_xlfn.XLOOKUP(fOrcado[[#This Row],[Conta]],'Plano de Contas'!A:A,'Plano de Contas'!C:C)</f>
        <v>(-) Despesas Gerais</v>
      </c>
      <c r="E1246" s="5" t="str">
        <f>_xlfn.XLOOKUP(fOrcado[[#This Row],[Conta]],'Plano de Contas'!A:A,'Plano de Contas'!D:D)</f>
        <v>08 - Despesas Financeiras</v>
      </c>
    </row>
    <row r="1247" spans="1:5" x14ac:dyDescent="0.25">
      <c r="A1247" s="23">
        <f t="shared" si="18"/>
        <v>43709</v>
      </c>
      <c r="B1247" s="5" t="s">
        <v>176</v>
      </c>
      <c r="C1247" s="5">
        <v>-48839</v>
      </c>
      <c r="D1247" s="5" t="str">
        <f>_xlfn.XLOOKUP(fOrcado[[#This Row],[Conta]],'Plano de Contas'!A:A,'Plano de Contas'!C:C)</f>
        <v>(-) Despesas Gerais</v>
      </c>
      <c r="E1247" s="5" t="str">
        <f>_xlfn.XLOOKUP(fOrcado[[#This Row],[Conta]],'Plano de Contas'!A:A,'Plano de Contas'!D:D)</f>
        <v>08 - Despesas Financeiras</v>
      </c>
    </row>
    <row r="1248" spans="1:5" x14ac:dyDescent="0.25">
      <c r="A1248" s="23">
        <f t="shared" si="18"/>
        <v>43709</v>
      </c>
      <c r="B1248" s="5" t="s">
        <v>177</v>
      </c>
      <c r="C1248" s="5">
        <v>-57199</v>
      </c>
      <c r="D1248" s="5" t="str">
        <f>_xlfn.XLOOKUP(fOrcado[[#This Row],[Conta]],'Plano de Contas'!A:A,'Plano de Contas'!C:C)</f>
        <v>(-) Despesas Gerais</v>
      </c>
      <c r="E1248" s="5" t="str">
        <f>_xlfn.XLOOKUP(fOrcado[[#This Row],[Conta]],'Plano de Contas'!A:A,'Plano de Contas'!D:D)</f>
        <v>08 - Despesas Financeiras</v>
      </c>
    </row>
    <row r="1249" spans="1:5" x14ac:dyDescent="0.25">
      <c r="A1249" s="23">
        <f t="shared" si="18"/>
        <v>43709</v>
      </c>
      <c r="B1249" s="5" t="s">
        <v>178</v>
      </c>
      <c r="C1249" s="5">
        <v>-224630</v>
      </c>
      <c r="D1249" s="5" t="str">
        <f>_xlfn.XLOOKUP(fOrcado[[#This Row],[Conta]],'Plano de Contas'!A:A,'Plano de Contas'!C:C)</f>
        <v>(-) Despesas Gerais</v>
      </c>
      <c r="E1249" s="5" t="str">
        <f>_xlfn.XLOOKUP(fOrcado[[#This Row],[Conta]],'Plano de Contas'!A:A,'Plano de Contas'!D:D)</f>
        <v>09 - Tecnologia da Informação</v>
      </c>
    </row>
    <row r="1250" spans="1:5" x14ac:dyDescent="0.25">
      <c r="A1250" s="23">
        <f t="shared" si="18"/>
        <v>43709</v>
      </c>
      <c r="B1250" s="5" t="s">
        <v>179</v>
      </c>
      <c r="C1250" s="5">
        <v>-220785</v>
      </c>
      <c r="D1250" s="5" t="str">
        <f>_xlfn.XLOOKUP(fOrcado[[#This Row],[Conta]],'Plano de Contas'!A:A,'Plano de Contas'!C:C)</f>
        <v>(-) Despesas Gerais</v>
      </c>
      <c r="E1250" s="5" t="str">
        <f>_xlfn.XLOOKUP(fOrcado[[#This Row],[Conta]],'Plano de Contas'!A:A,'Plano de Contas'!D:D)</f>
        <v>09 - Tecnologia da Informação</v>
      </c>
    </row>
    <row r="1251" spans="1:5" x14ac:dyDescent="0.25">
      <c r="A1251" s="23">
        <f t="shared" si="18"/>
        <v>43709</v>
      </c>
      <c r="B1251" s="5" t="s">
        <v>180</v>
      </c>
      <c r="C1251" s="5">
        <v>-267467</v>
      </c>
      <c r="D1251" s="5" t="str">
        <f>_xlfn.XLOOKUP(fOrcado[[#This Row],[Conta]],'Plano de Contas'!A:A,'Plano de Contas'!C:C)</f>
        <v>(-) Despesas Gerais</v>
      </c>
      <c r="E1251" s="5" t="str">
        <f>_xlfn.XLOOKUP(fOrcado[[#This Row],[Conta]],'Plano de Contas'!A:A,'Plano de Contas'!D:D)</f>
        <v>09 - Tecnologia da Informação</v>
      </c>
    </row>
    <row r="1252" spans="1:5" x14ac:dyDescent="0.25">
      <c r="A1252" s="23">
        <f t="shared" si="18"/>
        <v>43709</v>
      </c>
      <c r="B1252" s="5" t="s">
        <v>181</v>
      </c>
      <c r="C1252" s="5">
        <v>-80234</v>
      </c>
      <c r="D1252" s="5" t="str">
        <f>_xlfn.XLOOKUP(fOrcado[[#This Row],[Conta]],'Plano de Contas'!A:A,'Plano de Contas'!C:C)</f>
        <v>(-) Despesas Gerais</v>
      </c>
      <c r="E1252" s="5" t="str">
        <f>_xlfn.XLOOKUP(fOrcado[[#This Row],[Conta]],'Plano de Contas'!A:A,'Plano de Contas'!D:D)</f>
        <v>10 - Recursos Humanos</v>
      </c>
    </row>
    <row r="1253" spans="1:5" x14ac:dyDescent="0.25">
      <c r="A1253" s="23">
        <f t="shared" si="18"/>
        <v>43709</v>
      </c>
      <c r="B1253" s="5" t="s">
        <v>182</v>
      </c>
      <c r="C1253" s="5">
        <v>-70358</v>
      </c>
      <c r="D1253" s="5" t="str">
        <f>_xlfn.XLOOKUP(fOrcado[[#This Row],[Conta]],'Plano de Contas'!A:A,'Plano de Contas'!C:C)</f>
        <v>(-) Despesas Gerais</v>
      </c>
      <c r="E1253" s="5" t="str">
        <f>_xlfn.XLOOKUP(fOrcado[[#This Row],[Conta]],'Plano de Contas'!A:A,'Plano de Contas'!D:D)</f>
        <v>10 - Recursos Humanos</v>
      </c>
    </row>
    <row r="1254" spans="1:5" x14ac:dyDescent="0.25">
      <c r="A1254" s="23">
        <f t="shared" si="18"/>
        <v>43709</v>
      </c>
      <c r="B1254" s="5" t="s">
        <v>183</v>
      </c>
      <c r="C1254" s="5">
        <v>-57115</v>
      </c>
      <c r="D1254" s="5" t="str">
        <f>_xlfn.XLOOKUP(fOrcado[[#This Row],[Conta]],'Plano de Contas'!A:A,'Plano de Contas'!C:C)</f>
        <v>(-) Despesas Gerais</v>
      </c>
      <c r="E1254" s="5" t="str">
        <f>_xlfn.XLOOKUP(fOrcado[[#This Row],[Conta]],'Plano de Contas'!A:A,'Plano de Contas'!D:D)</f>
        <v>10 - Recursos Humanos</v>
      </c>
    </row>
    <row r="1255" spans="1:5" x14ac:dyDescent="0.25">
      <c r="A1255" s="23">
        <f t="shared" si="18"/>
        <v>43709</v>
      </c>
      <c r="B1255" s="5" t="s">
        <v>184</v>
      </c>
      <c r="C1255" s="5">
        <v>-58083</v>
      </c>
      <c r="D1255" s="5" t="str">
        <f>_xlfn.XLOOKUP(fOrcado[[#This Row],[Conta]],'Plano de Contas'!A:A,'Plano de Contas'!C:C)</f>
        <v>(-) Despesas Gerais</v>
      </c>
      <c r="E1255" s="5" t="str">
        <f>_xlfn.XLOOKUP(fOrcado[[#This Row],[Conta]],'Plano de Contas'!A:A,'Plano de Contas'!D:D)</f>
        <v>10 - Recursos Humanos</v>
      </c>
    </row>
    <row r="1256" spans="1:5" x14ac:dyDescent="0.25">
      <c r="A1256" s="23">
        <f t="shared" si="18"/>
        <v>43709</v>
      </c>
      <c r="B1256" s="5" t="s">
        <v>185</v>
      </c>
      <c r="C1256" s="5">
        <v>-86046</v>
      </c>
      <c r="D1256" s="5" t="str">
        <f>_xlfn.XLOOKUP(fOrcado[[#This Row],[Conta]],'Plano de Contas'!A:A,'Plano de Contas'!C:C)</f>
        <v>(-) Despesas Gerais</v>
      </c>
      <c r="E1256" s="5" t="str">
        <f>_xlfn.XLOOKUP(fOrcado[[#This Row],[Conta]],'Plano de Contas'!A:A,'Plano de Contas'!D:D)</f>
        <v>11 - Relacionamento com Cliente</v>
      </c>
    </row>
    <row r="1257" spans="1:5" x14ac:dyDescent="0.25">
      <c r="A1257" s="23">
        <f t="shared" si="18"/>
        <v>43709</v>
      </c>
      <c r="B1257" s="5" t="s">
        <v>186</v>
      </c>
      <c r="C1257" s="5">
        <v>-115472</v>
      </c>
      <c r="D1257" s="5" t="str">
        <f>_xlfn.XLOOKUP(fOrcado[[#This Row],[Conta]],'Plano de Contas'!A:A,'Plano de Contas'!C:C)</f>
        <v>(-) Despesas Gerais</v>
      </c>
      <c r="E1257" s="5" t="str">
        <f>_xlfn.XLOOKUP(fOrcado[[#This Row],[Conta]],'Plano de Contas'!A:A,'Plano de Contas'!D:D)</f>
        <v>11 - Relacionamento com Cliente</v>
      </c>
    </row>
    <row r="1258" spans="1:5" x14ac:dyDescent="0.25">
      <c r="A1258" s="23">
        <f t="shared" si="18"/>
        <v>43709</v>
      </c>
      <c r="B1258" s="5" t="s">
        <v>187</v>
      </c>
      <c r="C1258" s="5">
        <v>-192581</v>
      </c>
      <c r="D1258" s="5" t="str">
        <f>_xlfn.XLOOKUP(fOrcado[[#This Row],[Conta]],'Plano de Contas'!A:A,'Plano de Contas'!C:C)</f>
        <v>(-) Despesas Gerais</v>
      </c>
      <c r="E1258" s="5" t="str">
        <f>_xlfn.XLOOKUP(fOrcado[[#This Row],[Conta]],'Plano de Contas'!A:A,'Plano de Contas'!D:D)</f>
        <v>12 - Marketing e Divulgação</v>
      </c>
    </row>
    <row r="1259" spans="1:5" x14ac:dyDescent="0.25">
      <c r="A1259" s="23">
        <f t="shared" si="18"/>
        <v>43709</v>
      </c>
      <c r="B1259" s="5" t="s">
        <v>188</v>
      </c>
      <c r="C1259" s="5">
        <v>-206853</v>
      </c>
      <c r="D1259" s="5" t="str">
        <f>_xlfn.XLOOKUP(fOrcado[[#This Row],[Conta]],'Plano de Contas'!A:A,'Plano de Contas'!C:C)</f>
        <v>(-) Despesas Gerais</v>
      </c>
      <c r="E1259" s="5" t="str">
        <f>_xlfn.XLOOKUP(fOrcado[[#This Row],[Conta]],'Plano de Contas'!A:A,'Plano de Contas'!D:D)</f>
        <v>12 - Marketing e Divulgação</v>
      </c>
    </row>
    <row r="1260" spans="1:5" x14ac:dyDescent="0.25">
      <c r="A1260" s="23">
        <f t="shared" si="18"/>
        <v>43709</v>
      </c>
      <c r="B1260" s="5" t="s">
        <v>189</v>
      </c>
      <c r="C1260" s="5">
        <v>-8068</v>
      </c>
      <c r="D1260" s="5" t="str">
        <f>_xlfn.XLOOKUP(fOrcado[[#This Row],[Conta]],'Plano de Contas'!A:A,'Plano de Contas'!C:C)</f>
        <v>(-) Impostos</v>
      </c>
      <c r="E1260" s="5" t="str">
        <f>_xlfn.XLOOKUP(fOrcado[[#This Row],[Conta]],'Plano de Contas'!A:A,'Plano de Contas'!D:D)</f>
        <v>13 - Impostos Estaduais</v>
      </c>
    </row>
    <row r="1261" spans="1:5" x14ac:dyDescent="0.25">
      <c r="A1261" s="23">
        <f t="shared" si="18"/>
        <v>43709</v>
      </c>
      <c r="B1261" s="5" t="s">
        <v>190</v>
      </c>
      <c r="C1261" s="5">
        <v>-28421</v>
      </c>
      <c r="D1261" s="5" t="str">
        <f>_xlfn.XLOOKUP(fOrcado[[#This Row],[Conta]],'Plano de Contas'!A:A,'Plano de Contas'!C:C)</f>
        <v>(-) Impostos</v>
      </c>
      <c r="E1261" s="5" t="str">
        <f>_xlfn.XLOOKUP(fOrcado[[#This Row],[Conta]],'Plano de Contas'!A:A,'Plano de Contas'!D:D)</f>
        <v>14 - Impostos Federais</v>
      </c>
    </row>
    <row r="1262" spans="1:5" x14ac:dyDescent="0.25">
      <c r="A1262" s="23">
        <f t="shared" si="18"/>
        <v>43739</v>
      </c>
      <c r="B1262" s="5" t="s">
        <v>51</v>
      </c>
      <c r="C1262" s="5">
        <v>642958</v>
      </c>
      <c r="D1262" s="5" t="str">
        <f>_xlfn.XLOOKUP(fOrcado[[#This Row],[Conta]],'Plano de Contas'!A:A,'Plano de Contas'!C:C)</f>
        <v>(+) RECEITA BRUTA</v>
      </c>
      <c r="E1262" s="5" t="str">
        <f>_xlfn.XLOOKUP(fOrcado[[#This Row],[Conta]],'Plano de Contas'!A:A,'Plano de Contas'!D:D)</f>
        <v>01 - Vendas de Produtos</v>
      </c>
    </row>
    <row r="1263" spans="1:5" x14ac:dyDescent="0.25">
      <c r="A1263" s="23">
        <f t="shared" si="18"/>
        <v>43739</v>
      </c>
      <c r="B1263" s="5" t="s">
        <v>52</v>
      </c>
      <c r="C1263" s="5">
        <v>361840</v>
      </c>
      <c r="D1263" s="5" t="str">
        <f>_xlfn.XLOOKUP(fOrcado[[#This Row],[Conta]],'Plano de Contas'!A:A,'Plano de Contas'!C:C)</f>
        <v>(+) RECEITA BRUTA</v>
      </c>
      <c r="E1263" s="5" t="str">
        <f>_xlfn.XLOOKUP(fOrcado[[#This Row],[Conta]],'Plano de Contas'!A:A,'Plano de Contas'!D:D)</f>
        <v>01 - Vendas de Produtos</v>
      </c>
    </row>
    <row r="1264" spans="1:5" x14ac:dyDescent="0.25">
      <c r="A1264" s="23">
        <f t="shared" si="18"/>
        <v>43739</v>
      </c>
      <c r="B1264" s="5" t="s">
        <v>53</v>
      </c>
      <c r="C1264" s="5">
        <v>242406</v>
      </c>
      <c r="D1264" s="5" t="str">
        <f>_xlfn.XLOOKUP(fOrcado[[#This Row],[Conta]],'Plano de Contas'!A:A,'Plano de Contas'!C:C)</f>
        <v>(+) RECEITA BRUTA</v>
      </c>
      <c r="E1264" s="5" t="str">
        <f>_xlfn.XLOOKUP(fOrcado[[#This Row],[Conta]],'Plano de Contas'!A:A,'Plano de Contas'!D:D)</f>
        <v>01 - Vendas de Produtos</v>
      </c>
    </row>
    <row r="1265" spans="1:5" x14ac:dyDescent="0.25">
      <c r="A1265" s="23">
        <f t="shared" si="18"/>
        <v>43739</v>
      </c>
      <c r="B1265" s="5" t="s">
        <v>54</v>
      </c>
      <c r="C1265" s="5">
        <v>584624</v>
      </c>
      <c r="D1265" s="5" t="str">
        <f>_xlfn.XLOOKUP(fOrcado[[#This Row],[Conta]],'Plano de Contas'!A:A,'Plano de Contas'!C:C)</f>
        <v>(+) RECEITA BRUTA</v>
      </c>
      <c r="E1265" s="5" t="str">
        <f>_xlfn.XLOOKUP(fOrcado[[#This Row],[Conta]],'Plano de Contas'!A:A,'Plano de Contas'!D:D)</f>
        <v>01 - Vendas de Produtos</v>
      </c>
    </row>
    <row r="1266" spans="1:5" x14ac:dyDescent="0.25">
      <c r="A1266" s="23">
        <f t="shared" si="18"/>
        <v>43739</v>
      </c>
      <c r="B1266" s="5" t="s">
        <v>55</v>
      </c>
      <c r="C1266" s="5">
        <v>709526</v>
      </c>
      <c r="D1266" s="5" t="str">
        <f>_xlfn.XLOOKUP(fOrcado[[#This Row],[Conta]],'Plano de Contas'!A:A,'Plano de Contas'!C:C)</f>
        <v>(+) RECEITA BRUTA</v>
      </c>
      <c r="E1266" s="5" t="str">
        <f>_xlfn.XLOOKUP(fOrcado[[#This Row],[Conta]],'Plano de Contas'!A:A,'Plano de Contas'!D:D)</f>
        <v>01 - Vendas de Produtos</v>
      </c>
    </row>
    <row r="1267" spans="1:5" x14ac:dyDescent="0.25">
      <c r="A1267" s="23">
        <f t="shared" si="18"/>
        <v>43739</v>
      </c>
      <c r="B1267" s="5" t="s">
        <v>56</v>
      </c>
      <c r="C1267" s="5">
        <v>581385</v>
      </c>
      <c r="D1267" s="5" t="str">
        <f>_xlfn.XLOOKUP(fOrcado[[#This Row],[Conta]],'Plano de Contas'!A:A,'Plano de Contas'!C:C)</f>
        <v>(+) RECEITA BRUTA</v>
      </c>
      <c r="E1267" s="5" t="str">
        <f>_xlfn.XLOOKUP(fOrcado[[#This Row],[Conta]],'Plano de Contas'!A:A,'Plano de Contas'!D:D)</f>
        <v>01 - Vendas de Produtos</v>
      </c>
    </row>
    <row r="1268" spans="1:5" x14ac:dyDescent="0.25">
      <c r="A1268" s="23">
        <f t="shared" si="18"/>
        <v>43739</v>
      </c>
      <c r="B1268" s="5" t="s">
        <v>57</v>
      </c>
      <c r="C1268" s="5">
        <v>574409</v>
      </c>
      <c r="D1268" s="5" t="str">
        <f>_xlfn.XLOOKUP(fOrcado[[#This Row],[Conta]],'Plano de Contas'!A:A,'Plano de Contas'!C:C)</f>
        <v>(+) RECEITA BRUTA</v>
      </c>
      <c r="E1268" s="5" t="str">
        <f>_xlfn.XLOOKUP(fOrcado[[#This Row],[Conta]],'Plano de Contas'!A:A,'Plano de Contas'!D:D)</f>
        <v>01 - Vendas de Produtos</v>
      </c>
    </row>
    <row r="1269" spans="1:5" x14ac:dyDescent="0.25">
      <c r="A1269" s="23">
        <f t="shared" si="18"/>
        <v>43739</v>
      </c>
      <c r="B1269" s="5" t="s">
        <v>58</v>
      </c>
      <c r="C1269" s="5">
        <v>805603</v>
      </c>
      <c r="D1269" s="5" t="str">
        <f>_xlfn.XLOOKUP(fOrcado[[#This Row],[Conta]],'Plano de Contas'!A:A,'Plano de Contas'!C:C)</f>
        <v>(+) RECEITA BRUTA</v>
      </c>
      <c r="E1269" s="5" t="str">
        <f>_xlfn.XLOOKUP(fOrcado[[#This Row],[Conta]],'Plano de Contas'!A:A,'Plano de Contas'!D:D)</f>
        <v>01 - Vendas de Produtos</v>
      </c>
    </row>
    <row r="1270" spans="1:5" x14ac:dyDescent="0.25">
      <c r="A1270" s="23">
        <f t="shared" si="18"/>
        <v>43739</v>
      </c>
      <c r="B1270" s="5" t="s">
        <v>59</v>
      </c>
      <c r="C1270" s="5">
        <v>798326</v>
      </c>
      <c r="D1270" s="5" t="str">
        <f>_xlfn.XLOOKUP(fOrcado[[#This Row],[Conta]],'Plano de Contas'!A:A,'Plano de Contas'!C:C)</f>
        <v>(+) RECEITA BRUTA</v>
      </c>
      <c r="E1270" s="5" t="str">
        <f>_xlfn.XLOOKUP(fOrcado[[#This Row],[Conta]],'Plano de Contas'!A:A,'Plano de Contas'!D:D)</f>
        <v>01 - Vendas de Produtos</v>
      </c>
    </row>
    <row r="1271" spans="1:5" x14ac:dyDescent="0.25">
      <c r="A1271" s="23">
        <f t="shared" si="18"/>
        <v>43739</v>
      </c>
      <c r="B1271" s="5" t="s">
        <v>60</v>
      </c>
      <c r="C1271" s="5">
        <v>591261</v>
      </c>
      <c r="D1271" s="5" t="str">
        <f>_xlfn.XLOOKUP(fOrcado[[#This Row],[Conta]],'Plano de Contas'!A:A,'Plano de Contas'!C:C)</f>
        <v>(+) RECEITA BRUTA</v>
      </c>
      <c r="E1271" s="5" t="str">
        <f>_xlfn.XLOOKUP(fOrcado[[#This Row],[Conta]],'Plano de Contas'!A:A,'Plano de Contas'!D:D)</f>
        <v>01 - Vendas de Produtos</v>
      </c>
    </row>
    <row r="1272" spans="1:5" x14ac:dyDescent="0.25">
      <c r="A1272" s="23">
        <f t="shared" si="18"/>
        <v>43739</v>
      </c>
      <c r="B1272" s="5" t="s">
        <v>61</v>
      </c>
      <c r="C1272" s="5">
        <v>981800</v>
      </c>
      <c r="D1272" s="5" t="str">
        <f>_xlfn.XLOOKUP(fOrcado[[#This Row],[Conta]],'Plano de Contas'!A:A,'Plano de Contas'!C:C)</f>
        <v>(+) RECEITA BRUTA</v>
      </c>
      <c r="E1272" s="5" t="str">
        <f>_xlfn.XLOOKUP(fOrcado[[#This Row],[Conta]],'Plano de Contas'!A:A,'Plano de Contas'!D:D)</f>
        <v>01 - Vendas de Produtos</v>
      </c>
    </row>
    <row r="1273" spans="1:5" x14ac:dyDescent="0.25">
      <c r="A1273" s="23">
        <f t="shared" si="18"/>
        <v>43739</v>
      </c>
      <c r="B1273" s="5" t="s">
        <v>62</v>
      </c>
      <c r="C1273" s="5">
        <v>411054</v>
      </c>
      <c r="D1273" s="5" t="str">
        <f>_xlfn.XLOOKUP(fOrcado[[#This Row],[Conta]],'Plano de Contas'!A:A,'Plano de Contas'!C:C)</f>
        <v>(+) RECEITA BRUTA</v>
      </c>
      <c r="E1273" s="5" t="str">
        <f>_xlfn.XLOOKUP(fOrcado[[#This Row],[Conta]],'Plano de Contas'!A:A,'Plano de Contas'!D:D)</f>
        <v>01 - Vendas de Produtos</v>
      </c>
    </row>
    <row r="1274" spans="1:5" x14ac:dyDescent="0.25">
      <c r="A1274" s="23">
        <f t="shared" si="18"/>
        <v>43739</v>
      </c>
      <c r="B1274" s="5" t="s">
        <v>63</v>
      </c>
      <c r="C1274" s="5">
        <v>691608</v>
      </c>
      <c r="D1274" s="5" t="str">
        <f>_xlfn.XLOOKUP(fOrcado[[#This Row],[Conta]],'Plano de Contas'!A:A,'Plano de Contas'!C:C)</f>
        <v>(+) RECEITA BRUTA</v>
      </c>
      <c r="E1274" s="5" t="str">
        <f>_xlfn.XLOOKUP(fOrcado[[#This Row],[Conta]],'Plano de Contas'!A:A,'Plano de Contas'!D:D)</f>
        <v>01 - Vendas de Produtos</v>
      </c>
    </row>
    <row r="1275" spans="1:5" x14ac:dyDescent="0.25">
      <c r="A1275" s="23">
        <f t="shared" si="18"/>
        <v>43739</v>
      </c>
      <c r="B1275" s="5" t="s">
        <v>64</v>
      </c>
      <c r="C1275" s="5">
        <v>700077</v>
      </c>
      <c r="D1275" s="5" t="str">
        <f>_xlfn.XLOOKUP(fOrcado[[#This Row],[Conta]],'Plano de Contas'!A:A,'Plano de Contas'!C:C)</f>
        <v>(+) RECEITA BRUTA</v>
      </c>
      <c r="E1275" s="5" t="str">
        <f>_xlfn.XLOOKUP(fOrcado[[#This Row],[Conta]],'Plano de Contas'!A:A,'Plano de Contas'!D:D)</f>
        <v>01 - Vendas de Produtos</v>
      </c>
    </row>
    <row r="1276" spans="1:5" x14ac:dyDescent="0.25">
      <c r="A1276" s="23">
        <f t="shared" si="18"/>
        <v>43739</v>
      </c>
      <c r="B1276" s="5" t="s">
        <v>65</v>
      </c>
      <c r="C1276" s="5">
        <v>737820</v>
      </c>
      <c r="D1276" s="5" t="str">
        <f>_xlfn.XLOOKUP(fOrcado[[#This Row],[Conta]],'Plano de Contas'!A:A,'Plano de Contas'!C:C)</f>
        <v>(+) RECEITA BRUTA</v>
      </c>
      <c r="E1276" s="5" t="str">
        <f>_xlfn.XLOOKUP(fOrcado[[#This Row],[Conta]],'Plano de Contas'!A:A,'Plano de Contas'!D:D)</f>
        <v>01 - Vendas de Produtos</v>
      </c>
    </row>
    <row r="1277" spans="1:5" x14ac:dyDescent="0.25">
      <c r="A1277" s="23">
        <f t="shared" si="18"/>
        <v>43739</v>
      </c>
      <c r="B1277" s="5" t="s">
        <v>66</v>
      </c>
      <c r="C1277" s="5">
        <v>914929</v>
      </c>
      <c r="D1277" s="5" t="str">
        <f>_xlfn.XLOOKUP(fOrcado[[#This Row],[Conta]],'Plano de Contas'!A:A,'Plano de Contas'!C:C)</f>
        <v>(+) RECEITA BRUTA</v>
      </c>
      <c r="E1277" s="5" t="str">
        <f>_xlfn.XLOOKUP(fOrcado[[#This Row],[Conta]],'Plano de Contas'!A:A,'Plano de Contas'!D:D)</f>
        <v>01 - Vendas de Produtos</v>
      </c>
    </row>
    <row r="1278" spans="1:5" x14ac:dyDescent="0.25">
      <c r="A1278" s="23">
        <f t="shared" si="18"/>
        <v>43739</v>
      </c>
      <c r="B1278" s="5" t="s">
        <v>67</v>
      </c>
      <c r="C1278" s="5">
        <v>629215</v>
      </c>
      <c r="D1278" s="5" t="str">
        <f>_xlfn.XLOOKUP(fOrcado[[#This Row],[Conta]],'Plano de Contas'!A:A,'Plano de Contas'!C:C)</f>
        <v>(+) RECEITA BRUTA</v>
      </c>
      <c r="E1278" s="5" t="str">
        <f>_xlfn.XLOOKUP(fOrcado[[#This Row],[Conta]],'Plano de Contas'!A:A,'Plano de Contas'!D:D)</f>
        <v>01 - Vendas de Produtos</v>
      </c>
    </row>
    <row r="1279" spans="1:5" x14ac:dyDescent="0.25">
      <c r="A1279" s="23">
        <f t="shared" si="18"/>
        <v>43739</v>
      </c>
      <c r="B1279" s="5" t="s">
        <v>68</v>
      </c>
      <c r="C1279" s="5">
        <v>578634</v>
      </c>
      <c r="D1279" s="5" t="str">
        <f>_xlfn.XLOOKUP(fOrcado[[#This Row],[Conta]],'Plano de Contas'!A:A,'Plano de Contas'!C:C)</f>
        <v>(+) RECEITA BRUTA</v>
      </c>
      <c r="E1279" s="5" t="str">
        <f>_xlfn.XLOOKUP(fOrcado[[#This Row],[Conta]],'Plano de Contas'!A:A,'Plano de Contas'!D:D)</f>
        <v>01 - Vendas de Produtos</v>
      </c>
    </row>
    <row r="1280" spans="1:5" x14ac:dyDescent="0.25">
      <c r="A1280" s="23">
        <f t="shared" si="18"/>
        <v>43739</v>
      </c>
      <c r="B1280" s="5" t="s">
        <v>69</v>
      </c>
      <c r="C1280" s="5">
        <v>647501</v>
      </c>
      <c r="D1280" s="5" t="str">
        <f>_xlfn.XLOOKUP(fOrcado[[#This Row],[Conta]],'Plano de Contas'!A:A,'Plano de Contas'!C:C)</f>
        <v>(+) RECEITA BRUTA</v>
      </c>
      <c r="E1280" s="5" t="str">
        <f>_xlfn.XLOOKUP(fOrcado[[#This Row],[Conta]],'Plano de Contas'!A:A,'Plano de Contas'!D:D)</f>
        <v>01 - Vendas de Produtos</v>
      </c>
    </row>
    <row r="1281" spans="1:5" x14ac:dyDescent="0.25">
      <c r="A1281" s="23">
        <f t="shared" si="18"/>
        <v>43739</v>
      </c>
      <c r="B1281" s="5" t="s">
        <v>70</v>
      </c>
      <c r="C1281" s="5">
        <v>401474</v>
      </c>
      <c r="D1281" s="5" t="str">
        <f>_xlfn.XLOOKUP(fOrcado[[#This Row],[Conta]],'Plano de Contas'!A:A,'Plano de Contas'!C:C)</f>
        <v>(+) RECEITA BRUTA</v>
      </c>
      <c r="E1281" s="5" t="str">
        <f>_xlfn.XLOOKUP(fOrcado[[#This Row],[Conta]],'Plano de Contas'!A:A,'Plano de Contas'!D:D)</f>
        <v>01 - Vendas de Produtos</v>
      </c>
    </row>
    <row r="1282" spans="1:5" x14ac:dyDescent="0.25">
      <c r="A1282" s="23">
        <f t="shared" si="18"/>
        <v>43739</v>
      </c>
      <c r="B1282" s="5" t="s">
        <v>71</v>
      </c>
      <c r="C1282" s="5">
        <v>357336</v>
      </c>
      <c r="D1282" s="5" t="str">
        <f>_xlfn.XLOOKUP(fOrcado[[#This Row],[Conta]],'Plano de Contas'!A:A,'Plano de Contas'!C:C)</f>
        <v>(+) RECEITA BRUTA</v>
      </c>
      <c r="E1282" s="5" t="str">
        <f>_xlfn.XLOOKUP(fOrcado[[#This Row],[Conta]],'Plano de Contas'!A:A,'Plano de Contas'!D:D)</f>
        <v>01 - Vendas de Produtos</v>
      </c>
    </row>
    <row r="1283" spans="1:5" x14ac:dyDescent="0.25">
      <c r="A1283" s="23">
        <f t="shared" si="18"/>
        <v>43739</v>
      </c>
      <c r="B1283" s="5" t="s">
        <v>72</v>
      </c>
      <c r="C1283" s="5">
        <v>362011</v>
      </c>
      <c r="D1283" s="5" t="str">
        <f>_xlfn.XLOOKUP(fOrcado[[#This Row],[Conta]],'Plano de Contas'!A:A,'Plano de Contas'!C:C)</f>
        <v>(+) RECEITA BRUTA</v>
      </c>
      <c r="E1283" s="5" t="str">
        <f>_xlfn.XLOOKUP(fOrcado[[#This Row],[Conta]],'Plano de Contas'!A:A,'Plano de Contas'!D:D)</f>
        <v>01 - Vendas de Produtos</v>
      </c>
    </row>
    <row r="1284" spans="1:5" x14ac:dyDescent="0.25">
      <c r="A1284" s="23">
        <f t="shared" si="18"/>
        <v>43739</v>
      </c>
      <c r="B1284" s="5" t="s">
        <v>73</v>
      </c>
      <c r="C1284" s="5">
        <v>174959</v>
      </c>
      <c r="D1284" s="5" t="str">
        <f>_xlfn.XLOOKUP(fOrcado[[#This Row],[Conta]],'Plano de Contas'!A:A,'Plano de Contas'!C:C)</f>
        <v>(+) RECEITA BRUTA</v>
      </c>
      <c r="E1284" s="5" t="str">
        <f>_xlfn.XLOOKUP(fOrcado[[#This Row],[Conta]],'Plano de Contas'!A:A,'Plano de Contas'!D:D)</f>
        <v>01 - Vendas de Produtos</v>
      </c>
    </row>
    <row r="1285" spans="1:5" x14ac:dyDescent="0.25">
      <c r="A1285" s="23">
        <f t="shared" si="18"/>
        <v>43739</v>
      </c>
      <c r="B1285" s="5" t="s">
        <v>74</v>
      </c>
      <c r="C1285" s="5">
        <v>213782</v>
      </c>
      <c r="D1285" s="5" t="str">
        <f>_xlfn.XLOOKUP(fOrcado[[#This Row],[Conta]],'Plano de Contas'!A:A,'Plano de Contas'!C:C)</f>
        <v>(+) RECEITA BRUTA</v>
      </c>
      <c r="E1285" s="5" t="str">
        <f>_xlfn.XLOOKUP(fOrcado[[#This Row],[Conta]],'Plano de Contas'!A:A,'Plano de Contas'!D:D)</f>
        <v>01 - Vendas de Produtos</v>
      </c>
    </row>
    <row r="1286" spans="1:5" x14ac:dyDescent="0.25">
      <c r="A1286" s="23">
        <f t="shared" si="18"/>
        <v>43739</v>
      </c>
      <c r="B1286" s="5" t="s">
        <v>75</v>
      </c>
      <c r="C1286" s="5">
        <v>99316</v>
      </c>
      <c r="D1286" s="5" t="str">
        <f>_xlfn.XLOOKUP(fOrcado[[#This Row],[Conta]],'Plano de Contas'!A:A,'Plano de Contas'!C:C)</f>
        <v>(+) RECEITA BRUTA</v>
      </c>
      <c r="E1286" s="5" t="str">
        <f>_xlfn.XLOOKUP(fOrcado[[#This Row],[Conta]],'Plano de Contas'!A:A,'Plano de Contas'!D:D)</f>
        <v>02 - Outras Receitas</v>
      </c>
    </row>
    <row r="1287" spans="1:5" x14ac:dyDescent="0.25">
      <c r="A1287" s="23">
        <f t="shared" si="18"/>
        <v>43739</v>
      </c>
      <c r="B1287" s="5" t="s">
        <v>76</v>
      </c>
      <c r="C1287" s="5">
        <v>139491</v>
      </c>
      <c r="D1287" s="5" t="str">
        <f>_xlfn.XLOOKUP(fOrcado[[#This Row],[Conta]],'Plano de Contas'!A:A,'Plano de Contas'!C:C)</f>
        <v>(+) RECEITA BRUTA</v>
      </c>
      <c r="E1287" s="5" t="str">
        <f>_xlfn.XLOOKUP(fOrcado[[#This Row],[Conta]],'Plano de Contas'!A:A,'Plano de Contas'!D:D)</f>
        <v>02 - Outras Receitas</v>
      </c>
    </row>
    <row r="1288" spans="1:5" x14ac:dyDescent="0.25">
      <c r="A1288" s="23">
        <f t="shared" ref="A1288:A1351" si="19">EDATE(A1148,1)</f>
        <v>43739</v>
      </c>
      <c r="B1288" s="5" t="s">
        <v>77</v>
      </c>
      <c r="C1288" s="5">
        <v>56440</v>
      </c>
      <c r="D1288" s="5" t="str">
        <f>_xlfn.XLOOKUP(fOrcado[[#This Row],[Conta]],'Plano de Contas'!A:A,'Plano de Contas'!C:C)</f>
        <v>(+) RECEITA BRUTA</v>
      </c>
      <c r="E1288" s="5" t="str">
        <f>_xlfn.XLOOKUP(fOrcado[[#This Row],[Conta]],'Plano de Contas'!A:A,'Plano de Contas'!D:D)</f>
        <v>02 - Outras Receitas</v>
      </c>
    </row>
    <row r="1289" spans="1:5" x14ac:dyDescent="0.25">
      <c r="A1289" s="23">
        <f t="shared" si="19"/>
        <v>43739</v>
      </c>
      <c r="B1289" s="5" t="s">
        <v>78</v>
      </c>
      <c r="C1289" s="5">
        <v>69540</v>
      </c>
      <c r="D1289" s="5" t="str">
        <f>_xlfn.XLOOKUP(fOrcado[[#This Row],[Conta]],'Plano de Contas'!A:A,'Plano de Contas'!C:C)</f>
        <v>(+) RECEITA BRUTA</v>
      </c>
      <c r="E1289" s="5" t="str">
        <f>_xlfn.XLOOKUP(fOrcado[[#This Row],[Conta]],'Plano de Contas'!A:A,'Plano de Contas'!D:D)</f>
        <v>02 - Outras Receitas</v>
      </c>
    </row>
    <row r="1290" spans="1:5" x14ac:dyDescent="0.25">
      <c r="A1290" s="23">
        <f t="shared" si="19"/>
        <v>43739</v>
      </c>
      <c r="B1290" s="5" t="s">
        <v>79</v>
      </c>
      <c r="C1290" s="5">
        <v>286352</v>
      </c>
      <c r="D1290" s="5" t="str">
        <f>_xlfn.XLOOKUP(fOrcado[[#This Row],[Conta]],'Plano de Contas'!A:A,'Plano de Contas'!C:C)</f>
        <v>(+) RECEITA BRUTA</v>
      </c>
      <c r="E1290" s="5" t="str">
        <f>_xlfn.XLOOKUP(fOrcado[[#This Row],[Conta]],'Plano de Contas'!A:A,'Plano de Contas'!D:D)</f>
        <v>02 - Outras Receitas</v>
      </c>
    </row>
    <row r="1291" spans="1:5" x14ac:dyDescent="0.25">
      <c r="A1291" s="23">
        <f t="shared" si="19"/>
        <v>43739</v>
      </c>
      <c r="B1291" s="5" t="s">
        <v>80</v>
      </c>
      <c r="C1291" s="5">
        <v>270375</v>
      </c>
      <c r="D1291" s="5" t="str">
        <f>_xlfn.XLOOKUP(fOrcado[[#This Row],[Conta]],'Plano de Contas'!A:A,'Plano de Contas'!C:C)</f>
        <v>(+) RECEITA BRUTA</v>
      </c>
      <c r="E1291" s="5" t="str">
        <f>_xlfn.XLOOKUP(fOrcado[[#This Row],[Conta]],'Plano de Contas'!A:A,'Plano de Contas'!D:D)</f>
        <v>02 - Outras Receitas</v>
      </c>
    </row>
    <row r="1292" spans="1:5" x14ac:dyDescent="0.25">
      <c r="A1292" s="23">
        <f t="shared" si="19"/>
        <v>43739</v>
      </c>
      <c r="B1292" s="5" t="s">
        <v>81</v>
      </c>
      <c r="C1292" s="5">
        <v>193865</v>
      </c>
      <c r="D1292" s="5" t="str">
        <f>_xlfn.XLOOKUP(fOrcado[[#This Row],[Conta]],'Plano de Contas'!A:A,'Plano de Contas'!C:C)</f>
        <v>(+) RECEITA BRUTA</v>
      </c>
      <c r="E1292" s="5" t="str">
        <f>_xlfn.XLOOKUP(fOrcado[[#This Row],[Conta]],'Plano de Contas'!A:A,'Plano de Contas'!D:D)</f>
        <v>02 - Outras Receitas</v>
      </c>
    </row>
    <row r="1293" spans="1:5" x14ac:dyDescent="0.25">
      <c r="A1293" s="23">
        <f t="shared" si="19"/>
        <v>43739</v>
      </c>
      <c r="B1293" s="5" t="s">
        <v>82</v>
      </c>
      <c r="C1293" s="5">
        <v>137389</v>
      </c>
      <c r="D1293" s="5" t="str">
        <f>_xlfn.XLOOKUP(fOrcado[[#This Row],[Conta]],'Plano de Contas'!A:A,'Plano de Contas'!C:C)</f>
        <v>(+) RECEITA BRUTA</v>
      </c>
      <c r="E1293" s="5" t="str">
        <f>_xlfn.XLOOKUP(fOrcado[[#This Row],[Conta]],'Plano de Contas'!A:A,'Plano de Contas'!D:D)</f>
        <v>02 - Outras Receitas</v>
      </c>
    </row>
    <row r="1294" spans="1:5" x14ac:dyDescent="0.25">
      <c r="A1294" s="23">
        <f t="shared" si="19"/>
        <v>43739</v>
      </c>
      <c r="B1294" s="5" t="s">
        <v>83</v>
      </c>
      <c r="C1294" s="5">
        <v>282174</v>
      </c>
      <c r="D1294" s="5" t="str">
        <f>_xlfn.XLOOKUP(fOrcado[[#This Row],[Conta]],'Plano de Contas'!A:A,'Plano de Contas'!C:C)</f>
        <v>(+) RECEITA BRUTA</v>
      </c>
      <c r="E1294" s="5" t="str">
        <f>_xlfn.XLOOKUP(fOrcado[[#This Row],[Conta]],'Plano de Contas'!A:A,'Plano de Contas'!D:D)</f>
        <v>02 - Outras Receitas</v>
      </c>
    </row>
    <row r="1295" spans="1:5" x14ac:dyDescent="0.25">
      <c r="A1295" s="23">
        <f t="shared" si="19"/>
        <v>43739</v>
      </c>
      <c r="B1295" s="5" t="s">
        <v>84</v>
      </c>
      <c r="C1295" s="5">
        <v>84012</v>
      </c>
      <c r="D1295" s="5" t="str">
        <f>_xlfn.XLOOKUP(fOrcado[[#This Row],[Conta]],'Plano de Contas'!A:A,'Plano de Contas'!C:C)</f>
        <v>(+) RECEITA BRUTA</v>
      </c>
      <c r="E1295" s="5" t="str">
        <f>_xlfn.XLOOKUP(fOrcado[[#This Row],[Conta]],'Plano de Contas'!A:A,'Plano de Contas'!D:D)</f>
        <v>02 - Outras Receitas</v>
      </c>
    </row>
    <row r="1296" spans="1:5" x14ac:dyDescent="0.25">
      <c r="A1296" s="23">
        <f t="shared" si="19"/>
        <v>43739</v>
      </c>
      <c r="B1296" s="5" t="s">
        <v>85</v>
      </c>
      <c r="C1296" s="5">
        <v>207735</v>
      </c>
      <c r="D1296" s="5" t="str">
        <f>_xlfn.XLOOKUP(fOrcado[[#This Row],[Conta]],'Plano de Contas'!A:A,'Plano de Contas'!C:C)</f>
        <v>(+) RECEITA BRUTA</v>
      </c>
      <c r="E1296" s="5" t="str">
        <f>_xlfn.XLOOKUP(fOrcado[[#This Row],[Conta]],'Plano de Contas'!A:A,'Plano de Contas'!D:D)</f>
        <v>02 - Outras Receitas</v>
      </c>
    </row>
    <row r="1297" spans="1:5" x14ac:dyDescent="0.25">
      <c r="A1297" s="23">
        <f t="shared" si="19"/>
        <v>43739</v>
      </c>
      <c r="B1297" s="5" t="s">
        <v>86</v>
      </c>
      <c r="C1297" s="5">
        <v>63327</v>
      </c>
      <c r="D1297" s="5" t="str">
        <f>_xlfn.XLOOKUP(fOrcado[[#This Row],[Conta]],'Plano de Contas'!A:A,'Plano de Contas'!C:C)</f>
        <v>(+) RECEITA BRUTA</v>
      </c>
      <c r="E1297" s="5" t="str">
        <f>_xlfn.XLOOKUP(fOrcado[[#This Row],[Conta]],'Plano de Contas'!A:A,'Plano de Contas'!D:D)</f>
        <v>02 - Outras Receitas</v>
      </c>
    </row>
    <row r="1298" spans="1:5" x14ac:dyDescent="0.25">
      <c r="A1298" s="23">
        <f t="shared" si="19"/>
        <v>43739</v>
      </c>
      <c r="B1298" s="5" t="s">
        <v>87</v>
      </c>
      <c r="C1298" s="5">
        <v>271884</v>
      </c>
      <c r="D1298" s="5" t="str">
        <f>_xlfn.XLOOKUP(fOrcado[[#This Row],[Conta]],'Plano de Contas'!A:A,'Plano de Contas'!C:C)</f>
        <v>(+) RECEITA BRUTA</v>
      </c>
      <c r="E1298" s="5" t="str">
        <f>_xlfn.XLOOKUP(fOrcado[[#This Row],[Conta]],'Plano de Contas'!A:A,'Plano de Contas'!D:D)</f>
        <v>02 - Outras Receitas</v>
      </c>
    </row>
    <row r="1299" spans="1:5" x14ac:dyDescent="0.25">
      <c r="A1299" s="23">
        <f t="shared" si="19"/>
        <v>43739</v>
      </c>
      <c r="B1299" s="5" t="s">
        <v>88</v>
      </c>
      <c r="C1299" s="5">
        <v>158401</v>
      </c>
      <c r="D1299" s="5" t="str">
        <f>_xlfn.XLOOKUP(fOrcado[[#This Row],[Conta]],'Plano de Contas'!A:A,'Plano de Contas'!C:C)</f>
        <v>(+) RECEITA BRUTA</v>
      </c>
      <c r="E1299" s="5" t="str">
        <f>_xlfn.XLOOKUP(fOrcado[[#This Row],[Conta]],'Plano de Contas'!A:A,'Plano de Contas'!D:D)</f>
        <v>02 - Outras Receitas</v>
      </c>
    </row>
    <row r="1300" spans="1:5" x14ac:dyDescent="0.25">
      <c r="A1300" s="23">
        <f t="shared" si="19"/>
        <v>43739</v>
      </c>
      <c r="B1300" s="5" t="s">
        <v>89</v>
      </c>
      <c r="C1300" s="5">
        <v>241514</v>
      </c>
      <c r="D1300" s="5" t="str">
        <f>_xlfn.XLOOKUP(fOrcado[[#This Row],[Conta]],'Plano de Contas'!A:A,'Plano de Contas'!C:C)</f>
        <v>(+) RECEITA BRUTA</v>
      </c>
      <c r="E1300" s="5" t="str">
        <f>_xlfn.XLOOKUP(fOrcado[[#This Row],[Conta]],'Plano de Contas'!A:A,'Plano de Contas'!D:D)</f>
        <v>02 - Outras Receitas</v>
      </c>
    </row>
    <row r="1301" spans="1:5" x14ac:dyDescent="0.25">
      <c r="A1301" s="23">
        <f t="shared" si="19"/>
        <v>43739</v>
      </c>
      <c r="B1301" s="5" t="s">
        <v>90</v>
      </c>
      <c r="C1301" s="5">
        <v>285623</v>
      </c>
      <c r="D1301" s="5" t="str">
        <f>_xlfn.XLOOKUP(fOrcado[[#This Row],[Conta]],'Plano de Contas'!A:A,'Plano de Contas'!C:C)</f>
        <v>(+) RECEITA BRUTA</v>
      </c>
      <c r="E1301" s="5" t="str">
        <f>_xlfn.XLOOKUP(fOrcado[[#This Row],[Conta]],'Plano de Contas'!A:A,'Plano de Contas'!D:D)</f>
        <v>02 - Outras Receitas</v>
      </c>
    </row>
    <row r="1302" spans="1:5" x14ac:dyDescent="0.25">
      <c r="A1302" s="23">
        <f t="shared" si="19"/>
        <v>43739</v>
      </c>
      <c r="B1302" s="5" t="s">
        <v>91</v>
      </c>
      <c r="C1302" s="5">
        <v>186435</v>
      </c>
      <c r="D1302" s="5" t="str">
        <f>_xlfn.XLOOKUP(fOrcado[[#This Row],[Conta]],'Plano de Contas'!A:A,'Plano de Contas'!C:C)</f>
        <v>(+) RECEITA BRUTA</v>
      </c>
      <c r="E1302" s="5" t="str">
        <f>_xlfn.XLOOKUP(fOrcado[[#This Row],[Conta]],'Plano de Contas'!A:A,'Plano de Contas'!D:D)</f>
        <v>02 - Outras Receitas</v>
      </c>
    </row>
    <row r="1303" spans="1:5" x14ac:dyDescent="0.25">
      <c r="A1303" s="23">
        <f t="shared" si="19"/>
        <v>43739</v>
      </c>
      <c r="B1303" s="5" t="s">
        <v>92</v>
      </c>
      <c r="C1303" s="5">
        <v>287650</v>
      </c>
      <c r="D1303" s="5" t="str">
        <f>_xlfn.XLOOKUP(fOrcado[[#This Row],[Conta]],'Plano de Contas'!A:A,'Plano de Contas'!C:C)</f>
        <v>(+) RECEITA BRUTA</v>
      </c>
      <c r="E1303" s="5" t="str">
        <f>_xlfn.XLOOKUP(fOrcado[[#This Row],[Conta]],'Plano de Contas'!A:A,'Plano de Contas'!D:D)</f>
        <v>02 - Outras Receitas</v>
      </c>
    </row>
    <row r="1304" spans="1:5" x14ac:dyDescent="0.25">
      <c r="A1304" s="23">
        <f t="shared" si="19"/>
        <v>43739</v>
      </c>
      <c r="B1304" s="5" t="s">
        <v>93</v>
      </c>
      <c r="C1304" s="5">
        <v>195241</v>
      </c>
      <c r="D1304" s="5" t="str">
        <f>_xlfn.XLOOKUP(fOrcado[[#This Row],[Conta]],'Plano de Contas'!A:A,'Plano de Contas'!C:C)</f>
        <v>(+) RECEITA BRUTA</v>
      </c>
      <c r="E1304" s="5" t="str">
        <f>_xlfn.XLOOKUP(fOrcado[[#This Row],[Conta]],'Plano de Contas'!A:A,'Plano de Contas'!D:D)</f>
        <v>02 - Outras Receitas</v>
      </c>
    </row>
    <row r="1305" spans="1:5" x14ac:dyDescent="0.25">
      <c r="A1305" s="23">
        <f t="shared" si="19"/>
        <v>43739</v>
      </c>
      <c r="B1305" s="5" t="s">
        <v>94</v>
      </c>
      <c r="C1305" s="5">
        <v>214995</v>
      </c>
      <c r="D1305" s="5" t="str">
        <f>_xlfn.XLOOKUP(fOrcado[[#This Row],[Conta]],'Plano de Contas'!A:A,'Plano de Contas'!C:C)</f>
        <v>(+) RECEITA BRUTA</v>
      </c>
      <c r="E1305" s="5" t="str">
        <f>_xlfn.XLOOKUP(fOrcado[[#This Row],[Conta]],'Plano de Contas'!A:A,'Plano de Contas'!D:D)</f>
        <v>02 - Outras Receitas</v>
      </c>
    </row>
    <row r="1306" spans="1:5" x14ac:dyDescent="0.25">
      <c r="A1306" s="23">
        <f t="shared" si="19"/>
        <v>43739</v>
      </c>
      <c r="B1306" s="5" t="s">
        <v>95</v>
      </c>
      <c r="C1306" s="5">
        <v>72049</v>
      </c>
      <c r="D1306" s="5" t="str">
        <f>_xlfn.XLOOKUP(fOrcado[[#This Row],[Conta]],'Plano de Contas'!A:A,'Plano de Contas'!C:C)</f>
        <v>(+) RECEITA BRUTA</v>
      </c>
      <c r="E1306" s="5" t="str">
        <f>_xlfn.XLOOKUP(fOrcado[[#This Row],[Conta]],'Plano de Contas'!A:A,'Plano de Contas'!D:D)</f>
        <v>02 - Outras Receitas</v>
      </c>
    </row>
    <row r="1307" spans="1:5" x14ac:dyDescent="0.25">
      <c r="A1307" s="23">
        <f t="shared" si="19"/>
        <v>43739</v>
      </c>
      <c r="B1307" s="5" t="s">
        <v>96</v>
      </c>
      <c r="C1307" s="5">
        <v>212912</v>
      </c>
      <c r="D1307" s="5" t="str">
        <f>_xlfn.XLOOKUP(fOrcado[[#This Row],[Conta]],'Plano de Contas'!A:A,'Plano de Contas'!C:C)</f>
        <v>(+) RECEITA BRUTA</v>
      </c>
      <c r="E1307" s="5" t="str">
        <f>_xlfn.XLOOKUP(fOrcado[[#This Row],[Conta]],'Plano de Contas'!A:A,'Plano de Contas'!D:D)</f>
        <v>02 - Outras Receitas</v>
      </c>
    </row>
    <row r="1308" spans="1:5" x14ac:dyDescent="0.25">
      <c r="A1308" s="23">
        <f t="shared" si="19"/>
        <v>43739</v>
      </c>
      <c r="B1308" s="5" t="s">
        <v>97</v>
      </c>
      <c r="C1308" s="5">
        <v>102288</v>
      </c>
      <c r="D1308" s="5" t="str">
        <f>_xlfn.XLOOKUP(fOrcado[[#This Row],[Conta]],'Plano de Contas'!A:A,'Plano de Contas'!C:C)</f>
        <v>(+) RECEITA BRUTA</v>
      </c>
      <c r="E1308" s="5" t="str">
        <f>_xlfn.XLOOKUP(fOrcado[[#This Row],[Conta]],'Plano de Contas'!A:A,'Plano de Contas'!D:D)</f>
        <v>02 - Outras Receitas</v>
      </c>
    </row>
    <row r="1309" spans="1:5" x14ac:dyDescent="0.25">
      <c r="A1309" s="23">
        <f t="shared" si="19"/>
        <v>43739</v>
      </c>
      <c r="B1309" s="5" t="s">
        <v>98</v>
      </c>
      <c r="C1309" s="5">
        <v>296781</v>
      </c>
      <c r="D1309" s="5" t="str">
        <f>_xlfn.XLOOKUP(fOrcado[[#This Row],[Conta]],'Plano de Contas'!A:A,'Plano de Contas'!C:C)</f>
        <v>(+) RECEITA BRUTA</v>
      </c>
      <c r="E1309" s="5" t="str">
        <f>_xlfn.XLOOKUP(fOrcado[[#This Row],[Conta]],'Plano de Contas'!A:A,'Plano de Contas'!D:D)</f>
        <v>02 - Outras Receitas</v>
      </c>
    </row>
    <row r="1310" spans="1:5" x14ac:dyDescent="0.25">
      <c r="A1310" s="23">
        <f t="shared" si="19"/>
        <v>43739</v>
      </c>
      <c r="B1310" s="5" t="s">
        <v>99</v>
      </c>
      <c r="C1310" s="5">
        <v>235588</v>
      </c>
      <c r="D1310" s="5" t="str">
        <f>_xlfn.XLOOKUP(fOrcado[[#This Row],[Conta]],'Plano de Contas'!A:A,'Plano de Contas'!C:C)</f>
        <v>(+) RECEITA BRUTA</v>
      </c>
      <c r="E1310" s="5" t="str">
        <f>_xlfn.XLOOKUP(fOrcado[[#This Row],[Conta]],'Plano de Contas'!A:A,'Plano de Contas'!D:D)</f>
        <v>02 - Outras Receitas</v>
      </c>
    </row>
    <row r="1311" spans="1:5" x14ac:dyDescent="0.25">
      <c r="A1311" s="23">
        <f t="shared" si="19"/>
        <v>43739</v>
      </c>
      <c r="B1311" s="5" t="s">
        <v>100</v>
      </c>
      <c r="C1311" s="5">
        <v>260880</v>
      </c>
      <c r="D1311" s="5" t="str">
        <f>_xlfn.XLOOKUP(fOrcado[[#This Row],[Conta]],'Plano de Contas'!A:A,'Plano de Contas'!C:C)</f>
        <v>(+) RECEITA BRUTA</v>
      </c>
      <c r="E1311" s="5" t="str">
        <f>_xlfn.XLOOKUP(fOrcado[[#This Row],[Conta]],'Plano de Contas'!A:A,'Plano de Contas'!D:D)</f>
        <v>02 - Outras Receitas</v>
      </c>
    </row>
    <row r="1312" spans="1:5" x14ac:dyDescent="0.25">
      <c r="A1312" s="23">
        <f t="shared" si="19"/>
        <v>43739</v>
      </c>
      <c r="B1312" s="5" t="s">
        <v>101</v>
      </c>
      <c r="C1312" s="5">
        <v>113202</v>
      </c>
      <c r="D1312" s="5" t="str">
        <f>_xlfn.XLOOKUP(fOrcado[[#This Row],[Conta]],'Plano de Contas'!A:A,'Plano de Contas'!C:C)</f>
        <v>(+) RECEITA BRUTA</v>
      </c>
      <c r="E1312" s="5" t="str">
        <f>_xlfn.XLOOKUP(fOrcado[[#This Row],[Conta]],'Plano de Contas'!A:A,'Plano de Contas'!D:D)</f>
        <v>02 - Outras Receitas</v>
      </c>
    </row>
    <row r="1313" spans="1:5" x14ac:dyDescent="0.25">
      <c r="A1313" s="23">
        <f t="shared" si="19"/>
        <v>43739</v>
      </c>
      <c r="B1313" s="5" t="s">
        <v>102</v>
      </c>
      <c r="C1313" s="5">
        <v>141020</v>
      </c>
      <c r="D1313" s="5" t="str">
        <f>_xlfn.XLOOKUP(fOrcado[[#This Row],[Conta]],'Plano de Contas'!A:A,'Plano de Contas'!C:C)</f>
        <v>(+) RECEITA BRUTA</v>
      </c>
      <c r="E1313" s="5" t="str">
        <f>_xlfn.XLOOKUP(fOrcado[[#This Row],[Conta]],'Plano de Contas'!A:A,'Plano de Contas'!D:D)</f>
        <v>02 - Outras Receitas</v>
      </c>
    </row>
    <row r="1314" spans="1:5" x14ac:dyDescent="0.25">
      <c r="A1314" s="23">
        <f t="shared" si="19"/>
        <v>43739</v>
      </c>
      <c r="B1314" s="5" t="s">
        <v>103</v>
      </c>
      <c r="C1314" s="5">
        <v>297436</v>
      </c>
      <c r="D1314" s="5" t="str">
        <f>_xlfn.XLOOKUP(fOrcado[[#This Row],[Conta]],'Plano de Contas'!A:A,'Plano de Contas'!C:C)</f>
        <v>(+) RECEITA BRUTA</v>
      </c>
      <c r="E1314" s="5" t="str">
        <f>_xlfn.XLOOKUP(fOrcado[[#This Row],[Conta]],'Plano de Contas'!A:A,'Plano de Contas'!D:D)</f>
        <v>02 - Outras Receitas</v>
      </c>
    </row>
    <row r="1315" spans="1:5" x14ac:dyDescent="0.25">
      <c r="A1315" s="23">
        <f t="shared" si="19"/>
        <v>43739</v>
      </c>
      <c r="B1315" s="5" t="s">
        <v>104</v>
      </c>
      <c r="C1315" s="5">
        <v>263018</v>
      </c>
      <c r="D1315" s="5" t="str">
        <f>_xlfn.XLOOKUP(fOrcado[[#This Row],[Conta]],'Plano de Contas'!A:A,'Plano de Contas'!C:C)</f>
        <v>(+) RECEITA BRUTA</v>
      </c>
      <c r="E1315" s="5" t="str">
        <f>_xlfn.XLOOKUP(fOrcado[[#This Row],[Conta]],'Plano de Contas'!A:A,'Plano de Contas'!D:D)</f>
        <v>02 - Outras Receitas</v>
      </c>
    </row>
    <row r="1316" spans="1:5" x14ac:dyDescent="0.25">
      <c r="A1316" s="23">
        <f t="shared" si="19"/>
        <v>43739</v>
      </c>
      <c r="B1316" s="5" t="s">
        <v>105</v>
      </c>
      <c r="C1316" s="5">
        <v>270038</v>
      </c>
      <c r="D1316" s="5" t="str">
        <f>_xlfn.XLOOKUP(fOrcado[[#This Row],[Conta]],'Plano de Contas'!A:A,'Plano de Contas'!C:C)</f>
        <v>(+) RECEITA BRUTA</v>
      </c>
      <c r="E1316" s="5" t="str">
        <f>_xlfn.XLOOKUP(fOrcado[[#This Row],[Conta]],'Plano de Contas'!A:A,'Plano de Contas'!D:D)</f>
        <v>02 - Outras Receitas</v>
      </c>
    </row>
    <row r="1317" spans="1:5" x14ac:dyDescent="0.25">
      <c r="A1317" s="23">
        <f t="shared" si="19"/>
        <v>43739</v>
      </c>
      <c r="B1317" s="5" t="s">
        <v>106</v>
      </c>
      <c r="C1317" s="5">
        <v>119704</v>
      </c>
      <c r="D1317" s="5" t="str">
        <f>_xlfn.XLOOKUP(fOrcado[[#This Row],[Conta]],'Plano de Contas'!A:A,'Plano de Contas'!C:C)</f>
        <v>(+) RECEITA BRUTA</v>
      </c>
      <c r="E1317" s="5" t="str">
        <f>_xlfn.XLOOKUP(fOrcado[[#This Row],[Conta]],'Plano de Contas'!A:A,'Plano de Contas'!D:D)</f>
        <v>02 - Outras Receitas</v>
      </c>
    </row>
    <row r="1318" spans="1:5" x14ac:dyDescent="0.25">
      <c r="A1318" s="23">
        <f t="shared" si="19"/>
        <v>43739</v>
      </c>
      <c r="B1318" s="5" t="s">
        <v>107</v>
      </c>
      <c r="C1318" s="5">
        <v>141583</v>
      </c>
      <c r="D1318" s="5" t="str">
        <f>_xlfn.XLOOKUP(fOrcado[[#This Row],[Conta]],'Plano de Contas'!A:A,'Plano de Contas'!C:C)</f>
        <v>(+) RECEITA BRUTA</v>
      </c>
      <c r="E1318" s="5" t="str">
        <f>_xlfn.XLOOKUP(fOrcado[[#This Row],[Conta]],'Plano de Contas'!A:A,'Plano de Contas'!D:D)</f>
        <v>02 - Outras Receitas</v>
      </c>
    </row>
    <row r="1319" spans="1:5" x14ac:dyDescent="0.25">
      <c r="A1319" s="23">
        <f t="shared" si="19"/>
        <v>43739</v>
      </c>
      <c r="B1319" s="5" t="s">
        <v>108</v>
      </c>
      <c r="C1319" s="5">
        <v>275766</v>
      </c>
      <c r="D1319" s="5" t="str">
        <f>_xlfn.XLOOKUP(fOrcado[[#This Row],[Conta]],'Plano de Contas'!A:A,'Plano de Contas'!C:C)</f>
        <v>(+) RECEITA BRUTA</v>
      </c>
      <c r="E1319" s="5" t="str">
        <f>_xlfn.XLOOKUP(fOrcado[[#This Row],[Conta]],'Plano de Contas'!A:A,'Plano de Contas'!D:D)</f>
        <v>02 - Outras Receitas</v>
      </c>
    </row>
    <row r="1320" spans="1:5" x14ac:dyDescent="0.25">
      <c r="A1320" s="23">
        <f t="shared" si="19"/>
        <v>43739</v>
      </c>
      <c r="B1320" s="5" t="s">
        <v>109</v>
      </c>
      <c r="C1320" s="5">
        <v>128452</v>
      </c>
      <c r="D1320" s="5" t="str">
        <f>_xlfn.XLOOKUP(fOrcado[[#This Row],[Conta]],'Plano de Contas'!A:A,'Plano de Contas'!C:C)</f>
        <v>(+) RECEITA BRUTA</v>
      </c>
      <c r="E1320" s="5" t="str">
        <f>_xlfn.XLOOKUP(fOrcado[[#This Row],[Conta]],'Plano de Contas'!A:A,'Plano de Contas'!D:D)</f>
        <v>02 - Outras Receitas</v>
      </c>
    </row>
    <row r="1321" spans="1:5" x14ac:dyDescent="0.25">
      <c r="A1321" s="23">
        <f t="shared" si="19"/>
        <v>43739</v>
      </c>
      <c r="B1321" s="5" t="s">
        <v>110</v>
      </c>
      <c r="C1321" s="5">
        <v>-9412</v>
      </c>
      <c r="D1321" s="5" t="str">
        <f>_xlfn.XLOOKUP(fOrcado[[#This Row],[Conta]],'Plano de Contas'!A:A,'Plano de Contas'!C:C)</f>
        <v>(-) Deduções da Receita</v>
      </c>
      <c r="E1321" s="5" t="str">
        <f>_xlfn.XLOOKUP(fOrcado[[#This Row],[Conta]],'Plano de Contas'!A:A,'Plano de Contas'!D:D)</f>
        <v>03 - Devoluções de Produtos</v>
      </c>
    </row>
    <row r="1322" spans="1:5" x14ac:dyDescent="0.25">
      <c r="A1322" s="23">
        <f t="shared" si="19"/>
        <v>43739</v>
      </c>
      <c r="B1322" s="5" t="s">
        <v>111</v>
      </c>
      <c r="C1322" s="5">
        <v>-7670</v>
      </c>
      <c r="D1322" s="5" t="str">
        <f>_xlfn.XLOOKUP(fOrcado[[#This Row],[Conta]],'Plano de Contas'!A:A,'Plano de Contas'!C:C)</f>
        <v>(-) Deduções da Receita</v>
      </c>
      <c r="E1322" s="5" t="str">
        <f>_xlfn.XLOOKUP(fOrcado[[#This Row],[Conta]],'Plano de Contas'!A:A,'Plano de Contas'!D:D)</f>
        <v>03 - Devoluções de Produtos</v>
      </c>
    </row>
    <row r="1323" spans="1:5" x14ac:dyDescent="0.25">
      <c r="A1323" s="23">
        <f t="shared" si="19"/>
        <v>43739</v>
      </c>
      <c r="B1323" s="5" t="s">
        <v>112</v>
      </c>
      <c r="C1323" s="5">
        <v>-3666</v>
      </c>
      <c r="D1323" s="5" t="str">
        <f>_xlfn.XLOOKUP(fOrcado[[#This Row],[Conta]],'Plano de Contas'!A:A,'Plano de Contas'!C:C)</f>
        <v>(-) Deduções da Receita</v>
      </c>
      <c r="E1323" s="5" t="str">
        <f>_xlfn.XLOOKUP(fOrcado[[#This Row],[Conta]],'Plano de Contas'!A:A,'Plano de Contas'!D:D)</f>
        <v>03 - Devoluções de Produtos</v>
      </c>
    </row>
    <row r="1324" spans="1:5" x14ac:dyDescent="0.25">
      <c r="A1324" s="23">
        <f t="shared" si="19"/>
        <v>43739</v>
      </c>
      <c r="B1324" s="5" t="s">
        <v>113</v>
      </c>
      <c r="C1324" s="5">
        <v>-6922</v>
      </c>
      <c r="D1324" s="5" t="str">
        <f>_xlfn.XLOOKUP(fOrcado[[#This Row],[Conta]],'Plano de Contas'!A:A,'Plano de Contas'!C:C)</f>
        <v>(-) Deduções da Receita</v>
      </c>
      <c r="E1324" s="5" t="str">
        <f>_xlfn.XLOOKUP(fOrcado[[#This Row],[Conta]],'Plano de Contas'!A:A,'Plano de Contas'!D:D)</f>
        <v>03 - Devoluções de Produtos</v>
      </c>
    </row>
    <row r="1325" spans="1:5" x14ac:dyDescent="0.25">
      <c r="A1325" s="23">
        <f t="shared" si="19"/>
        <v>43739</v>
      </c>
      <c r="B1325" s="5" t="s">
        <v>114</v>
      </c>
      <c r="C1325" s="5">
        <v>-4231</v>
      </c>
      <c r="D1325" s="5" t="str">
        <f>_xlfn.XLOOKUP(fOrcado[[#This Row],[Conta]],'Plano de Contas'!A:A,'Plano de Contas'!C:C)</f>
        <v>(-) Deduções da Receita</v>
      </c>
      <c r="E1325" s="5" t="str">
        <f>_xlfn.XLOOKUP(fOrcado[[#This Row],[Conta]],'Plano de Contas'!A:A,'Plano de Contas'!D:D)</f>
        <v>03 - Devoluções de Produtos</v>
      </c>
    </row>
    <row r="1326" spans="1:5" x14ac:dyDescent="0.25">
      <c r="A1326" s="23">
        <f t="shared" si="19"/>
        <v>43739</v>
      </c>
      <c r="B1326" s="5" t="s">
        <v>115</v>
      </c>
      <c r="C1326" s="5">
        <v>-7817</v>
      </c>
      <c r="D1326" s="5" t="str">
        <f>_xlfn.XLOOKUP(fOrcado[[#This Row],[Conta]],'Plano de Contas'!A:A,'Plano de Contas'!C:C)</f>
        <v>(-) Deduções da Receita</v>
      </c>
      <c r="E1326" s="5" t="str">
        <f>_xlfn.XLOOKUP(fOrcado[[#This Row],[Conta]],'Plano de Contas'!A:A,'Plano de Contas'!D:D)</f>
        <v>03 - Devoluções de Produtos</v>
      </c>
    </row>
    <row r="1327" spans="1:5" x14ac:dyDescent="0.25">
      <c r="A1327" s="23">
        <f t="shared" si="19"/>
        <v>43739</v>
      </c>
      <c r="B1327" s="5" t="s">
        <v>116</v>
      </c>
      <c r="C1327" s="5">
        <v>-4570</v>
      </c>
      <c r="D1327" s="5" t="str">
        <f>_xlfn.XLOOKUP(fOrcado[[#This Row],[Conta]],'Plano de Contas'!A:A,'Plano de Contas'!C:C)</f>
        <v>(-) Deduções da Receita</v>
      </c>
      <c r="E1327" s="5" t="str">
        <f>_xlfn.XLOOKUP(fOrcado[[#This Row],[Conta]],'Plano de Contas'!A:A,'Plano de Contas'!D:D)</f>
        <v>03 - Devoluções de Produtos</v>
      </c>
    </row>
    <row r="1328" spans="1:5" x14ac:dyDescent="0.25">
      <c r="A1328" s="23">
        <f t="shared" si="19"/>
        <v>43739</v>
      </c>
      <c r="B1328" s="5" t="s">
        <v>117</v>
      </c>
      <c r="C1328" s="5">
        <v>-5027</v>
      </c>
      <c r="D1328" s="5" t="str">
        <f>_xlfn.XLOOKUP(fOrcado[[#This Row],[Conta]],'Plano de Contas'!A:A,'Plano de Contas'!C:C)</f>
        <v>(-) Deduções da Receita</v>
      </c>
      <c r="E1328" s="5" t="str">
        <f>_xlfn.XLOOKUP(fOrcado[[#This Row],[Conta]],'Plano de Contas'!A:A,'Plano de Contas'!D:D)</f>
        <v>03 - Devoluções de Produtos</v>
      </c>
    </row>
    <row r="1329" spans="1:5" x14ac:dyDescent="0.25">
      <c r="A1329" s="23">
        <f t="shared" si="19"/>
        <v>43739</v>
      </c>
      <c r="B1329" s="5" t="s">
        <v>118</v>
      </c>
      <c r="C1329" s="5">
        <v>-6156</v>
      </c>
      <c r="D1329" s="5" t="str">
        <f>_xlfn.XLOOKUP(fOrcado[[#This Row],[Conta]],'Plano de Contas'!A:A,'Plano de Contas'!C:C)</f>
        <v>(-) Deduções da Receita</v>
      </c>
      <c r="E1329" s="5" t="str">
        <f>_xlfn.XLOOKUP(fOrcado[[#This Row],[Conta]],'Plano de Contas'!A:A,'Plano de Contas'!D:D)</f>
        <v>03 - Devoluções de Produtos</v>
      </c>
    </row>
    <row r="1330" spans="1:5" x14ac:dyDescent="0.25">
      <c r="A1330" s="23">
        <f t="shared" si="19"/>
        <v>43739</v>
      </c>
      <c r="B1330" s="5" t="s">
        <v>119</v>
      </c>
      <c r="C1330" s="5">
        <v>-5427</v>
      </c>
      <c r="D1330" s="5" t="str">
        <f>_xlfn.XLOOKUP(fOrcado[[#This Row],[Conta]],'Plano de Contas'!A:A,'Plano de Contas'!C:C)</f>
        <v>(-) Deduções da Receita</v>
      </c>
      <c r="E1330" s="5" t="str">
        <f>_xlfn.XLOOKUP(fOrcado[[#This Row],[Conta]],'Plano de Contas'!A:A,'Plano de Contas'!D:D)</f>
        <v>03 - Devoluções de Produtos</v>
      </c>
    </row>
    <row r="1331" spans="1:5" x14ac:dyDescent="0.25">
      <c r="A1331" s="23">
        <f t="shared" si="19"/>
        <v>43739</v>
      </c>
      <c r="B1331" s="5" t="s">
        <v>120</v>
      </c>
      <c r="C1331" s="5">
        <v>-9447</v>
      </c>
      <c r="D1331" s="5" t="str">
        <f>_xlfn.XLOOKUP(fOrcado[[#This Row],[Conta]],'Plano de Contas'!A:A,'Plano de Contas'!C:C)</f>
        <v>(-) Deduções da Receita</v>
      </c>
      <c r="E1331" s="5" t="str">
        <f>_xlfn.XLOOKUP(fOrcado[[#This Row],[Conta]],'Plano de Contas'!A:A,'Plano de Contas'!D:D)</f>
        <v>03 - Devoluções de Produtos</v>
      </c>
    </row>
    <row r="1332" spans="1:5" x14ac:dyDescent="0.25">
      <c r="A1332" s="23">
        <f t="shared" si="19"/>
        <v>43739</v>
      </c>
      <c r="B1332" s="5" t="s">
        <v>121</v>
      </c>
      <c r="C1332" s="5">
        <v>-2585</v>
      </c>
      <c r="D1332" s="5" t="str">
        <f>_xlfn.XLOOKUP(fOrcado[[#This Row],[Conta]],'Plano de Contas'!A:A,'Plano de Contas'!C:C)</f>
        <v>(-) Deduções da Receita</v>
      </c>
      <c r="E1332" s="5" t="str">
        <f>_xlfn.XLOOKUP(fOrcado[[#This Row],[Conta]],'Plano de Contas'!A:A,'Plano de Contas'!D:D)</f>
        <v>03 - Devoluções de Produtos</v>
      </c>
    </row>
    <row r="1333" spans="1:5" x14ac:dyDescent="0.25">
      <c r="A1333" s="23">
        <f t="shared" si="19"/>
        <v>43739</v>
      </c>
      <c r="B1333" s="5" t="s">
        <v>122</v>
      </c>
      <c r="C1333" s="5">
        <v>-2864</v>
      </c>
      <c r="D1333" s="5" t="str">
        <f>_xlfn.XLOOKUP(fOrcado[[#This Row],[Conta]],'Plano de Contas'!A:A,'Plano de Contas'!C:C)</f>
        <v>(-) Deduções da Receita</v>
      </c>
      <c r="E1333" s="5" t="str">
        <f>_xlfn.XLOOKUP(fOrcado[[#This Row],[Conta]],'Plano de Contas'!A:A,'Plano de Contas'!D:D)</f>
        <v>03 - Devoluções de Produtos</v>
      </c>
    </row>
    <row r="1334" spans="1:5" x14ac:dyDescent="0.25">
      <c r="A1334" s="23">
        <f t="shared" si="19"/>
        <v>43739</v>
      </c>
      <c r="B1334" s="5" t="s">
        <v>123</v>
      </c>
      <c r="C1334" s="5">
        <v>-8436</v>
      </c>
      <c r="D1334" s="5" t="str">
        <f>_xlfn.XLOOKUP(fOrcado[[#This Row],[Conta]],'Plano de Contas'!A:A,'Plano de Contas'!C:C)</f>
        <v>(-) Deduções da Receita</v>
      </c>
      <c r="E1334" s="5" t="str">
        <f>_xlfn.XLOOKUP(fOrcado[[#This Row],[Conta]],'Plano de Contas'!A:A,'Plano de Contas'!D:D)</f>
        <v>03 - Devoluções de Produtos</v>
      </c>
    </row>
    <row r="1335" spans="1:5" x14ac:dyDescent="0.25">
      <c r="A1335" s="23">
        <f t="shared" si="19"/>
        <v>43739</v>
      </c>
      <c r="B1335" s="5" t="s">
        <v>124</v>
      </c>
      <c r="C1335" s="5">
        <v>-7437</v>
      </c>
      <c r="D1335" s="5" t="str">
        <f>_xlfn.XLOOKUP(fOrcado[[#This Row],[Conta]],'Plano de Contas'!A:A,'Plano de Contas'!C:C)</f>
        <v>(-) Deduções da Receita</v>
      </c>
      <c r="E1335" s="5" t="str">
        <f>_xlfn.XLOOKUP(fOrcado[[#This Row],[Conta]],'Plano de Contas'!A:A,'Plano de Contas'!D:D)</f>
        <v>03 - Devoluções de Produtos</v>
      </c>
    </row>
    <row r="1336" spans="1:5" x14ac:dyDescent="0.25">
      <c r="A1336" s="23">
        <f t="shared" si="19"/>
        <v>43739</v>
      </c>
      <c r="B1336" s="5" t="s">
        <v>125</v>
      </c>
      <c r="C1336" s="5">
        <v>-9967</v>
      </c>
      <c r="D1336" s="5" t="str">
        <f>_xlfn.XLOOKUP(fOrcado[[#This Row],[Conta]],'Plano de Contas'!A:A,'Plano de Contas'!C:C)</f>
        <v>(-) Deduções da Receita</v>
      </c>
      <c r="E1336" s="5" t="str">
        <f>_xlfn.XLOOKUP(fOrcado[[#This Row],[Conta]],'Plano de Contas'!A:A,'Plano de Contas'!D:D)</f>
        <v>03 - Devoluções de Produtos</v>
      </c>
    </row>
    <row r="1337" spans="1:5" x14ac:dyDescent="0.25">
      <c r="A1337" s="23">
        <f t="shared" si="19"/>
        <v>43739</v>
      </c>
      <c r="B1337" s="5" t="s">
        <v>126</v>
      </c>
      <c r="C1337" s="5">
        <v>-5083</v>
      </c>
      <c r="D1337" s="5" t="str">
        <f>_xlfn.XLOOKUP(fOrcado[[#This Row],[Conta]],'Plano de Contas'!A:A,'Plano de Contas'!C:C)</f>
        <v>(-) Deduções da Receita</v>
      </c>
      <c r="E1337" s="5" t="str">
        <f>_xlfn.XLOOKUP(fOrcado[[#This Row],[Conta]],'Plano de Contas'!A:A,'Plano de Contas'!D:D)</f>
        <v>03 - Devoluções de Produtos</v>
      </c>
    </row>
    <row r="1338" spans="1:5" x14ac:dyDescent="0.25">
      <c r="A1338" s="23">
        <f t="shared" si="19"/>
        <v>43739</v>
      </c>
      <c r="B1338" s="5" t="s">
        <v>127</v>
      </c>
      <c r="C1338" s="5">
        <v>-7988</v>
      </c>
      <c r="D1338" s="5" t="str">
        <f>_xlfn.XLOOKUP(fOrcado[[#This Row],[Conta]],'Plano de Contas'!A:A,'Plano de Contas'!C:C)</f>
        <v>(-) Deduções da Receita</v>
      </c>
      <c r="E1338" s="5" t="str">
        <f>_xlfn.XLOOKUP(fOrcado[[#This Row],[Conta]],'Plano de Contas'!A:A,'Plano de Contas'!D:D)</f>
        <v>03 - Devoluções de Produtos</v>
      </c>
    </row>
    <row r="1339" spans="1:5" x14ac:dyDescent="0.25">
      <c r="A1339" s="23">
        <f t="shared" si="19"/>
        <v>43739</v>
      </c>
      <c r="B1339" s="5" t="s">
        <v>128</v>
      </c>
      <c r="C1339" s="5">
        <v>-1934</v>
      </c>
      <c r="D1339" s="5" t="str">
        <f>_xlfn.XLOOKUP(fOrcado[[#This Row],[Conta]],'Plano de Contas'!A:A,'Plano de Contas'!C:C)</f>
        <v>(-) Deduções da Receita</v>
      </c>
      <c r="E1339" s="5" t="str">
        <f>_xlfn.XLOOKUP(fOrcado[[#This Row],[Conta]],'Plano de Contas'!A:A,'Plano de Contas'!D:D)</f>
        <v>03 - Devoluções de Produtos</v>
      </c>
    </row>
    <row r="1340" spans="1:5" x14ac:dyDescent="0.25">
      <c r="A1340" s="23">
        <f t="shared" si="19"/>
        <v>43739</v>
      </c>
      <c r="B1340" s="5" t="s">
        <v>129</v>
      </c>
      <c r="C1340" s="5">
        <v>-4506</v>
      </c>
      <c r="D1340" s="5" t="str">
        <f>_xlfn.XLOOKUP(fOrcado[[#This Row],[Conta]],'Plano de Contas'!A:A,'Plano de Contas'!C:C)</f>
        <v>(-) Deduções da Receita</v>
      </c>
      <c r="E1340" s="5" t="str">
        <f>_xlfn.XLOOKUP(fOrcado[[#This Row],[Conta]],'Plano de Contas'!A:A,'Plano de Contas'!D:D)</f>
        <v>03 - Devoluções de Produtos</v>
      </c>
    </row>
    <row r="1341" spans="1:5" x14ac:dyDescent="0.25">
      <c r="A1341" s="23">
        <f t="shared" si="19"/>
        <v>43739</v>
      </c>
      <c r="B1341" s="5" t="s">
        <v>130</v>
      </c>
      <c r="C1341" s="5">
        <v>-3002</v>
      </c>
      <c r="D1341" s="5" t="str">
        <f>_xlfn.XLOOKUP(fOrcado[[#This Row],[Conta]],'Plano de Contas'!A:A,'Plano de Contas'!C:C)</f>
        <v>(-) Deduções da Receita</v>
      </c>
      <c r="E1341" s="5" t="str">
        <f>_xlfn.XLOOKUP(fOrcado[[#This Row],[Conta]],'Plano de Contas'!A:A,'Plano de Contas'!D:D)</f>
        <v>03 - Devoluções de Produtos</v>
      </c>
    </row>
    <row r="1342" spans="1:5" x14ac:dyDescent="0.25">
      <c r="A1342" s="23">
        <f t="shared" si="19"/>
        <v>43739</v>
      </c>
      <c r="B1342" s="5" t="s">
        <v>131</v>
      </c>
      <c r="C1342" s="5">
        <v>-8700</v>
      </c>
      <c r="D1342" s="5" t="str">
        <f>_xlfn.XLOOKUP(fOrcado[[#This Row],[Conta]],'Plano de Contas'!A:A,'Plano de Contas'!C:C)</f>
        <v>(-) Deduções da Receita</v>
      </c>
      <c r="E1342" s="5" t="str">
        <f>_xlfn.XLOOKUP(fOrcado[[#This Row],[Conta]],'Plano de Contas'!A:A,'Plano de Contas'!D:D)</f>
        <v>03 - Devoluções de Produtos</v>
      </c>
    </row>
    <row r="1343" spans="1:5" x14ac:dyDescent="0.25">
      <c r="A1343" s="23">
        <f t="shared" si="19"/>
        <v>43739</v>
      </c>
      <c r="B1343" s="5" t="s">
        <v>132</v>
      </c>
      <c r="C1343" s="5">
        <v>-2092</v>
      </c>
      <c r="D1343" s="5" t="str">
        <f>_xlfn.XLOOKUP(fOrcado[[#This Row],[Conta]],'Plano de Contas'!A:A,'Plano de Contas'!C:C)</f>
        <v>(-) Deduções da Receita</v>
      </c>
      <c r="E1343" s="5" t="str">
        <f>_xlfn.XLOOKUP(fOrcado[[#This Row],[Conta]],'Plano de Contas'!A:A,'Plano de Contas'!D:D)</f>
        <v>03 - Devoluções de Produtos</v>
      </c>
    </row>
    <row r="1344" spans="1:5" x14ac:dyDescent="0.25">
      <c r="A1344" s="23">
        <f t="shared" si="19"/>
        <v>43739</v>
      </c>
      <c r="B1344" s="5" t="s">
        <v>133</v>
      </c>
      <c r="C1344" s="5">
        <v>-9074</v>
      </c>
      <c r="D1344" s="5" t="str">
        <f>_xlfn.XLOOKUP(fOrcado[[#This Row],[Conta]],'Plano de Contas'!A:A,'Plano de Contas'!C:C)</f>
        <v>(-) Deduções da Receita</v>
      </c>
      <c r="E1344" s="5" t="str">
        <f>_xlfn.XLOOKUP(fOrcado[[#This Row],[Conta]],'Plano de Contas'!A:A,'Plano de Contas'!D:D)</f>
        <v>03 - Devoluções de Produtos</v>
      </c>
    </row>
    <row r="1345" spans="1:5" x14ac:dyDescent="0.25">
      <c r="A1345" s="23">
        <f t="shared" si="19"/>
        <v>43739</v>
      </c>
      <c r="B1345" s="5" t="s">
        <v>134</v>
      </c>
      <c r="C1345" s="5">
        <v>-7090</v>
      </c>
      <c r="D1345" s="5" t="str">
        <f>_xlfn.XLOOKUP(fOrcado[[#This Row],[Conta]],'Plano de Contas'!A:A,'Plano de Contas'!C:C)</f>
        <v>(-) Deduções da Receita</v>
      </c>
      <c r="E1345" s="5" t="str">
        <f>_xlfn.XLOOKUP(fOrcado[[#This Row],[Conta]],'Plano de Contas'!A:A,'Plano de Contas'!D:D)</f>
        <v>03 - Devoluções de Produtos</v>
      </c>
    </row>
    <row r="1346" spans="1:5" x14ac:dyDescent="0.25">
      <c r="A1346" s="23">
        <f t="shared" si="19"/>
        <v>43739</v>
      </c>
      <c r="B1346" s="5" t="s">
        <v>135</v>
      </c>
      <c r="C1346" s="5">
        <v>-5291</v>
      </c>
      <c r="D1346" s="5" t="str">
        <f>_xlfn.XLOOKUP(fOrcado[[#This Row],[Conta]],'Plano de Contas'!A:A,'Plano de Contas'!C:C)</f>
        <v>(-) Deduções da Receita</v>
      </c>
      <c r="E1346" s="5" t="str">
        <f>_xlfn.XLOOKUP(fOrcado[[#This Row],[Conta]],'Plano de Contas'!A:A,'Plano de Contas'!D:D)</f>
        <v>03 - Devoluções de Produtos</v>
      </c>
    </row>
    <row r="1347" spans="1:5" x14ac:dyDescent="0.25">
      <c r="A1347" s="23">
        <f t="shared" si="19"/>
        <v>43739</v>
      </c>
      <c r="B1347" s="5" t="s">
        <v>136</v>
      </c>
      <c r="C1347" s="5">
        <v>-6712</v>
      </c>
      <c r="D1347" s="5" t="str">
        <f>_xlfn.XLOOKUP(fOrcado[[#This Row],[Conta]],'Plano de Contas'!A:A,'Plano de Contas'!C:C)</f>
        <v>(-) Deduções da Receita</v>
      </c>
      <c r="E1347" s="5" t="str">
        <f>_xlfn.XLOOKUP(fOrcado[[#This Row],[Conta]],'Plano de Contas'!A:A,'Plano de Contas'!D:D)</f>
        <v>04 - Taxas de Serviço</v>
      </c>
    </row>
    <row r="1348" spans="1:5" x14ac:dyDescent="0.25">
      <c r="A1348" s="23">
        <f t="shared" si="19"/>
        <v>43739</v>
      </c>
      <c r="B1348" s="5" t="s">
        <v>137</v>
      </c>
      <c r="C1348" s="5">
        <v>-7087</v>
      </c>
      <c r="D1348" s="5" t="str">
        <f>_xlfn.XLOOKUP(fOrcado[[#This Row],[Conta]],'Plano de Contas'!A:A,'Plano de Contas'!C:C)</f>
        <v>(-) Deduções da Receita</v>
      </c>
      <c r="E1348" s="5" t="str">
        <f>_xlfn.XLOOKUP(fOrcado[[#This Row],[Conta]],'Plano de Contas'!A:A,'Plano de Contas'!D:D)</f>
        <v>04 - Taxas de Serviço</v>
      </c>
    </row>
    <row r="1349" spans="1:5" x14ac:dyDescent="0.25">
      <c r="A1349" s="23">
        <f t="shared" si="19"/>
        <v>43739</v>
      </c>
      <c r="B1349" s="5" t="s">
        <v>138</v>
      </c>
      <c r="C1349" s="5">
        <v>-9133</v>
      </c>
      <c r="D1349" s="5" t="str">
        <f>_xlfn.XLOOKUP(fOrcado[[#This Row],[Conta]],'Plano de Contas'!A:A,'Plano de Contas'!C:C)</f>
        <v>(-) Deduções da Receita</v>
      </c>
      <c r="E1349" s="5" t="str">
        <f>_xlfn.XLOOKUP(fOrcado[[#This Row],[Conta]],'Plano de Contas'!A:A,'Plano de Contas'!D:D)</f>
        <v>04 - Taxas de Serviço</v>
      </c>
    </row>
    <row r="1350" spans="1:5" x14ac:dyDescent="0.25">
      <c r="A1350" s="23">
        <f t="shared" si="19"/>
        <v>43739</v>
      </c>
      <c r="B1350" s="5" t="s">
        <v>139</v>
      </c>
      <c r="C1350" s="5">
        <v>-8189</v>
      </c>
      <c r="D1350" s="5" t="str">
        <f>_xlfn.XLOOKUP(fOrcado[[#This Row],[Conta]],'Plano de Contas'!A:A,'Plano de Contas'!C:C)</f>
        <v>(-) Deduções da Receita</v>
      </c>
      <c r="E1350" s="5" t="str">
        <f>_xlfn.XLOOKUP(fOrcado[[#This Row],[Conta]],'Plano de Contas'!A:A,'Plano de Contas'!D:D)</f>
        <v>04 - Taxas de Serviço</v>
      </c>
    </row>
    <row r="1351" spans="1:5" x14ac:dyDescent="0.25">
      <c r="A1351" s="23">
        <f t="shared" si="19"/>
        <v>43739</v>
      </c>
      <c r="B1351" s="5" t="s">
        <v>140</v>
      </c>
      <c r="C1351" s="5">
        <v>-114356</v>
      </c>
      <c r="D1351" s="5" t="str">
        <f>_xlfn.XLOOKUP(fOrcado[[#This Row],[Conta]],'Plano de Contas'!A:A,'Plano de Contas'!C:C)</f>
        <v>(-) Custos de Vendas</v>
      </c>
      <c r="E1351" s="5" t="str">
        <f>_xlfn.XLOOKUP(fOrcado[[#This Row],[Conta]],'Plano de Contas'!A:A,'Plano de Contas'!D:D)</f>
        <v>05 - Custo do Produto</v>
      </c>
    </row>
    <row r="1352" spans="1:5" x14ac:dyDescent="0.25">
      <c r="A1352" s="23">
        <f t="shared" ref="A1352:A1415" si="20">EDATE(A1212,1)</f>
        <v>43739</v>
      </c>
      <c r="B1352" s="5" t="s">
        <v>141</v>
      </c>
      <c r="C1352" s="5">
        <v>-142510</v>
      </c>
      <c r="D1352" s="5" t="str">
        <f>_xlfn.XLOOKUP(fOrcado[[#This Row],[Conta]],'Plano de Contas'!A:A,'Plano de Contas'!C:C)</f>
        <v>(-) Custos de Vendas</v>
      </c>
      <c r="E1352" s="5" t="str">
        <f>_xlfn.XLOOKUP(fOrcado[[#This Row],[Conta]],'Plano de Contas'!A:A,'Plano de Contas'!D:D)</f>
        <v>05 - Custo do Produto</v>
      </c>
    </row>
    <row r="1353" spans="1:5" x14ac:dyDescent="0.25">
      <c r="A1353" s="23">
        <f t="shared" si="20"/>
        <v>43739</v>
      </c>
      <c r="B1353" s="5" t="s">
        <v>142</v>
      </c>
      <c r="C1353" s="5">
        <v>-284913</v>
      </c>
      <c r="D1353" s="5" t="str">
        <f>_xlfn.XLOOKUP(fOrcado[[#This Row],[Conta]],'Plano de Contas'!A:A,'Plano de Contas'!C:C)</f>
        <v>(-) Custos de Vendas</v>
      </c>
      <c r="E1353" s="5" t="str">
        <f>_xlfn.XLOOKUP(fOrcado[[#This Row],[Conta]],'Plano de Contas'!A:A,'Plano de Contas'!D:D)</f>
        <v>05 - Custo do Produto</v>
      </c>
    </row>
    <row r="1354" spans="1:5" x14ac:dyDescent="0.25">
      <c r="A1354" s="23">
        <f t="shared" si="20"/>
        <v>43739</v>
      </c>
      <c r="B1354" s="5" t="s">
        <v>143</v>
      </c>
      <c r="C1354" s="5">
        <v>-252977</v>
      </c>
      <c r="D1354" s="5" t="str">
        <f>_xlfn.XLOOKUP(fOrcado[[#This Row],[Conta]],'Plano de Contas'!A:A,'Plano de Contas'!C:C)</f>
        <v>(-) Custos de Vendas</v>
      </c>
      <c r="E1354" s="5" t="str">
        <f>_xlfn.XLOOKUP(fOrcado[[#This Row],[Conta]],'Plano de Contas'!A:A,'Plano de Contas'!D:D)</f>
        <v>05 - Custo do Produto</v>
      </c>
    </row>
    <row r="1355" spans="1:5" x14ac:dyDescent="0.25">
      <c r="A1355" s="23">
        <f t="shared" si="20"/>
        <v>43739</v>
      </c>
      <c r="B1355" s="5" t="s">
        <v>144</v>
      </c>
      <c r="C1355" s="5">
        <v>-260114</v>
      </c>
      <c r="D1355" s="5" t="str">
        <f>_xlfn.XLOOKUP(fOrcado[[#This Row],[Conta]],'Plano de Contas'!A:A,'Plano de Contas'!C:C)</f>
        <v>(-) Custos de Vendas</v>
      </c>
      <c r="E1355" s="5" t="str">
        <f>_xlfn.XLOOKUP(fOrcado[[#This Row],[Conta]],'Plano de Contas'!A:A,'Plano de Contas'!D:D)</f>
        <v>05 - Custo do Produto</v>
      </c>
    </row>
    <row r="1356" spans="1:5" x14ac:dyDescent="0.25">
      <c r="A1356" s="23">
        <f t="shared" si="20"/>
        <v>43739</v>
      </c>
      <c r="B1356" s="5" t="s">
        <v>145</v>
      </c>
      <c r="C1356" s="5">
        <v>-197260</v>
      </c>
      <c r="D1356" s="5" t="str">
        <f>_xlfn.XLOOKUP(fOrcado[[#This Row],[Conta]],'Plano de Contas'!A:A,'Plano de Contas'!C:C)</f>
        <v>(-) Custos de Vendas</v>
      </c>
      <c r="E1356" s="5" t="str">
        <f>_xlfn.XLOOKUP(fOrcado[[#This Row],[Conta]],'Plano de Contas'!A:A,'Plano de Contas'!D:D)</f>
        <v>05 - Custo do Produto</v>
      </c>
    </row>
    <row r="1357" spans="1:5" x14ac:dyDescent="0.25">
      <c r="A1357" s="23">
        <f t="shared" si="20"/>
        <v>43739</v>
      </c>
      <c r="B1357" s="5" t="s">
        <v>146</v>
      </c>
      <c r="C1357" s="5">
        <v>-111645</v>
      </c>
      <c r="D1357" s="5" t="str">
        <f>_xlfn.XLOOKUP(fOrcado[[#This Row],[Conta]],'Plano de Contas'!A:A,'Plano de Contas'!C:C)</f>
        <v>(-) Custos de Vendas</v>
      </c>
      <c r="E1357" s="5" t="str">
        <f>_xlfn.XLOOKUP(fOrcado[[#This Row],[Conta]],'Plano de Contas'!A:A,'Plano de Contas'!D:D)</f>
        <v>05 - Custo do Produto</v>
      </c>
    </row>
    <row r="1358" spans="1:5" x14ac:dyDescent="0.25">
      <c r="A1358" s="23">
        <f t="shared" si="20"/>
        <v>43739</v>
      </c>
      <c r="B1358" s="5" t="s">
        <v>147</v>
      </c>
      <c r="C1358" s="5">
        <v>-99918</v>
      </c>
      <c r="D1358" s="5" t="str">
        <f>_xlfn.XLOOKUP(fOrcado[[#This Row],[Conta]],'Plano de Contas'!A:A,'Plano de Contas'!C:C)</f>
        <v>(-) Custos de Vendas</v>
      </c>
      <c r="E1358" s="5" t="str">
        <f>_xlfn.XLOOKUP(fOrcado[[#This Row],[Conta]],'Plano de Contas'!A:A,'Plano de Contas'!D:D)</f>
        <v>05 - Custo do Produto</v>
      </c>
    </row>
    <row r="1359" spans="1:5" x14ac:dyDescent="0.25">
      <c r="A1359" s="23">
        <f t="shared" si="20"/>
        <v>43739</v>
      </c>
      <c r="B1359" s="5" t="s">
        <v>148</v>
      </c>
      <c r="C1359" s="5">
        <v>-267208</v>
      </c>
      <c r="D1359" s="5" t="str">
        <f>_xlfn.XLOOKUP(fOrcado[[#This Row],[Conta]],'Plano de Contas'!A:A,'Plano de Contas'!C:C)</f>
        <v>(-) Custos de Vendas</v>
      </c>
      <c r="E1359" s="5" t="str">
        <f>_xlfn.XLOOKUP(fOrcado[[#This Row],[Conta]],'Plano de Contas'!A:A,'Plano de Contas'!D:D)</f>
        <v>05 - Custo do Produto</v>
      </c>
    </row>
    <row r="1360" spans="1:5" x14ac:dyDescent="0.25">
      <c r="A1360" s="23">
        <f t="shared" si="20"/>
        <v>43739</v>
      </c>
      <c r="B1360" s="5" t="s">
        <v>149</v>
      </c>
      <c r="C1360" s="5">
        <v>-113144</v>
      </c>
      <c r="D1360" s="5" t="str">
        <f>_xlfn.XLOOKUP(fOrcado[[#This Row],[Conta]],'Plano de Contas'!A:A,'Plano de Contas'!C:C)</f>
        <v>(-) Custos de Vendas</v>
      </c>
      <c r="E1360" s="5" t="str">
        <f>_xlfn.XLOOKUP(fOrcado[[#This Row],[Conta]],'Plano de Contas'!A:A,'Plano de Contas'!D:D)</f>
        <v>05 - Custo do Produto</v>
      </c>
    </row>
    <row r="1361" spans="1:5" x14ac:dyDescent="0.25">
      <c r="A1361" s="23">
        <f t="shared" si="20"/>
        <v>43739</v>
      </c>
      <c r="B1361" s="5" t="s">
        <v>150</v>
      </c>
      <c r="C1361" s="5">
        <v>-132955</v>
      </c>
      <c r="D1361" s="5" t="str">
        <f>_xlfn.XLOOKUP(fOrcado[[#This Row],[Conta]],'Plano de Contas'!A:A,'Plano de Contas'!C:C)</f>
        <v>(-) Custos de Vendas</v>
      </c>
      <c r="E1361" s="5" t="str">
        <f>_xlfn.XLOOKUP(fOrcado[[#This Row],[Conta]],'Plano de Contas'!A:A,'Plano de Contas'!D:D)</f>
        <v>05 - Custo do Produto</v>
      </c>
    </row>
    <row r="1362" spans="1:5" x14ac:dyDescent="0.25">
      <c r="A1362" s="23">
        <f t="shared" si="20"/>
        <v>43739</v>
      </c>
      <c r="B1362" s="5" t="s">
        <v>151</v>
      </c>
      <c r="C1362" s="5">
        <v>-221598</v>
      </c>
      <c r="D1362" s="5" t="str">
        <f>_xlfn.XLOOKUP(fOrcado[[#This Row],[Conta]],'Plano de Contas'!A:A,'Plano de Contas'!C:C)</f>
        <v>(-) Custos de Vendas</v>
      </c>
      <c r="E1362" s="5" t="str">
        <f>_xlfn.XLOOKUP(fOrcado[[#This Row],[Conta]],'Plano de Contas'!A:A,'Plano de Contas'!D:D)</f>
        <v>05 - Custo do Produto</v>
      </c>
    </row>
    <row r="1363" spans="1:5" x14ac:dyDescent="0.25">
      <c r="A1363" s="23">
        <f t="shared" si="20"/>
        <v>43739</v>
      </c>
      <c r="B1363" s="5" t="s">
        <v>152</v>
      </c>
      <c r="C1363" s="5">
        <v>-80831</v>
      </c>
      <c r="D1363" s="5" t="str">
        <f>_xlfn.XLOOKUP(fOrcado[[#This Row],[Conta]],'Plano de Contas'!A:A,'Plano de Contas'!C:C)</f>
        <v>(-) Custos de Vendas</v>
      </c>
      <c r="E1363" s="5" t="str">
        <f>_xlfn.XLOOKUP(fOrcado[[#This Row],[Conta]],'Plano de Contas'!A:A,'Plano de Contas'!D:D)</f>
        <v>05 - Custo do Produto</v>
      </c>
    </row>
    <row r="1364" spans="1:5" x14ac:dyDescent="0.25">
      <c r="A1364" s="23">
        <f t="shared" si="20"/>
        <v>43739</v>
      </c>
      <c r="B1364" s="5" t="s">
        <v>153</v>
      </c>
      <c r="C1364" s="5">
        <v>-245728</v>
      </c>
      <c r="D1364" s="5" t="str">
        <f>_xlfn.XLOOKUP(fOrcado[[#This Row],[Conta]],'Plano de Contas'!A:A,'Plano de Contas'!C:C)</f>
        <v>(-) Custos de Vendas</v>
      </c>
      <c r="E1364" s="5" t="str">
        <f>_xlfn.XLOOKUP(fOrcado[[#This Row],[Conta]],'Plano de Contas'!A:A,'Plano de Contas'!D:D)</f>
        <v>05 - Custo do Produto</v>
      </c>
    </row>
    <row r="1365" spans="1:5" x14ac:dyDescent="0.25">
      <c r="A1365" s="23">
        <f t="shared" si="20"/>
        <v>43739</v>
      </c>
      <c r="B1365" s="5" t="s">
        <v>154</v>
      </c>
      <c r="C1365" s="5">
        <v>-144754</v>
      </c>
      <c r="D1365" s="5" t="str">
        <f>_xlfn.XLOOKUP(fOrcado[[#This Row],[Conta]],'Plano de Contas'!A:A,'Plano de Contas'!C:C)</f>
        <v>(-) Custos de Vendas</v>
      </c>
      <c r="E1365" s="5" t="str">
        <f>_xlfn.XLOOKUP(fOrcado[[#This Row],[Conta]],'Plano de Contas'!A:A,'Plano de Contas'!D:D)</f>
        <v>05 - Custo do Produto</v>
      </c>
    </row>
    <row r="1366" spans="1:5" x14ac:dyDescent="0.25">
      <c r="A1366" s="23">
        <f t="shared" si="20"/>
        <v>43739</v>
      </c>
      <c r="B1366" s="5" t="s">
        <v>155</v>
      </c>
      <c r="C1366" s="5">
        <v>-165076</v>
      </c>
      <c r="D1366" s="5" t="str">
        <f>_xlfn.XLOOKUP(fOrcado[[#This Row],[Conta]],'Plano de Contas'!A:A,'Plano de Contas'!C:C)</f>
        <v>(-) Custos de Vendas</v>
      </c>
      <c r="E1366" s="5" t="str">
        <f>_xlfn.XLOOKUP(fOrcado[[#This Row],[Conta]],'Plano de Contas'!A:A,'Plano de Contas'!D:D)</f>
        <v>05 - Custo do Produto</v>
      </c>
    </row>
    <row r="1367" spans="1:5" x14ac:dyDescent="0.25">
      <c r="A1367" s="23">
        <f t="shared" si="20"/>
        <v>43739</v>
      </c>
      <c r="B1367" s="5" t="s">
        <v>156</v>
      </c>
      <c r="C1367" s="5">
        <v>-164821</v>
      </c>
      <c r="D1367" s="5" t="str">
        <f>_xlfn.XLOOKUP(fOrcado[[#This Row],[Conta]],'Plano de Contas'!A:A,'Plano de Contas'!C:C)</f>
        <v>(-) Custos de Vendas</v>
      </c>
      <c r="E1367" s="5" t="str">
        <f>_xlfn.XLOOKUP(fOrcado[[#This Row],[Conta]],'Plano de Contas'!A:A,'Plano de Contas'!D:D)</f>
        <v>05 - Custo do Produto</v>
      </c>
    </row>
    <row r="1368" spans="1:5" x14ac:dyDescent="0.25">
      <c r="A1368" s="23">
        <f t="shared" si="20"/>
        <v>43739</v>
      </c>
      <c r="B1368" s="5" t="s">
        <v>157</v>
      </c>
      <c r="C1368" s="5">
        <v>-238649</v>
      </c>
      <c r="D1368" s="5" t="str">
        <f>_xlfn.XLOOKUP(fOrcado[[#This Row],[Conta]],'Plano de Contas'!A:A,'Plano de Contas'!C:C)</f>
        <v>(-) Custos de Vendas</v>
      </c>
      <c r="E1368" s="5" t="str">
        <f>_xlfn.XLOOKUP(fOrcado[[#This Row],[Conta]],'Plano de Contas'!A:A,'Plano de Contas'!D:D)</f>
        <v>05 - Custo do Produto</v>
      </c>
    </row>
    <row r="1369" spans="1:5" x14ac:dyDescent="0.25">
      <c r="A1369" s="23">
        <f t="shared" si="20"/>
        <v>43739</v>
      </c>
      <c r="B1369" s="5" t="s">
        <v>158</v>
      </c>
      <c r="C1369" s="5">
        <v>-152555</v>
      </c>
      <c r="D1369" s="5" t="str">
        <f>_xlfn.XLOOKUP(fOrcado[[#This Row],[Conta]],'Plano de Contas'!A:A,'Plano de Contas'!C:C)</f>
        <v>(-) Custos de Vendas</v>
      </c>
      <c r="E1369" s="5" t="str">
        <f>_xlfn.XLOOKUP(fOrcado[[#This Row],[Conta]],'Plano de Contas'!A:A,'Plano de Contas'!D:D)</f>
        <v>05 - Custo do Produto</v>
      </c>
    </row>
    <row r="1370" spans="1:5" x14ac:dyDescent="0.25">
      <c r="A1370" s="23">
        <f t="shared" si="20"/>
        <v>43739</v>
      </c>
      <c r="B1370" s="5" t="s">
        <v>159</v>
      </c>
      <c r="C1370" s="5">
        <v>-84231</v>
      </c>
      <c r="D1370" s="5" t="str">
        <f>_xlfn.XLOOKUP(fOrcado[[#This Row],[Conta]],'Plano de Contas'!A:A,'Plano de Contas'!C:C)</f>
        <v>(-) Custos de Vendas</v>
      </c>
      <c r="E1370" s="5" t="str">
        <f>_xlfn.XLOOKUP(fOrcado[[#This Row],[Conta]],'Plano de Contas'!A:A,'Plano de Contas'!D:D)</f>
        <v>05 - Custo do Produto</v>
      </c>
    </row>
    <row r="1371" spans="1:5" x14ac:dyDescent="0.25">
      <c r="A1371" s="23">
        <f t="shared" si="20"/>
        <v>43739</v>
      </c>
      <c r="B1371" s="5" t="s">
        <v>160</v>
      </c>
      <c r="C1371" s="5">
        <v>-174674</v>
      </c>
      <c r="D1371" s="5" t="str">
        <f>_xlfn.XLOOKUP(fOrcado[[#This Row],[Conta]],'Plano de Contas'!A:A,'Plano de Contas'!C:C)</f>
        <v>(-) Custos de Vendas</v>
      </c>
      <c r="E1371" s="5" t="str">
        <f>_xlfn.XLOOKUP(fOrcado[[#This Row],[Conta]],'Plano de Contas'!A:A,'Plano de Contas'!D:D)</f>
        <v>05 - Custo do Produto</v>
      </c>
    </row>
    <row r="1372" spans="1:5" x14ac:dyDescent="0.25">
      <c r="A1372" s="23">
        <f t="shared" si="20"/>
        <v>43739</v>
      </c>
      <c r="B1372" s="5" t="s">
        <v>161</v>
      </c>
      <c r="C1372" s="5">
        <v>-159347</v>
      </c>
      <c r="D1372" s="5" t="str">
        <f>_xlfn.XLOOKUP(fOrcado[[#This Row],[Conta]],'Plano de Contas'!A:A,'Plano de Contas'!C:C)</f>
        <v>(-) Custos de Vendas</v>
      </c>
      <c r="E1372" s="5" t="str">
        <f>_xlfn.XLOOKUP(fOrcado[[#This Row],[Conta]],'Plano de Contas'!A:A,'Plano de Contas'!D:D)</f>
        <v>05 - Custo do Produto</v>
      </c>
    </row>
    <row r="1373" spans="1:5" x14ac:dyDescent="0.25">
      <c r="A1373" s="23">
        <f t="shared" si="20"/>
        <v>43739</v>
      </c>
      <c r="B1373" s="5" t="s">
        <v>162</v>
      </c>
      <c r="C1373" s="5">
        <v>-206164</v>
      </c>
      <c r="D1373" s="5" t="str">
        <f>_xlfn.XLOOKUP(fOrcado[[#This Row],[Conta]],'Plano de Contas'!A:A,'Plano de Contas'!C:C)</f>
        <v>(-) Custos de Vendas</v>
      </c>
      <c r="E1373" s="5" t="str">
        <f>_xlfn.XLOOKUP(fOrcado[[#This Row],[Conta]],'Plano de Contas'!A:A,'Plano de Contas'!D:D)</f>
        <v>05 - Custo do Produto</v>
      </c>
    </row>
    <row r="1374" spans="1:5" x14ac:dyDescent="0.25">
      <c r="A1374" s="23">
        <f t="shared" si="20"/>
        <v>43739</v>
      </c>
      <c r="B1374" s="5" t="s">
        <v>163</v>
      </c>
      <c r="C1374" s="5">
        <v>-122986</v>
      </c>
      <c r="D1374" s="5" t="str">
        <f>_xlfn.XLOOKUP(fOrcado[[#This Row],[Conta]],'Plano de Contas'!A:A,'Plano de Contas'!C:C)</f>
        <v>(-) Custos de Vendas</v>
      </c>
      <c r="E1374" s="5" t="str">
        <f>_xlfn.XLOOKUP(fOrcado[[#This Row],[Conta]],'Plano de Contas'!A:A,'Plano de Contas'!D:D)</f>
        <v>05 - Custo do Produto</v>
      </c>
    </row>
    <row r="1375" spans="1:5" x14ac:dyDescent="0.25">
      <c r="A1375" s="23">
        <f t="shared" si="20"/>
        <v>43739</v>
      </c>
      <c r="B1375" s="5" t="s">
        <v>164</v>
      </c>
      <c r="C1375" s="5">
        <v>-52277</v>
      </c>
      <c r="D1375" s="5" t="str">
        <f>_xlfn.XLOOKUP(fOrcado[[#This Row],[Conta]],'Plano de Contas'!A:A,'Plano de Contas'!C:C)</f>
        <v>(-) Custos de Vendas</v>
      </c>
      <c r="E1375" s="5" t="str">
        <f>_xlfn.XLOOKUP(fOrcado[[#This Row],[Conta]],'Plano de Contas'!A:A,'Plano de Contas'!D:D)</f>
        <v>06 - Outros Custos</v>
      </c>
    </row>
    <row r="1376" spans="1:5" x14ac:dyDescent="0.25">
      <c r="A1376" s="23">
        <f t="shared" si="20"/>
        <v>43739</v>
      </c>
      <c r="B1376" s="5" t="s">
        <v>165</v>
      </c>
      <c r="C1376" s="5">
        <v>-90637</v>
      </c>
      <c r="D1376" s="5" t="str">
        <f>_xlfn.XLOOKUP(fOrcado[[#This Row],[Conta]],'Plano de Contas'!A:A,'Plano de Contas'!C:C)</f>
        <v>(-) Custos de Vendas</v>
      </c>
      <c r="E1376" s="5" t="str">
        <f>_xlfn.XLOOKUP(fOrcado[[#This Row],[Conta]],'Plano de Contas'!A:A,'Plano de Contas'!D:D)</f>
        <v>06 - Outros Custos</v>
      </c>
    </row>
    <row r="1377" spans="1:5" x14ac:dyDescent="0.25">
      <c r="A1377" s="23">
        <f t="shared" si="20"/>
        <v>43739</v>
      </c>
      <c r="B1377" s="5" t="s">
        <v>166</v>
      </c>
      <c r="C1377" s="5">
        <v>-56445</v>
      </c>
      <c r="D1377" s="5" t="str">
        <f>_xlfn.XLOOKUP(fOrcado[[#This Row],[Conta]],'Plano de Contas'!A:A,'Plano de Contas'!C:C)</f>
        <v>(-) Custos de Vendas</v>
      </c>
      <c r="E1377" s="5" t="str">
        <f>_xlfn.XLOOKUP(fOrcado[[#This Row],[Conta]],'Plano de Contas'!A:A,'Plano de Contas'!D:D)</f>
        <v>06 - Outros Custos</v>
      </c>
    </row>
    <row r="1378" spans="1:5" x14ac:dyDescent="0.25">
      <c r="A1378" s="23">
        <f t="shared" si="20"/>
        <v>43739</v>
      </c>
      <c r="B1378" s="5" t="s">
        <v>167</v>
      </c>
      <c r="C1378" s="5">
        <v>-181644</v>
      </c>
      <c r="D1378" s="5" t="str">
        <f>_xlfn.XLOOKUP(fOrcado[[#This Row],[Conta]],'Plano de Contas'!A:A,'Plano de Contas'!C:C)</f>
        <v>(-) Despesas Gerais</v>
      </c>
      <c r="E1378" s="5" t="str">
        <f>_xlfn.XLOOKUP(fOrcado[[#This Row],[Conta]],'Plano de Contas'!A:A,'Plano de Contas'!D:D)</f>
        <v>07 - Despesas Administrativas</v>
      </c>
    </row>
    <row r="1379" spans="1:5" x14ac:dyDescent="0.25">
      <c r="A1379" s="23">
        <f t="shared" si="20"/>
        <v>43739</v>
      </c>
      <c r="B1379" s="5" t="s">
        <v>168</v>
      </c>
      <c r="C1379" s="5">
        <v>-227349</v>
      </c>
      <c r="D1379" s="5" t="str">
        <f>_xlfn.XLOOKUP(fOrcado[[#This Row],[Conta]],'Plano de Contas'!A:A,'Plano de Contas'!C:C)</f>
        <v>(-) Despesas Gerais</v>
      </c>
      <c r="E1379" s="5" t="str">
        <f>_xlfn.XLOOKUP(fOrcado[[#This Row],[Conta]],'Plano de Contas'!A:A,'Plano de Contas'!D:D)</f>
        <v>07 - Despesas Administrativas</v>
      </c>
    </row>
    <row r="1380" spans="1:5" x14ac:dyDescent="0.25">
      <c r="A1380" s="23">
        <f t="shared" si="20"/>
        <v>43739</v>
      </c>
      <c r="B1380" s="5" t="s">
        <v>169</v>
      </c>
      <c r="C1380" s="5">
        <v>-178895</v>
      </c>
      <c r="D1380" s="5" t="str">
        <f>_xlfn.XLOOKUP(fOrcado[[#This Row],[Conta]],'Plano de Contas'!A:A,'Plano de Contas'!C:C)</f>
        <v>(-) Despesas Gerais</v>
      </c>
      <c r="E1380" s="5" t="str">
        <f>_xlfn.XLOOKUP(fOrcado[[#This Row],[Conta]],'Plano de Contas'!A:A,'Plano de Contas'!D:D)</f>
        <v>07 - Despesas Administrativas</v>
      </c>
    </row>
    <row r="1381" spans="1:5" x14ac:dyDescent="0.25">
      <c r="A1381" s="23">
        <f t="shared" si="20"/>
        <v>43739</v>
      </c>
      <c r="B1381" s="5" t="s">
        <v>170</v>
      </c>
      <c r="C1381" s="5">
        <v>-176514</v>
      </c>
      <c r="D1381" s="5" t="str">
        <f>_xlfn.XLOOKUP(fOrcado[[#This Row],[Conta]],'Plano de Contas'!A:A,'Plano de Contas'!C:C)</f>
        <v>(-) Despesas Gerais</v>
      </c>
      <c r="E1381" s="5" t="str">
        <f>_xlfn.XLOOKUP(fOrcado[[#This Row],[Conta]],'Plano de Contas'!A:A,'Plano de Contas'!D:D)</f>
        <v>07 - Despesas Administrativas</v>
      </c>
    </row>
    <row r="1382" spans="1:5" x14ac:dyDescent="0.25">
      <c r="A1382" s="23">
        <f t="shared" si="20"/>
        <v>43739</v>
      </c>
      <c r="B1382" s="5" t="s">
        <v>171</v>
      </c>
      <c r="C1382" s="5">
        <v>-308739</v>
      </c>
      <c r="D1382" s="5" t="str">
        <f>_xlfn.XLOOKUP(fOrcado[[#This Row],[Conta]],'Plano de Contas'!A:A,'Plano de Contas'!C:C)</f>
        <v>(-) Despesas Gerais</v>
      </c>
      <c r="E1382" s="5" t="str">
        <f>_xlfn.XLOOKUP(fOrcado[[#This Row],[Conta]],'Plano de Contas'!A:A,'Plano de Contas'!D:D)</f>
        <v>07 - Despesas Administrativas</v>
      </c>
    </row>
    <row r="1383" spans="1:5" x14ac:dyDescent="0.25">
      <c r="A1383" s="23">
        <f t="shared" si="20"/>
        <v>43739</v>
      </c>
      <c r="B1383" s="5" t="s">
        <v>172</v>
      </c>
      <c r="C1383" s="5">
        <v>-246307</v>
      </c>
      <c r="D1383" s="5" t="str">
        <f>_xlfn.XLOOKUP(fOrcado[[#This Row],[Conta]],'Plano de Contas'!A:A,'Plano de Contas'!C:C)</f>
        <v>(-) Despesas Gerais</v>
      </c>
      <c r="E1383" s="5" t="str">
        <f>_xlfn.XLOOKUP(fOrcado[[#This Row],[Conta]],'Plano de Contas'!A:A,'Plano de Contas'!D:D)</f>
        <v>07 - Despesas Administrativas</v>
      </c>
    </row>
    <row r="1384" spans="1:5" x14ac:dyDescent="0.25">
      <c r="A1384" s="23">
        <f t="shared" si="20"/>
        <v>43739</v>
      </c>
      <c r="B1384" s="5" t="s">
        <v>173</v>
      </c>
      <c r="C1384" s="5">
        <v>-44024</v>
      </c>
      <c r="D1384" s="5" t="str">
        <f>_xlfn.XLOOKUP(fOrcado[[#This Row],[Conta]],'Plano de Contas'!A:A,'Plano de Contas'!C:C)</f>
        <v>(-) Despesas Gerais</v>
      </c>
      <c r="E1384" s="5" t="str">
        <f>_xlfn.XLOOKUP(fOrcado[[#This Row],[Conta]],'Plano de Contas'!A:A,'Plano de Contas'!D:D)</f>
        <v>08 - Despesas Financeiras</v>
      </c>
    </row>
    <row r="1385" spans="1:5" x14ac:dyDescent="0.25">
      <c r="A1385" s="23">
        <f t="shared" si="20"/>
        <v>43739</v>
      </c>
      <c r="B1385" s="5" t="s">
        <v>174</v>
      </c>
      <c r="C1385" s="5">
        <v>-48678</v>
      </c>
      <c r="D1385" s="5" t="str">
        <f>_xlfn.XLOOKUP(fOrcado[[#This Row],[Conta]],'Plano de Contas'!A:A,'Plano de Contas'!C:C)</f>
        <v>(-) Despesas Gerais</v>
      </c>
      <c r="E1385" s="5" t="str">
        <f>_xlfn.XLOOKUP(fOrcado[[#This Row],[Conta]],'Plano de Contas'!A:A,'Plano de Contas'!D:D)</f>
        <v>08 - Despesas Financeiras</v>
      </c>
    </row>
    <row r="1386" spans="1:5" x14ac:dyDescent="0.25">
      <c r="A1386" s="23">
        <f t="shared" si="20"/>
        <v>43739</v>
      </c>
      <c r="B1386" s="5" t="s">
        <v>175</v>
      </c>
      <c r="C1386" s="5">
        <v>-57464</v>
      </c>
      <c r="D1386" s="5" t="str">
        <f>_xlfn.XLOOKUP(fOrcado[[#This Row],[Conta]],'Plano de Contas'!A:A,'Plano de Contas'!C:C)</f>
        <v>(-) Despesas Gerais</v>
      </c>
      <c r="E1386" s="5" t="str">
        <f>_xlfn.XLOOKUP(fOrcado[[#This Row],[Conta]],'Plano de Contas'!A:A,'Plano de Contas'!D:D)</f>
        <v>08 - Despesas Financeiras</v>
      </c>
    </row>
    <row r="1387" spans="1:5" x14ac:dyDescent="0.25">
      <c r="A1387" s="23">
        <f t="shared" si="20"/>
        <v>43739</v>
      </c>
      <c r="B1387" s="5" t="s">
        <v>176</v>
      </c>
      <c r="C1387" s="5">
        <v>-56346</v>
      </c>
      <c r="D1387" s="5" t="str">
        <f>_xlfn.XLOOKUP(fOrcado[[#This Row],[Conta]],'Plano de Contas'!A:A,'Plano de Contas'!C:C)</f>
        <v>(-) Despesas Gerais</v>
      </c>
      <c r="E1387" s="5" t="str">
        <f>_xlfn.XLOOKUP(fOrcado[[#This Row],[Conta]],'Plano de Contas'!A:A,'Plano de Contas'!D:D)</f>
        <v>08 - Despesas Financeiras</v>
      </c>
    </row>
    <row r="1388" spans="1:5" x14ac:dyDescent="0.25">
      <c r="A1388" s="23">
        <f t="shared" si="20"/>
        <v>43739</v>
      </c>
      <c r="B1388" s="5" t="s">
        <v>177</v>
      </c>
      <c r="C1388" s="5">
        <v>-58543</v>
      </c>
      <c r="D1388" s="5" t="str">
        <f>_xlfn.XLOOKUP(fOrcado[[#This Row],[Conta]],'Plano de Contas'!A:A,'Plano de Contas'!C:C)</f>
        <v>(-) Despesas Gerais</v>
      </c>
      <c r="E1388" s="5" t="str">
        <f>_xlfn.XLOOKUP(fOrcado[[#This Row],[Conta]],'Plano de Contas'!A:A,'Plano de Contas'!D:D)</f>
        <v>08 - Despesas Financeiras</v>
      </c>
    </row>
    <row r="1389" spans="1:5" x14ac:dyDescent="0.25">
      <c r="A1389" s="23">
        <f t="shared" si="20"/>
        <v>43739</v>
      </c>
      <c r="B1389" s="5" t="s">
        <v>178</v>
      </c>
      <c r="C1389" s="5">
        <v>-269827</v>
      </c>
      <c r="D1389" s="5" t="str">
        <f>_xlfn.XLOOKUP(fOrcado[[#This Row],[Conta]],'Plano de Contas'!A:A,'Plano de Contas'!C:C)</f>
        <v>(-) Despesas Gerais</v>
      </c>
      <c r="E1389" s="5" t="str">
        <f>_xlfn.XLOOKUP(fOrcado[[#This Row],[Conta]],'Plano de Contas'!A:A,'Plano de Contas'!D:D)</f>
        <v>09 - Tecnologia da Informação</v>
      </c>
    </row>
    <row r="1390" spans="1:5" x14ac:dyDescent="0.25">
      <c r="A1390" s="23">
        <f t="shared" si="20"/>
        <v>43739</v>
      </c>
      <c r="B1390" s="5" t="s">
        <v>179</v>
      </c>
      <c r="C1390" s="5">
        <v>-246282</v>
      </c>
      <c r="D1390" s="5" t="str">
        <f>_xlfn.XLOOKUP(fOrcado[[#This Row],[Conta]],'Plano de Contas'!A:A,'Plano de Contas'!C:C)</f>
        <v>(-) Despesas Gerais</v>
      </c>
      <c r="E1390" s="5" t="str">
        <f>_xlfn.XLOOKUP(fOrcado[[#This Row],[Conta]],'Plano de Contas'!A:A,'Plano de Contas'!D:D)</f>
        <v>09 - Tecnologia da Informação</v>
      </c>
    </row>
    <row r="1391" spans="1:5" x14ac:dyDescent="0.25">
      <c r="A1391" s="23">
        <f t="shared" si="20"/>
        <v>43739</v>
      </c>
      <c r="B1391" s="5" t="s">
        <v>180</v>
      </c>
      <c r="C1391" s="5">
        <v>-124747</v>
      </c>
      <c r="D1391" s="5" t="str">
        <f>_xlfn.XLOOKUP(fOrcado[[#This Row],[Conta]],'Plano de Contas'!A:A,'Plano de Contas'!C:C)</f>
        <v>(-) Despesas Gerais</v>
      </c>
      <c r="E1391" s="5" t="str">
        <f>_xlfn.XLOOKUP(fOrcado[[#This Row],[Conta]],'Plano de Contas'!A:A,'Plano de Contas'!D:D)</f>
        <v>09 - Tecnologia da Informação</v>
      </c>
    </row>
    <row r="1392" spans="1:5" x14ac:dyDescent="0.25">
      <c r="A1392" s="23">
        <f t="shared" si="20"/>
        <v>43739</v>
      </c>
      <c r="B1392" s="5" t="s">
        <v>181</v>
      </c>
      <c r="C1392" s="5">
        <v>-50430</v>
      </c>
      <c r="D1392" s="5" t="str">
        <f>_xlfn.XLOOKUP(fOrcado[[#This Row],[Conta]],'Plano de Contas'!A:A,'Plano de Contas'!C:C)</f>
        <v>(-) Despesas Gerais</v>
      </c>
      <c r="E1392" s="5" t="str">
        <f>_xlfn.XLOOKUP(fOrcado[[#This Row],[Conta]],'Plano de Contas'!A:A,'Plano de Contas'!D:D)</f>
        <v>10 - Recursos Humanos</v>
      </c>
    </row>
    <row r="1393" spans="1:5" x14ac:dyDescent="0.25">
      <c r="A1393" s="23">
        <f t="shared" si="20"/>
        <v>43739</v>
      </c>
      <c r="B1393" s="5" t="s">
        <v>182</v>
      </c>
      <c r="C1393" s="5">
        <v>-73036</v>
      </c>
      <c r="D1393" s="5" t="str">
        <f>_xlfn.XLOOKUP(fOrcado[[#This Row],[Conta]],'Plano de Contas'!A:A,'Plano de Contas'!C:C)</f>
        <v>(-) Despesas Gerais</v>
      </c>
      <c r="E1393" s="5" t="str">
        <f>_xlfn.XLOOKUP(fOrcado[[#This Row],[Conta]],'Plano de Contas'!A:A,'Plano de Contas'!D:D)</f>
        <v>10 - Recursos Humanos</v>
      </c>
    </row>
    <row r="1394" spans="1:5" x14ac:dyDescent="0.25">
      <c r="A1394" s="23">
        <f t="shared" si="20"/>
        <v>43739</v>
      </c>
      <c r="B1394" s="5" t="s">
        <v>183</v>
      </c>
      <c r="C1394" s="5">
        <v>-78199</v>
      </c>
      <c r="D1394" s="5" t="str">
        <f>_xlfn.XLOOKUP(fOrcado[[#This Row],[Conta]],'Plano de Contas'!A:A,'Plano de Contas'!C:C)</f>
        <v>(-) Despesas Gerais</v>
      </c>
      <c r="E1394" s="5" t="str">
        <f>_xlfn.XLOOKUP(fOrcado[[#This Row],[Conta]],'Plano de Contas'!A:A,'Plano de Contas'!D:D)</f>
        <v>10 - Recursos Humanos</v>
      </c>
    </row>
    <row r="1395" spans="1:5" x14ac:dyDescent="0.25">
      <c r="A1395" s="23">
        <f t="shared" si="20"/>
        <v>43739</v>
      </c>
      <c r="B1395" s="5" t="s">
        <v>184</v>
      </c>
      <c r="C1395" s="5">
        <v>-63652</v>
      </c>
      <c r="D1395" s="5" t="str">
        <f>_xlfn.XLOOKUP(fOrcado[[#This Row],[Conta]],'Plano de Contas'!A:A,'Plano de Contas'!C:C)</f>
        <v>(-) Despesas Gerais</v>
      </c>
      <c r="E1395" s="5" t="str">
        <f>_xlfn.XLOOKUP(fOrcado[[#This Row],[Conta]],'Plano de Contas'!A:A,'Plano de Contas'!D:D)</f>
        <v>10 - Recursos Humanos</v>
      </c>
    </row>
    <row r="1396" spans="1:5" x14ac:dyDescent="0.25">
      <c r="A1396" s="23">
        <f t="shared" si="20"/>
        <v>43739</v>
      </c>
      <c r="B1396" s="5" t="s">
        <v>185</v>
      </c>
      <c r="C1396" s="5">
        <v>-87529</v>
      </c>
      <c r="D1396" s="5" t="str">
        <f>_xlfn.XLOOKUP(fOrcado[[#This Row],[Conta]],'Plano de Contas'!A:A,'Plano de Contas'!C:C)</f>
        <v>(-) Despesas Gerais</v>
      </c>
      <c r="E1396" s="5" t="str">
        <f>_xlfn.XLOOKUP(fOrcado[[#This Row],[Conta]],'Plano de Contas'!A:A,'Plano de Contas'!D:D)</f>
        <v>11 - Relacionamento com Cliente</v>
      </c>
    </row>
    <row r="1397" spans="1:5" x14ac:dyDescent="0.25">
      <c r="A1397" s="23">
        <f t="shared" si="20"/>
        <v>43739</v>
      </c>
      <c r="B1397" s="5" t="s">
        <v>186</v>
      </c>
      <c r="C1397" s="5">
        <v>-97861</v>
      </c>
      <c r="D1397" s="5" t="str">
        <f>_xlfn.XLOOKUP(fOrcado[[#This Row],[Conta]],'Plano de Contas'!A:A,'Plano de Contas'!C:C)</f>
        <v>(-) Despesas Gerais</v>
      </c>
      <c r="E1397" s="5" t="str">
        <f>_xlfn.XLOOKUP(fOrcado[[#This Row],[Conta]],'Plano de Contas'!A:A,'Plano de Contas'!D:D)</f>
        <v>11 - Relacionamento com Cliente</v>
      </c>
    </row>
    <row r="1398" spans="1:5" x14ac:dyDescent="0.25">
      <c r="A1398" s="23">
        <f t="shared" si="20"/>
        <v>43739</v>
      </c>
      <c r="B1398" s="5" t="s">
        <v>187</v>
      </c>
      <c r="C1398" s="5">
        <v>-181026</v>
      </c>
      <c r="D1398" s="5" t="str">
        <f>_xlfn.XLOOKUP(fOrcado[[#This Row],[Conta]],'Plano de Contas'!A:A,'Plano de Contas'!C:C)</f>
        <v>(-) Despesas Gerais</v>
      </c>
      <c r="E1398" s="5" t="str">
        <f>_xlfn.XLOOKUP(fOrcado[[#This Row],[Conta]],'Plano de Contas'!A:A,'Plano de Contas'!D:D)</f>
        <v>12 - Marketing e Divulgação</v>
      </c>
    </row>
    <row r="1399" spans="1:5" x14ac:dyDescent="0.25">
      <c r="A1399" s="23">
        <f t="shared" si="20"/>
        <v>43739</v>
      </c>
      <c r="B1399" s="5" t="s">
        <v>188</v>
      </c>
      <c r="C1399" s="5">
        <v>-139237</v>
      </c>
      <c r="D1399" s="5" t="str">
        <f>_xlfn.XLOOKUP(fOrcado[[#This Row],[Conta]],'Plano de Contas'!A:A,'Plano de Contas'!C:C)</f>
        <v>(-) Despesas Gerais</v>
      </c>
      <c r="E1399" s="5" t="str">
        <f>_xlfn.XLOOKUP(fOrcado[[#This Row],[Conta]],'Plano de Contas'!A:A,'Plano de Contas'!D:D)</f>
        <v>12 - Marketing e Divulgação</v>
      </c>
    </row>
    <row r="1400" spans="1:5" x14ac:dyDescent="0.25">
      <c r="A1400" s="23">
        <f t="shared" si="20"/>
        <v>43739</v>
      </c>
      <c r="B1400" s="5" t="s">
        <v>189</v>
      </c>
      <c r="C1400" s="5">
        <v>-11393</v>
      </c>
      <c r="D1400" s="5" t="str">
        <f>_xlfn.XLOOKUP(fOrcado[[#This Row],[Conta]],'Plano de Contas'!A:A,'Plano de Contas'!C:C)</f>
        <v>(-) Impostos</v>
      </c>
      <c r="E1400" s="5" t="str">
        <f>_xlfn.XLOOKUP(fOrcado[[#This Row],[Conta]],'Plano de Contas'!A:A,'Plano de Contas'!D:D)</f>
        <v>13 - Impostos Estaduais</v>
      </c>
    </row>
    <row r="1401" spans="1:5" x14ac:dyDescent="0.25">
      <c r="A1401" s="23">
        <f t="shared" si="20"/>
        <v>43739</v>
      </c>
      <c r="B1401" s="5" t="s">
        <v>190</v>
      </c>
      <c r="C1401" s="5">
        <v>-28958</v>
      </c>
      <c r="D1401" s="5" t="str">
        <f>_xlfn.XLOOKUP(fOrcado[[#This Row],[Conta]],'Plano de Contas'!A:A,'Plano de Contas'!C:C)</f>
        <v>(-) Impostos</v>
      </c>
      <c r="E1401" s="5" t="str">
        <f>_xlfn.XLOOKUP(fOrcado[[#This Row],[Conta]],'Plano de Contas'!A:A,'Plano de Contas'!D:D)</f>
        <v>14 - Impostos Federais</v>
      </c>
    </row>
    <row r="1402" spans="1:5" x14ac:dyDescent="0.25">
      <c r="A1402" s="23">
        <f t="shared" si="20"/>
        <v>43770</v>
      </c>
      <c r="B1402" s="5" t="s">
        <v>51</v>
      </c>
      <c r="C1402" s="5">
        <v>672228</v>
      </c>
      <c r="D1402" s="5" t="str">
        <f>_xlfn.XLOOKUP(fOrcado[[#This Row],[Conta]],'Plano de Contas'!A:A,'Plano de Contas'!C:C)</f>
        <v>(+) RECEITA BRUTA</v>
      </c>
      <c r="E1402" s="5" t="str">
        <f>_xlfn.XLOOKUP(fOrcado[[#This Row],[Conta]],'Plano de Contas'!A:A,'Plano de Contas'!D:D)</f>
        <v>01 - Vendas de Produtos</v>
      </c>
    </row>
    <row r="1403" spans="1:5" x14ac:dyDescent="0.25">
      <c r="A1403" s="23">
        <f t="shared" si="20"/>
        <v>43770</v>
      </c>
      <c r="B1403" s="5" t="s">
        <v>52</v>
      </c>
      <c r="C1403" s="5">
        <v>265397</v>
      </c>
      <c r="D1403" s="5" t="str">
        <f>_xlfn.XLOOKUP(fOrcado[[#This Row],[Conta]],'Plano de Contas'!A:A,'Plano de Contas'!C:C)</f>
        <v>(+) RECEITA BRUTA</v>
      </c>
      <c r="E1403" s="5" t="str">
        <f>_xlfn.XLOOKUP(fOrcado[[#This Row],[Conta]],'Plano de Contas'!A:A,'Plano de Contas'!D:D)</f>
        <v>01 - Vendas de Produtos</v>
      </c>
    </row>
    <row r="1404" spans="1:5" x14ac:dyDescent="0.25">
      <c r="A1404" s="23">
        <f t="shared" si="20"/>
        <v>43770</v>
      </c>
      <c r="B1404" s="5" t="s">
        <v>53</v>
      </c>
      <c r="C1404" s="5">
        <v>240598</v>
      </c>
      <c r="D1404" s="5" t="str">
        <f>_xlfn.XLOOKUP(fOrcado[[#This Row],[Conta]],'Plano de Contas'!A:A,'Plano de Contas'!C:C)</f>
        <v>(+) RECEITA BRUTA</v>
      </c>
      <c r="E1404" s="5" t="str">
        <f>_xlfn.XLOOKUP(fOrcado[[#This Row],[Conta]],'Plano de Contas'!A:A,'Plano de Contas'!D:D)</f>
        <v>01 - Vendas de Produtos</v>
      </c>
    </row>
    <row r="1405" spans="1:5" x14ac:dyDescent="0.25">
      <c r="A1405" s="23">
        <f t="shared" si="20"/>
        <v>43770</v>
      </c>
      <c r="B1405" s="5" t="s">
        <v>54</v>
      </c>
      <c r="C1405" s="5">
        <v>300151</v>
      </c>
      <c r="D1405" s="5" t="str">
        <f>_xlfn.XLOOKUP(fOrcado[[#This Row],[Conta]],'Plano de Contas'!A:A,'Plano de Contas'!C:C)</f>
        <v>(+) RECEITA BRUTA</v>
      </c>
      <c r="E1405" s="5" t="str">
        <f>_xlfn.XLOOKUP(fOrcado[[#This Row],[Conta]],'Plano de Contas'!A:A,'Plano de Contas'!D:D)</f>
        <v>01 - Vendas de Produtos</v>
      </c>
    </row>
    <row r="1406" spans="1:5" x14ac:dyDescent="0.25">
      <c r="A1406" s="23">
        <f t="shared" si="20"/>
        <v>43770</v>
      </c>
      <c r="B1406" s="5" t="s">
        <v>55</v>
      </c>
      <c r="C1406" s="5">
        <v>982173</v>
      </c>
      <c r="D1406" s="5" t="str">
        <f>_xlfn.XLOOKUP(fOrcado[[#This Row],[Conta]],'Plano de Contas'!A:A,'Plano de Contas'!C:C)</f>
        <v>(+) RECEITA BRUTA</v>
      </c>
      <c r="E1406" s="5" t="str">
        <f>_xlfn.XLOOKUP(fOrcado[[#This Row],[Conta]],'Plano de Contas'!A:A,'Plano de Contas'!D:D)</f>
        <v>01 - Vendas de Produtos</v>
      </c>
    </row>
    <row r="1407" spans="1:5" x14ac:dyDescent="0.25">
      <c r="A1407" s="23">
        <f t="shared" si="20"/>
        <v>43770</v>
      </c>
      <c r="B1407" s="5" t="s">
        <v>56</v>
      </c>
      <c r="C1407" s="5">
        <v>412434</v>
      </c>
      <c r="D1407" s="5" t="str">
        <f>_xlfn.XLOOKUP(fOrcado[[#This Row],[Conta]],'Plano de Contas'!A:A,'Plano de Contas'!C:C)</f>
        <v>(+) RECEITA BRUTA</v>
      </c>
      <c r="E1407" s="5" t="str">
        <f>_xlfn.XLOOKUP(fOrcado[[#This Row],[Conta]],'Plano de Contas'!A:A,'Plano de Contas'!D:D)</f>
        <v>01 - Vendas de Produtos</v>
      </c>
    </row>
    <row r="1408" spans="1:5" x14ac:dyDescent="0.25">
      <c r="A1408" s="23">
        <f t="shared" si="20"/>
        <v>43770</v>
      </c>
      <c r="B1408" s="5" t="s">
        <v>57</v>
      </c>
      <c r="C1408" s="5">
        <v>488214</v>
      </c>
      <c r="D1408" s="5" t="str">
        <f>_xlfn.XLOOKUP(fOrcado[[#This Row],[Conta]],'Plano de Contas'!A:A,'Plano de Contas'!C:C)</f>
        <v>(+) RECEITA BRUTA</v>
      </c>
      <c r="E1408" s="5" t="str">
        <f>_xlfn.XLOOKUP(fOrcado[[#This Row],[Conta]],'Plano de Contas'!A:A,'Plano de Contas'!D:D)</f>
        <v>01 - Vendas de Produtos</v>
      </c>
    </row>
    <row r="1409" spans="1:5" x14ac:dyDescent="0.25">
      <c r="A1409" s="23">
        <f t="shared" si="20"/>
        <v>43770</v>
      </c>
      <c r="B1409" s="5" t="s">
        <v>58</v>
      </c>
      <c r="C1409" s="5">
        <v>794413</v>
      </c>
      <c r="D1409" s="5" t="str">
        <f>_xlfn.XLOOKUP(fOrcado[[#This Row],[Conta]],'Plano de Contas'!A:A,'Plano de Contas'!C:C)</f>
        <v>(+) RECEITA BRUTA</v>
      </c>
      <c r="E1409" s="5" t="str">
        <f>_xlfn.XLOOKUP(fOrcado[[#This Row],[Conta]],'Plano de Contas'!A:A,'Plano de Contas'!D:D)</f>
        <v>01 - Vendas de Produtos</v>
      </c>
    </row>
    <row r="1410" spans="1:5" x14ac:dyDescent="0.25">
      <c r="A1410" s="23">
        <f t="shared" si="20"/>
        <v>43770</v>
      </c>
      <c r="B1410" s="5" t="s">
        <v>59</v>
      </c>
      <c r="C1410" s="5">
        <v>788526</v>
      </c>
      <c r="D1410" s="5" t="str">
        <f>_xlfn.XLOOKUP(fOrcado[[#This Row],[Conta]],'Plano de Contas'!A:A,'Plano de Contas'!C:C)</f>
        <v>(+) RECEITA BRUTA</v>
      </c>
      <c r="E1410" s="5" t="str">
        <f>_xlfn.XLOOKUP(fOrcado[[#This Row],[Conta]],'Plano de Contas'!A:A,'Plano de Contas'!D:D)</f>
        <v>01 - Vendas de Produtos</v>
      </c>
    </row>
    <row r="1411" spans="1:5" x14ac:dyDescent="0.25">
      <c r="A1411" s="23">
        <f t="shared" si="20"/>
        <v>43770</v>
      </c>
      <c r="B1411" s="5" t="s">
        <v>60</v>
      </c>
      <c r="C1411" s="5">
        <v>584423</v>
      </c>
      <c r="D1411" s="5" t="str">
        <f>_xlfn.XLOOKUP(fOrcado[[#This Row],[Conta]],'Plano de Contas'!A:A,'Plano de Contas'!C:C)</f>
        <v>(+) RECEITA BRUTA</v>
      </c>
      <c r="E1411" s="5" t="str">
        <f>_xlfn.XLOOKUP(fOrcado[[#This Row],[Conta]],'Plano de Contas'!A:A,'Plano de Contas'!D:D)</f>
        <v>01 - Vendas de Produtos</v>
      </c>
    </row>
    <row r="1412" spans="1:5" x14ac:dyDescent="0.25">
      <c r="A1412" s="23">
        <f t="shared" si="20"/>
        <v>43770</v>
      </c>
      <c r="B1412" s="5" t="s">
        <v>61</v>
      </c>
      <c r="C1412" s="5">
        <v>250744</v>
      </c>
      <c r="D1412" s="5" t="str">
        <f>_xlfn.XLOOKUP(fOrcado[[#This Row],[Conta]],'Plano de Contas'!A:A,'Plano de Contas'!C:C)</f>
        <v>(+) RECEITA BRUTA</v>
      </c>
      <c r="E1412" s="5" t="str">
        <f>_xlfn.XLOOKUP(fOrcado[[#This Row],[Conta]],'Plano de Contas'!A:A,'Plano de Contas'!D:D)</f>
        <v>01 - Vendas de Produtos</v>
      </c>
    </row>
    <row r="1413" spans="1:5" x14ac:dyDescent="0.25">
      <c r="A1413" s="23">
        <f t="shared" si="20"/>
        <v>43770</v>
      </c>
      <c r="B1413" s="5" t="s">
        <v>62</v>
      </c>
      <c r="C1413" s="5">
        <v>785636</v>
      </c>
      <c r="D1413" s="5" t="str">
        <f>_xlfn.XLOOKUP(fOrcado[[#This Row],[Conta]],'Plano de Contas'!A:A,'Plano de Contas'!C:C)</f>
        <v>(+) RECEITA BRUTA</v>
      </c>
      <c r="E1413" s="5" t="str">
        <f>_xlfn.XLOOKUP(fOrcado[[#This Row],[Conta]],'Plano de Contas'!A:A,'Plano de Contas'!D:D)</f>
        <v>01 - Vendas de Produtos</v>
      </c>
    </row>
    <row r="1414" spans="1:5" x14ac:dyDescent="0.25">
      <c r="A1414" s="23">
        <f t="shared" si="20"/>
        <v>43770</v>
      </c>
      <c r="B1414" s="5" t="s">
        <v>63</v>
      </c>
      <c r="C1414" s="5">
        <v>693247</v>
      </c>
      <c r="D1414" s="5" t="str">
        <f>_xlfn.XLOOKUP(fOrcado[[#This Row],[Conta]],'Plano de Contas'!A:A,'Plano de Contas'!C:C)</f>
        <v>(+) RECEITA BRUTA</v>
      </c>
      <c r="E1414" s="5" t="str">
        <f>_xlfn.XLOOKUP(fOrcado[[#This Row],[Conta]],'Plano de Contas'!A:A,'Plano de Contas'!D:D)</f>
        <v>01 - Vendas de Produtos</v>
      </c>
    </row>
    <row r="1415" spans="1:5" x14ac:dyDescent="0.25">
      <c r="A1415" s="23">
        <f t="shared" si="20"/>
        <v>43770</v>
      </c>
      <c r="B1415" s="5" t="s">
        <v>64</v>
      </c>
      <c r="C1415" s="5">
        <v>968676</v>
      </c>
      <c r="D1415" s="5" t="str">
        <f>_xlfn.XLOOKUP(fOrcado[[#This Row],[Conta]],'Plano de Contas'!A:A,'Plano de Contas'!C:C)</f>
        <v>(+) RECEITA BRUTA</v>
      </c>
      <c r="E1415" s="5" t="str">
        <f>_xlfn.XLOOKUP(fOrcado[[#This Row],[Conta]],'Plano de Contas'!A:A,'Plano de Contas'!D:D)</f>
        <v>01 - Vendas de Produtos</v>
      </c>
    </row>
    <row r="1416" spans="1:5" x14ac:dyDescent="0.25">
      <c r="A1416" s="23">
        <f t="shared" ref="A1416:A1479" si="21">EDATE(A1276,1)</f>
        <v>43770</v>
      </c>
      <c r="B1416" s="5" t="s">
        <v>65</v>
      </c>
      <c r="C1416" s="5">
        <v>676914</v>
      </c>
      <c r="D1416" s="5" t="str">
        <f>_xlfn.XLOOKUP(fOrcado[[#This Row],[Conta]],'Plano de Contas'!A:A,'Plano de Contas'!C:C)</f>
        <v>(+) RECEITA BRUTA</v>
      </c>
      <c r="E1416" s="5" t="str">
        <f>_xlfn.XLOOKUP(fOrcado[[#This Row],[Conta]],'Plano de Contas'!A:A,'Plano de Contas'!D:D)</f>
        <v>01 - Vendas de Produtos</v>
      </c>
    </row>
    <row r="1417" spans="1:5" x14ac:dyDescent="0.25">
      <c r="A1417" s="23">
        <f t="shared" si="21"/>
        <v>43770</v>
      </c>
      <c r="B1417" s="5" t="s">
        <v>66</v>
      </c>
      <c r="C1417" s="5">
        <v>246474</v>
      </c>
      <c r="D1417" s="5" t="str">
        <f>_xlfn.XLOOKUP(fOrcado[[#This Row],[Conta]],'Plano de Contas'!A:A,'Plano de Contas'!C:C)</f>
        <v>(+) RECEITA BRUTA</v>
      </c>
      <c r="E1417" s="5" t="str">
        <f>_xlfn.XLOOKUP(fOrcado[[#This Row],[Conta]],'Plano de Contas'!A:A,'Plano de Contas'!D:D)</f>
        <v>01 - Vendas de Produtos</v>
      </c>
    </row>
    <row r="1418" spans="1:5" x14ac:dyDescent="0.25">
      <c r="A1418" s="23">
        <f t="shared" si="21"/>
        <v>43770</v>
      </c>
      <c r="B1418" s="5" t="s">
        <v>67</v>
      </c>
      <c r="C1418" s="5">
        <v>948243</v>
      </c>
      <c r="D1418" s="5" t="str">
        <f>_xlfn.XLOOKUP(fOrcado[[#This Row],[Conta]],'Plano de Contas'!A:A,'Plano de Contas'!C:C)</f>
        <v>(+) RECEITA BRUTA</v>
      </c>
      <c r="E1418" s="5" t="str">
        <f>_xlfn.XLOOKUP(fOrcado[[#This Row],[Conta]],'Plano de Contas'!A:A,'Plano de Contas'!D:D)</f>
        <v>01 - Vendas de Produtos</v>
      </c>
    </row>
    <row r="1419" spans="1:5" x14ac:dyDescent="0.25">
      <c r="A1419" s="23">
        <f t="shared" si="21"/>
        <v>43770</v>
      </c>
      <c r="B1419" s="5" t="s">
        <v>68</v>
      </c>
      <c r="C1419" s="5">
        <v>780104</v>
      </c>
      <c r="D1419" s="5" t="str">
        <f>_xlfn.XLOOKUP(fOrcado[[#This Row],[Conta]],'Plano de Contas'!A:A,'Plano de Contas'!C:C)</f>
        <v>(+) RECEITA BRUTA</v>
      </c>
      <c r="E1419" s="5" t="str">
        <f>_xlfn.XLOOKUP(fOrcado[[#This Row],[Conta]],'Plano de Contas'!A:A,'Plano de Contas'!D:D)</f>
        <v>01 - Vendas de Produtos</v>
      </c>
    </row>
    <row r="1420" spans="1:5" x14ac:dyDescent="0.25">
      <c r="A1420" s="23">
        <f t="shared" si="21"/>
        <v>43770</v>
      </c>
      <c r="B1420" s="5" t="s">
        <v>69</v>
      </c>
      <c r="C1420" s="5">
        <v>700473</v>
      </c>
      <c r="D1420" s="5" t="str">
        <f>_xlfn.XLOOKUP(fOrcado[[#This Row],[Conta]],'Plano de Contas'!A:A,'Plano de Contas'!C:C)</f>
        <v>(+) RECEITA BRUTA</v>
      </c>
      <c r="E1420" s="5" t="str">
        <f>_xlfn.XLOOKUP(fOrcado[[#This Row],[Conta]],'Plano de Contas'!A:A,'Plano de Contas'!D:D)</f>
        <v>01 - Vendas de Produtos</v>
      </c>
    </row>
    <row r="1421" spans="1:5" x14ac:dyDescent="0.25">
      <c r="A1421" s="23">
        <f t="shared" si="21"/>
        <v>43770</v>
      </c>
      <c r="B1421" s="5" t="s">
        <v>70</v>
      </c>
      <c r="C1421" s="5">
        <v>991665</v>
      </c>
      <c r="D1421" s="5" t="str">
        <f>_xlfn.XLOOKUP(fOrcado[[#This Row],[Conta]],'Plano de Contas'!A:A,'Plano de Contas'!C:C)</f>
        <v>(+) RECEITA BRUTA</v>
      </c>
      <c r="E1421" s="5" t="str">
        <f>_xlfn.XLOOKUP(fOrcado[[#This Row],[Conta]],'Plano de Contas'!A:A,'Plano de Contas'!D:D)</f>
        <v>01 - Vendas de Produtos</v>
      </c>
    </row>
    <row r="1422" spans="1:5" x14ac:dyDescent="0.25">
      <c r="A1422" s="23">
        <f t="shared" si="21"/>
        <v>43770</v>
      </c>
      <c r="B1422" s="5" t="s">
        <v>71</v>
      </c>
      <c r="C1422" s="5">
        <v>332715</v>
      </c>
      <c r="D1422" s="5" t="str">
        <f>_xlfn.XLOOKUP(fOrcado[[#This Row],[Conta]],'Plano de Contas'!A:A,'Plano de Contas'!C:C)</f>
        <v>(+) RECEITA BRUTA</v>
      </c>
      <c r="E1422" s="5" t="str">
        <f>_xlfn.XLOOKUP(fOrcado[[#This Row],[Conta]],'Plano de Contas'!A:A,'Plano de Contas'!D:D)</f>
        <v>01 - Vendas de Produtos</v>
      </c>
    </row>
    <row r="1423" spans="1:5" x14ac:dyDescent="0.25">
      <c r="A1423" s="23">
        <f t="shared" si="21"/>
        <v>43770</v>
      </c>
      <c r="B1423" s="5" t="s">
        <v>72</v>
      </c>
      <c r="C1423" s="5">
        <v>931132</v>
      </c>
      <c r="D1423" s="5" t="str">
        <f>_xlfn.XLOOKUP(fOrcado[[#This Row],[Conta]],'Plano de Contas'!A:A,'Plano de Contas'!C:C)</f>
        <v>(+) RECEITA BRUTA</v>
      </c>
      <c r="E1423" s="5" t="str">
        <f>_xlfn.XLOOKUP(fOrcado[[#This Row],[Conta]],'Plano de Contas'!A:A,'Plano de Contas'!D:D)</f>
        <v>01 - Vendas de Produtos</v>
      </c>
    </row>
    <row r="1424" spans="1:5" x14ac:dyDescent="0.25">
      <c r="A1424" s="23">
        <f t="shared" si="21"/>
        <v>43770</v>
      </c>
      <c r="B1424" s="5" t="s">
        <v>73</v>
      </c>
      <c r="C1424" s="5">
        <v>263648</v>
      </c>
      <c r="D1424" s="5" t="str">
        <f>_xlfn.XLOOKUP(fOrcado[[#This Row],[Conta]],'Plano de Contas'!A:A,'Plano de Contas'!C:C)</f>
        <v>(+) RECEITA BRUTA</v>
      </c>
      <c r="E1424" s="5" t="str">
        <f>_xlfn.XLOOKUP(fOrcado[[#This Row],[Conta]],'Plano de Contas'!A:A,'Plano de Contas'!D:D)</f>
        <v>01 - Vendas de Produtos</v>
      </c>
    </row>
    <row r="1425" spans="1:5" x14ac:dyDescent="0.25">
      <c r="A1425" s="23">
        <f t="shared" si="21"/>
        <v>43770</v>
      </c>
      <c r="B1425" s="5" t="s">
        <v>74</v>
      </c>
      <c r="C1425" s="5">
        <v>263829</v>
      </c>
      <c r="D1425" s="5" t="str">
        <f>_xlfn.XLOOKUP(fOrcado[[#This Row],[Conta]],'Plano de Contas'!A:A,'Plano de Contas'!C:C)</f>
        <v>(+) RECEITA BRUTA</v>
      </c>
      <c r="E1425" s="5" t="str">
        <f>_xlfn.XLOOKUP(fOrcado[[#This Row],[Conta]],'Plano de Contas'!A:A,'Plano de Contas'!D:D)</f>
        <v>01 - Vendas de Produtos</v>
      </c>
    </row>
    <row r="1426" spans="1:5" x14ac:dyDescent="0.25">
      <c r="A1426" s="23">
        <f t="shared" si="21"/>
        <v>43770</v>
      </c>
      <c r="B1426" s="5" t="s">
        <v>75</v>
      </c>
      <c r="C1426" s="5">
        <v>142125</v>
      </c>
      <c r="D1426" s="5" t="str">
        <f>_xlfn.XLOOKUP(fOrcado[[#This Row],[Conta]],'Plano de Contas'!A:A,'Plano de Contas'!C:C)</f>
        <v>(+) RECEITA BRUTA</v>
      </c>
      <c r="E1426" s="5" t="str">
        <f>_xlfn.XLOOKUP(fOrcado[[#This Row],[Conta]],'Plano de Contas'!A:A,'Plano de Contas'!D:D)</f>
        <v>02 - Outras Receitas</v>
      </c>
    </row>
    <row r="1427" spans="1:5" x14ac:dyDescent="0.25">
      <c r="A1427" s="23">
        <f t="shared" si="21"/>
        <v>43770</v>
      </c>
      <c r="B1427" s="5" t="s">
        <v>76</v>
      </c>
      <c r="C1427" s="5">
        <v>221989</v>
      </c>
      <c r="D1427" s="5" t="str">
        <f>_xlfn.XLOOKUP(fOrcado[[#This Row],[Conta]],'Plano de Contas'!A:A,'Plano de Contas'!C:C)</f>
        <v>(+) RECEITA BRUTA</v>
      </c>
      <c r="E1427" s="5" t="str">
        <f>_xlfn.XLOOKUP(fOrcado[[#This Row],[Conta]],'Plano de Contas'!A:A,'Plano de Contas'!D:D)</f>
        <v>02 - Outras Receitas</v>
      </c>
    </row>
    <row r="1428" spans="1:5" x14ac:dyDescent="0.25">
      <c r="A1428" s="23">
        <f t="shared" si="21"/>
        <v>43770</v>
      </c>
      <c r="B1428" s="5" t="s">
        <v>77</v>
      </c>
      <c r="C1428" s="5">
        <v>150865</v>
      </c>
      <c r="D1428" s="5" t="str">
        <f>_xlfn.XLOOKUP(fOrcado[[#This Row],[Conta]],'Plano de Contas'!A:A,'Plano de Contas'!C:C)</f>
        <v>(+) RECEITA BRUTA</v>
      </c>
      <c r="E1428" s="5" t="str">
        <f>_xlfn.XLOOKUP(fOrcado[[#This Row],[Conta]],'Plano de Contas'!A:A,'Plano de Contas'!D:D)</f>
        <v>02 - Outras Receitas</v>
      </c>
    </row>
    <row r="1429" spans="1:5" x14ac:dyDescent="0.25">
      <c r="A1429" s="23">
        <f t="shared" si="21"/>
        <v>43770</v>
      </c>
      <c r="B1429" s="5" t="s">
        <v>78</v>
      </c>
      <c r="C1429" s="5">
        <v>271437</v>
      </c>
      <c r="D1429" s="5" t="str">
        <f>_xlfn.XLOOKUP(fOrcado[[#This Row],[Conta]],'Plano de Contas'!A:A,'Plano de Contas'!C:C)</f>
        <v>(+) RECEITA BRUTA</v>
      </c>
      <c r="E1429" s="5" t="str">
        <f>_xlfn.XLOOKUP(fOrcado[[#This Row],[Conta]],'Plano de Contas'!A:A,'Plano de Contas'!D:D)</f>
        <v>02 - Outras Receitas</v>
      </c>
    </row>
    <row r="1430" spans="1:5" x14ac:dyDescent="0.25">
      <c r="A1430" s="23">
        <f t="shared" si="21"/>
        <v>43770</v>
      </c>
      <c r="B1430" s="5" t="s">
        <v>79</v>
      </c>
      <c r="C1430" s="5">
        <v>55013</v>
      </c>
      <c r="D1430" s="5" t="str">
        <f>_xlfn.XLOOKUP(fOrcado[[#This Row],[Conta]],'Plano de Contas'!A:A,'Plano de Contas'!C:C)</f>
        <v>(+) RECEITA BRUTA</v>
      </c>
      <c r="E1430" s="5" t="str">
        <f>_xlfn.XLOOKUP(fOrcado[[#This Row],[Conta]],'Plano de Contas'!A:A,'Plano de Contas'!D:D)</f>
        <v>02 - Outras Receitas</v>
      </c>
    </row>
    <row r="1431" spans="1:5" x14ac:dyDescent="0.25">
      <c r="A1431" s="23">
        <f t="shared" si="21"/>
        <v>43770</v>
      </c>
      <c r="B1431" s="5" t="s">
        <v>80</v>
      </c>
      <c r="C1431" s="5">
        <v>185378</v>
      </c>
      <c r="D1431" s="5" t="str">
        <f>_xlfn.XLOOKUP(fOrcado[[#This Row],[Conta]],'Plano de Contas'!A:A,'Plano de Contas'!C:C)</f>
        <v>(+) RECEITA BRUTA</v>
      </c>
      <c r="E1431" s="5" t="str">
        <f>_xlfn.XLOOKUP(fOrcado[[#This Row],[Conta]],'Plano de Contas'!A:A,'Plano de Contas'!D:D)</f>
        <v>02 - Outras Receitas</v>
      </c>
    </row>
    <row r="1432" spans="1:5" x14ac:dyDescent="0.25">
      <c r="A1432" s="23">
        <f t="shared" si="21"/>
        <v>43770</v>
      </c>
      <c r="B1432" s="5" t="s">
        <v>81</v>
      </c>
      <c r="C1432" s="5">
        <v>221635</v>
      </c>
      <c r="D1432" s="5" t="str">
        <f>_xlfn.XLOOKUP(fOrcado[[#This Row],[Conta]],'Plano de Contas'!A:A,'Plano de Contas'!C:C)</f>
        <v>(+) RECEITA BRUTA</v>
      </c>
      <c r="E1432" s="5" t="str">
        <f>_xlfn.XLOOKUP(fOrcado[[#This Row],[Conta]],'Plano de Contas'!A:A,'Plano de Contas'!D:D)</f>
        <v>02 - Outras Receitas</v>
      </c>
    </row>
    <row r="1433" spans="1:5" x14ac:dyDescent="0.25">
      <c r="A1433" s="23">
        <f t="shared" si="21"/>
        <v>43770</v>
      </c>
      <c r="B1433" s="5" t="s">
        <v>82</v>
      </c>
      <c r="C1433" s="5">
        <v>90049</v>
      </c>
      <c r="D1433" s="5" t="str">
        <f>_xlfn.XLOOKUP(fOrcado[[#This Row],[Conta]],'Plano de Contas'!A:A,'Plano de Contas'!C:C)</f>
        <v>(+) RECEITA BRUTA</v>
      </c>
      <c r="E1433" s="5" t="str">
        <f>_xlfn.XLOOKUP(fOrcado[[#This Row],[Conta]],'Plano de Contas'!A:A,'Plano de Contas'!D:D)</f>
        <v>02 - Outras Receitas</v>
      </c>
    </row>
    <row r="1434" spans="1:5" x14ac:dyDescent="0.25">
      <c r="A1434" s="23">
        <f t="shared" si="21"/>
        <v>43770</v>
      </c>
      <c r="B1434" s="5" t="s">
        <v>83</v>
      </c>
      <c r="C1434" s="5">
        <v>110088</v>
      </c>
      <c r="D1434" s="5" t="str">
        <f>_xlfn.XLOOKUP(fOrcado[[#This Row],[Conta]],'Plano de Contas'!A:A,'Plano de Contas'!C:C)</f>
        <v>(+) RECEITA BRUTA</v>
      </c>
      <c r="E1434" s="5" t="str">
        <f>_xlfn.XLOOKUP(fOrcado[[#This Row],[Conta]],'Plano de Contas'!A:A,'Plano de Contas'!D:D)</f>
        <v>02 - Outras Receitas</v>
      </c>
    </row>
    <row r="1435" spans="1:5" x14ac:dyDescent="0.25">
      <c r="A1435" s="23">
        <f t="shared" si="21"/>
        <v>43770</v>
      </c>
      <c r="B1435" s="5" t="s">
        <v>84</v>
      </c>
      <c r="C1435" s="5">
        <v>290860</v>
      </c>
      <c r="D1435" s="5" t="str">
        <f>_xlfn.XLOOKUP(fOrcado[[#This Row],[Conta]],'Plano de Contas'!A:A,'Plano de Contas'!C:C)</f>
        <v>(+) RECEITA BRUTA</v>
      </c>
      <c r="E1435" s="5" t="str">
        <f>_xlfn.XLOOKUP(fOrcado[[#This Row],[Conta]],'Plano de Contas'!A:A,'Plano de Contas'!D:D)</f>
        <v>02 - Outras Receitas</v>
      </c>
    </row>
    <row r="1436" spans="1:5" x14ac:dyDescent="0.25">
      <c r="A1436" s="23">
        <f t="shared" si="21"/>
        <v>43770</v>
      </c>
      <c r="B1436" s="5" t="s">
        <v>85</v>
      </c>
      <c r="C1436" s="5">
        <v>199038</v>
      </c>
      <c r="D1436" s="5" t="str">
        <f>_xlfn.XLOOKUP(fOrcado[[#This Row],[Conta]],'Plano de Contas'!A:A,'Plano de Contas'!C:C)</f>
        <v>(+) RECEITA BRUTA</v>
      </c>
      <c r="E1436" s="5" t="str">
        <f>_xlfn.XLOOKUP(fOrcado[[#This Row],[Conta]],'Plano de Contas'!A:A,'Plano de Contas'!D:D)</f>
        <v>02 - Outras Receitas</v>
      </c>
    </row>
    <row r="1437" spans="1:5" x14ac:dyDescent="0.25">
      <c r="A1437" s="23">
        <f t="shared" si="21"/>
        <v>43770</v>
      </c>
      <c r="B1437" s="5" t="s">
        <v>86</v>
      </c>
      <c r="C1437" s="5">
        <v>204688</v>
      </c>
      <c r="D1437" s="5" t="str">
        <f>_xlfn.XLOOKUP(fOrcado[[#This Row],[Conta]],'Plano de Contas'!A:A,'Plano de Contas'!C:C)</f>
        <v>(+) RECEITA BRUTA</v>
      </c>
      <c r="E1437" s="5" t="str">
        <f>_xlfn.XLOOKUP(fOrcado[[#This Row],[Conta]],'Plano de Contas'!A:A,'Plano de Contas'!D:D)</f>
        <v>02 - Outras Receitas</v>
      </c>
    </row>
    <row r="1438" spans="1:5" x14ac:dyDescent="0.25">
      <c r="A1438" s="23">
        <f t="shared" si="21"/>
        <v>43770</v>
      </c>
      <c r="B1438" s="5" t="s">
        <v>87</v>
      </c>
      <c r="C1438" s="5">
        <v>231966</v>
      </c>
      <c r="D1438" s="5" t="str">
        <f>_xlfn.XLOOKUP(fOrcado[[#This Row],[Conta]],'Plano de Contas'!A:A,'Plano de Contas'!C:C)</f>
        <v>(+) RECEITA BRUTA</v>
      </c>
      <c r="E1438" s="5" t="str">
        <f>_xlfn.XLOOKUP(fOrcado[[#This Row],[Conta]],'Plano de Contas'!A:A,'Plano de Contas'!D:D)</f>
        <v>02 - Outras Receitas</v>
      </c>
    </row>
    <row r="1439" spans="1:5" x14ac:dyDescent="0.25">
      <c r="A1439" s="23">
        <f t="shared" si="21"/>
        <v>43770</v>
      </c>
      <c r="B1439" s="5" t="s">
        <v>88</v>
      </c>
      <c r="C1439" s="5">
        <v>267411</v>
      </c>
      <c r="D1439" s="5" t="str">
        <f>_xlfn.XLOOKUP(fOrcado[[#This Row],[Conta]],'Plano de Contas'!A:A,'Plano de Contas'!C:C)</f>
        <v>(+) RECEITA BRUTA</v>
      </c>
      <c r="E1439" s="5" t="str">
        <f>_xlfn.XLOOKUP(fOrcado[[#This Row],[Conta]],'Plano de Contas'!A:A,'Plano de Contas'!D:D)</f>
        <v>02 - Outras Receitas</v>
      </c>
    </row>
    <row r="1440" spans="1:5" x14ac:dyDescent="0.25">
      <c r="A1440" s="23">
        <f t="shared" si="21"/>
        <v>43770</v>
      </c>
      <c r="B1440" s="5" t="s">
        <v>89</v>
      </c>
      <c r="C1440" s="5">
        <v>64669</v>
      </c>
      <c r="D1440" s="5" t="str">
        <f>_xlfn.XLOOKUP(fOrcado[[#This Row],[Conta]],'Plano de Contas'!A:A,'Plano de Contas'!C:C)</f>
        <v>(+) RECEITA BRUTA</v>
      </c>
      <c r="E1440" s="5" t="str">
        <f>_xlfn.XLOOKUP(fOrcado[[#This Row],[Conta]],'Plano de Contas'!A:A,'Plano de Contas'!D:D)</f>
        <v>02 - Outras Receitas</v>
      </c>
    </row>
    <row r="1441" spans="1:5" x14ac:dyDescent="0.25">
      <c r="A1441" s="23">
        <f t="shared" si="21"/>
        <v>43770</v>
      </c>
      <c r="B1441" s="5" t="s">
        <v>90</v>
      </c>
      <c r="C1441" s="5">
        <v>241470</v>
      </c>
      <c r="D1441" s="5" t="str">
        <f>_xlfn.XLOOKUP(fOrcado[[#This Row],[Conta]],'Plano de Contas'!A:A,'Plano de Contas'!C:C)</f>
        <v>(+) RECEITA BRUTA</v>
      </c>
      <c r="E1441" s="5" t="str">
        <f>_xlfn.XLOOKUP(fOrcado[[#This Row],[Conta]],'Plano de Contas'!A:A,'Plano de Contas'!D:D)</f>
        <v>02 - Outras Receitas</v>
      </c>
    </row>
    <row r="1442" spans="1:5" x14ac:dyDescent="0.25">
      <c r="A1442" s="23">
        <f t="shared" si="21"/>
        <v>43770</v>
      </c>
      <c r="B1442" s="5" t="s">
        <v>91</v>
      </c>
      <c r="C1442" s="5">
        <v>170141</v>
      </c>
      <c r="D1442" s="5" t="str">
        <f>_xlfn.XLOOKUP(fOrcado[[#This Row],[Conta]],'Plano de Contas'!A:A,'Plano de Contas'!C:C)</f>
        <v>(+) RECEITA BRUTA</v>
      </c>
      <c r="E1442" s="5" t="str">
        <f>_xlfn.XLOOKUP(fOrcado[[#This Row],[Conta]],'Plano de Contas'!A:A,'Plano de Contas'!D:D)</f>
        <v>02 - Outras Receitas</v>
      </c>
    </row>
    <row r="1443" spans="1:5" x14ac:dyDescent="0.25">
      <c r="A1443" s="23">
        <f t="shared" si="21"/>
        <v>43770</v>
      </c>
      <c r="B1443" s="5" t="s">
        <v>92</v>
      </c>
      <c r="C1443" s="5">
        <v>241454</v>
      </c>
      <c r="D1443" s="5" t="str">
        <f>_xlfn.XLOOKUP(fOrcado[[#This Row],[Conta]],'Plano de Contas'!A:A,'Plano de Contas'!C:C)</f>
        <v>(+) RECEITA BRUTA</v>
      </c>
      <c r="E1443" s="5" t="str">
        <f>_xlfn.XLOOKUP(fOrcado[[#This Row],[Conta]],'Plano de Contas'!A:A,'Plano de Contas'!D:D)</f>
        <v>02 - Outras Receitas</v>
      </c>
    </row>
    <row r="1444" spans="1:5" x14ac:dyDescent="0.25">
      <c r="A1444" s="23">
        <f t="shared" si="21"/>
        <v>43770</v>
      </c>
      <c r="B1444" s="5" t="s">
        <v>93</v>
      </c>
      <c r="C1444" s="5">
        <v>232682</v>
      </c>
      <c r="D1444" s="5" t="str">
        <f>_xlfn.XLOOKUP(fOrcado[[#This Row],[Conta]],'Plano de Contas'!A:A,'Plano de Contas'!C:C)</f>
        <v>(+) RECEITA BRUTA</v>
      </c>
      <c r="E1444" s="5" t="str">
        <f>_xlfn.XLOOKUP(fOrcado[[#This Row],[Conta]],'Plano de Contas'!A:A,'Plano de Contas'!D:D)</f>
        <v>02 - Outras Receitas</v>
      </c>
    </row>
    <row r="1445" spans="1:5" x14ac:dyDescent="0.25">
      <c r="A1445" s="23">
        <f t="shared" si="21"/>
        <v>43770</v>
      </c>
      <c r="B1445" s="5" t="s">
        <v>94</v>
      </c>
      <c r="C1445" s="5">
        <v>129704</v>
      </c>
      <c r="D1445" s="5" t="str">
        <f>_xlfn.XLOOKUP(fOrcado[[#This Row],[Conta]],'Plano de Contas'!A:A,'Plano de Contas'!C:C)</f>
        <v>(+) RECEITA BRUTA</v>
      </c>
      <c r="E1445" s="5" t="str">
        <f>_xlfn.XLOOKUP(fOrcado[[#This Row],[Conta]],'Plano de Contas'!A:A,'Plano de Contas'!D:D)</f>
        <v>02 - Outras Receitas</v>
      </c>
    </row>
    <row r="1446" spans="1:5" x14ac:dyDescent="0.25">
      <c r="A1446" s="23">
        <f t="shared" si="21"/>
        <v>43770</v>
      </c>
      <c r="B1446" s="5" t="s">
        <v>95</v>
      </c>
      <c r="C1446" s="5">
        <v>226637</v>
      </c>
      <c r="D1446" s="5" t="str">
        <f>_xlfn.XLOOKUP(fOrcado[[#This Row],[Conta]],'Plano de Contas'!A:A,'Plano de Contas'!C:C)</f>
        <v>(+) RECEITA BRUTA</v>
      </c>
      <c r="E1446" s="5" t="str">
        <f>_xlfn.XLOOKUP(fOrcado[[#This Row],[Conta]],'Plano de Contas'!A:A,'Plano de Contas'!D:D)</f>
        <v>02 - Outras Receitas</v>
      </c>
    </row>
    <row r="1447" spans="1:5" x14ac:dyDescent="0.25">
      <c r="A1447" s="23">
        <f t="shared" si="21"/>
        <v>43770</v>
      </c>
      <c r="B1447" s="5" t="s">
        <v>96</v>
      </c>
      <c r="C1447" s="5">
        <v>291970</v>
      </c>
      <c r="D1447" s="5" t="str">
        <f>_xlfn.XLOOKUP(fOrcado[[#This Row],[Conta]],'Plano de Contas'!A:A,'Plano de Contas'!C:C)</f>
        <v>(+) RECEITA BRUTA</v>
      </c>
      <c r="E1447" s="5" t="str">
        <f>_xlfn.XLOOKUP(fOrcado[[#This Row],[Conta]],'Plano de Contas'!A:A,'Plano de Contas'!D:D)</f>
        <v>02 - Outras Receitas</v>
      </c>
    </row>
    <row r="1448" spans="1:5" x14ac:dyDescent="0.25">
      <c r="A1448" s="23">
        <f t="shared" si="21"/>
        <v>43770</v>
      </c>
      <c r="B1448" s="5" t="s">
        <v>97</v>
      </c>
      <c r="C1448" s="5">
        <v>160778</v>
      </c>
      <c r="D1448" s="5" t="str">
        <f>_xlfn.XLOOKUP(fOrcado[[#This Row],[Conta]],'Plano de Contas'!A:A,'Plano de Contas'!C:C)</f>
        <v>(+) RECEITA BRUTA</v>
      </c>
      <c r="E1448" s="5" t="str">
        <f>_xlfn.XLOOKUP(fOrcado[[#This Row],[Conta]],'Plano de Contas'!A:A,'Plano de Contas'!D:D)</f>
        <v>02 - Outras Receitas</v>
      </c>
    </row>
    <row r="1449" spans="1:5" x14ac:dyDescent="0.25">
      <c r="A1449" s="23">
        <f t="shared" si="21"/>
        <v>43770</v>
      </c>
      <c r="B1449" s="5" t="s">
        <v>98</v>
      </c>
      <c r="C1449" s="5">
        <v>201364</v>
      </c>
      <c r="D1449" s="5" t="str">
        <f>_xlfn.XLOOKUP(fOrcado[[#This Row],[Conta]],'Plano de Contas'!A:A,'Plano de Contas'!C:C)</f>
        <v>(+) RECEITA BRUTA</v>
      </c>
      <c r="E1449" s="5" t="str">
        <f>_xlfn.XLOOKUP(fOrcado[[#This Row],[Conta]],'Plano de Contas'!A:A,'Plano de Contas'!D:D)</f>
        <v>02 - Outras Receitas</v>
      </c>
    </row>
    <row r="1450" spans="1:5" x14ac:dyDescent="0.25">
      <c r="A1450" s="23">
        <f t="shared" si="21"/>
        <v>43770</v>
      </c>
      <c r="B1450" s="5" t="s">
        <v>99</v>
      </c>
      <c r="C1450" s="5">
        <v>261146</v>
      </c>
      <c r="D1450" s="5" t="str">
        <f>_xlfn.XLOOKUP(fOrcado[[#This Row],[Conta]],'Plano de Contas'!A:A,'Plano de Contas'!C:C)</f>
        <v>(+) RECEITA BRUTA</v>
      </c>
      <c r="E1450" s="5" t="str">
        <f>_xlfn.XLOOKUP(fOrcado[[#This Row],[Conta]],'Plano de Contas'!A:A,'Plano de Contas'!D:D)</f>
        <v>02 - Outras Receitas</v>
      </c>
    </row>
    <row r="1451" spans="1:5" x14ac:dyDescent="0.25">
      <c r="A1451" s="23">
        <f t="shared" si="21"/>
        <v>43770</v>
      </c>
      <c r="B1451" s="5" t="s">
        <v>100</v>
      </c>
      <c r="C1451" s="5">
        <v>137091</v>
      </c>
      <c r="D1451" s="5" t="str">
        <f>_xlfn.XLOOKUP(fOrcado[[#This Row],[Conta]],'Plano de Contas'!A:A,'Plano de Contas'!C:C)</f>
        <v>(+) RECEITA BRUTA</v>
      </c>
      <c r="E1451" s="5" t="str">
        <f>_xlfn.XLOOKUP(fOrcado[[#This Row],[Conta]],'Plano de Contas'!A:A,'Plano de Contas'!D:D)</f>
        <v>02 - Outras Receitas</v>
      </c>
    </row>
    <row r="1452" spans="1:5" x14ac:dyDescent="0.25">
      <c r="A1452" s="23">
        <f t="shared" si="21"/>
        <v>43770</v>
      </c>
      <c r="B1452" s="5" t="s">
        <v>101</v>
      </c>
      <c r="C1452" s="5">
        <v>294125</v>
      </c>
      <c r="D1452" s="5" t="str">
        <f>_xlfn.XLOOKUP(fOrcado[[#This Row],[Conta]],'Plano de Contas'!A:A,'Plano de Contas'!C:C)</f>
        <v>(+) RECEITA BRUTA</v>
      </c>
      <c r="E1452" s="5" t="str">
        <f>_xlfn.XLOOKUP(fOrcado[[#This Row],[Conta]],'Plano de Contas'!A:A,'Plano de Contas'!D:D)</f>
        <v>02 - Outras Receitas</v>
      </c>
    </row>
    <row r="1453" spans="1:5" x14ac:dyDescent="0.25">
      <c r="A1453" s="23">
        <f t="shared" si="21"/>
        <v>43770</v>
      </c>
      <c r="B1453" s="5" t="s">
        <v>102</v>
      </c>
      <c r="C1453" s="5">
        <v>238383</v>
      </c>
      <c r="D1453" s="5" t="str">
        <f>_xlfn.XLOOKUP(fOrcado[[#This Row],[Conta]],'Plano de Contas'!A:A,'Plano de Contas'!C:C)</f>
        <v>(+) RECEITA BRUTA</v>
      </c>
      <c r="E1453" s="5" t="str">
        <f>_xlfn.XLOOKUP(fOrcado[[#This Row],[Conta]],'Plano de Contas'!A:A,'Plano de Contas'!D:D)</f>
        <v>02 - Outras Receitas</v>
      </c>
    </row>
    <row r="1454" spans="1:5" x14ac:dyDescent="0.25">
      <c r="A1454" s="23">
        <f t="shared" si="21"/>
        <v>43770</v>
      </c>
      <c r="B1454" s="5" t="s">
        <v>103</v>
      </c>
      <c r="C1454" s="5">
        <v>272586</v>
      </c>
      <c r="D1454" s="5" t="str">
        <f>_xlfn.XLOOKUP(fOrcado[[#This Row],[Conta]],'Plano de Contas'!A:A,'Plano de Contas'!C:C)</f>
        <v>(+) RECEITA BRUTA</v>
      </c>
      <c r="E1454" s="5" t="str">
        <f>_xlfn.XLOOKUP(fOrcado[[#This Row],[Conta]],'Plano de Contas'!A:A,'Plano de Contas'!D:D)</f>
        <v>02 - Outras Receitas</v>
      </c>
    </row>
    <row r="1455" spans="1:5" x14ac:dyDescent="0.25">
      <c r="A1455" s="23">
        <f t="shared" si="21"/>
        <v>43770</v>
      </c>
      <c r="B1455" s="5" t="s">
        <v>104</v>
      </c>
      <c r="C1455" s="5">
        <v>218349</v>
      </c>
      <c r="D1455" s="5" t="str">
        <f>_xlfn.XLOOKUP(fOrcado[[#This Row],[Conta]],'Plano de Contas'!A:A,'Plano de Contas'!C:C)</f>
        <v>(+) RECEITA BRUTA</v>
      </c>
      <c r="E1455" s="5" t="str">
        <f>_xlfn.XLOOKUP(fOrcado[[#This Row],[Conta]],'Plano de Contas'!A:A,'Plano de Contas'!D:D)</f>
        <v>02 - Outras Receitas</v>
      </c>
    </row>
    <row r="1456" spans="1:5" x14ac:dyDescent="0.25">
      <c r="A1456" s="23">
        <f t="shared" si="21"/>
        <v>43770</v>
      </c>
      <c r="B1456" s="5" t="s">
        <v>105</v>
      </c>
      <c r="C1456" s="5">
        <v>179459</v>
      </c>
      <c r="D1456" s="5" t="str">
        <f>_xlfn.XLOOKUP(fOrcado[[#This Row],[Conta]],'Plano de Contas'!A:A,'Plano de Contas'!C:C)</f>
        <v>(+) RECEITA BRUTA</v>
      </c>
      <c r="E1456" s="5" t="str">
        <f>_xlfn.XLOOKUP(fOrcado[[#This Row],[Conta]],'Plano de Contas'!A:A,'Plano de Contas'!D:D)</f>
        <v>02 - Outras Receitas</v>
      </c>
    </row>
    <row r="1457" spans="1:5" x14ac:dyDescent="0.25">
      <c r="A1457" s="23">
        <f t="shared" si="21"/>
        <v>43770</v>
      </c>
      <c r="B1457" s="5" t="s">
        <v>106</v>
      </c>
      <c r="C1457" s="5">
        <v>114920</v>
      </c>
      <c r="D1457" s="5" t="str">
        <f>_xlfn.XLOOKUP(fOrcado[[#This Row],[Conta]],'Plano de Contas'!A:A,'Plano de Contas'!C:C)</f>
        <v>(+) RECEITA BRUTA</v>
      </c>
      <c r="E1457" s="5" t="str">
        <f>_xlfn.XLOOKUP(fOrcado[[#This Row],[Conta]],'Plano de Contas'!A:A,'Plano de Contas'!D:D)</f>
        <v>02 - Outras Receitas</v>
      </c>
    </row>
    <row r="1458" spans="1:5" x14ac:dyDescent="0.25">
      <c r="A1458" s="23">
        <f t="shared" si="21"/>
        <v>43770</v>
      </c>
      <c r="B1458" s="5" t="s">
        <v>107</v>
      </c>
      <c r="C1458" s="5">
        <v>284894</v>
      </c>
      <c r="D1458" s="5" t="str">
        <f>_xlfn.XLOOKUP(fOrcado[[#This Row],[Conta]],'Plano de Contas'!A:A,'Plano de Contas'!C:C)</f>
        <v>(+) RECEITA BRUTA</v>
      </c>
      <c r="E1458" s="5" t="str">
        <f>_xlfn.XLOOKUP(fOrcado[[#This Row],[Conta]],'Plano de Contas'!A:A,'Plano de Contas'!D:D)</f>
        <v>02 - Outras Receitas</v>
      </c>
    </row>
    <row r="1459" spans="1:5" x14ac:dyDescent="0.25">
      <c r="A1459" s="23">
        <f t="shared" si="21"/>
        <v>43770</v>
      </c>
      <c r="B1459" s="5" t="s">
        <v>108</v>
      </c>
      <c r="C1459" s="5">
        <v>140007</v>
      </c>
      <c r="D1459" s="5" t="str">
        <f>_xlfn.XLOOKUP(fOrcado[[#This Row],[Conta]],'Plano de Contas'!A:A,'Plano de Contas'!C:C)</f>
        <v>(+) RECEITA BRUTA</v>
      </c>
      <c r="E1459" s="5" t="str">
        <f>_xlfn.XLOOKUP(fOrcado[[#This Row],[Conta]],'Plano de Contas'!A:A,'Plano de Contas'!D:D)</f>
        <v>02 - Outras Receitas</v>
      </c>
    </row>
    <row r="1460" spans="1:5" x14ac:dyDescent="0.25">
      <c r="A1460" s="23">
        <f t="shared" si="21"/>
        <v>43770</v>
      </c>
      <c r="B1460" s="5" t="s">
        <v>109</v>
      </c>
      <c r="C1460" s="5">
        <v>140420</v>
      </c>
      <c r="D1460" s="5" t="str">
        <f>_xlfn.XLOOKUP(fOrcado[[#This Row],[Conta]],'Plano de Contas'!A:A,'Plano de Contas'!C:C)</f>
        <v>(+) RECEITA BRUTA</v>
      </c>
      <c r="E1460" s="5" t="str">
        <f>_xlfn.XLOOKUP(fOrcado[[#This Row],[Conta]],'Plano de Contas'!A:A,'Plano de Contas'!D:D)</f>
        <v>02 - Outras Receitas</v>
      </c>
    </row>
    <row r="1461" spans="1:5" x14ac:dyDescent="0.25">
      <c r="A1461" s="23">
        <f t="shared" si="21"/>
        <v>43770</v>
      </c>
      <c r="B1461" s="5" t="s">
        <v>110</v>
      </c>
      <c r="C1461" s="5">
        <v>-4766</v>
      </c>
      <c r="D1461" s="5" t="str">
        <f>_xlfn.XLOOKUP(fOrcado[[#This Row],[Conta]],'Plano de Contas'!A:A,'Plano de Contas'!C:C)</f>
        <v>(-) Deduções da Receita</v>
      </c>
      <c r="E1461" s="5" t="str">
        <f>_xlfn.XLOOKUP(fOrcado[[#This Row],[Conta]],'Plano de Contas'!A:A,'Plano de Contas'!D:D)</f>
        <v>03 - Devoluções de Produtos</v>
      </c>
    </row>
    <row r="1462" spans="1:5" x14ac:dyDescent="0.25">
      <c r="A1462" s="23">
        <f t="shared" si="21"/>
        <v>43770</v>
      </c>
      <c r="B1462" s="5" t="s">
        <v>111</v>
      </c>
      <c r="C1462" s="5">
        <v>-4497</v>
      </c>
      <c r="D1462" s="5" t="str">
        <f>_xlfn.XLOOKUP(fOrcado[[#This Row],[Conta]],'Plano de Contas'!A:A,'Plano de Contas'!C:C)</f>
        <v>(-) Deduções da Receita</v>
      </c>
      <c r="E1462" s="5" t="str">
        <f>_xlfn.XLOOKUP(fOrcado[[#This Row],[Conta]],'Plano de Contas'!A:A,'Plano de Contas'!D:D)</f>
        <v>03 - Devoluções de Produtos</v>
      </c>
    </row>
    <row r="1463" spans="1:5" x14ac:dyDescent="0.25">
      <c r="A1463" s="23">
        <f t="shared" si="21"/>
        <v>43770</v>
      </c>
      <c r="B1463" s="5" t="s">
        <v>112</v>
      </c>
      <c r="C1463" s="5">
        <v>-3820</v>
      </c>
      <c r="D1463" s="5" t="str">
        <f>_xlfn.XLOOKUP(fOrcado[[#This Row],[Conta]],'Plano de Contas'!A:A,'Plano de Contas'!C:C)</f>
        <v>(-) Deduções da Receita</v>
      </c>
      <c r="E1463" s="5" t="str">
        <f>_xlfn.XLOOKUP(fOrcado[[#This Row],[Conta]],'Plano de Contas'!A:A,'Plano de Contas'!D:D)</f>
        <v>03 - Devoluções de Produtos</v>
      </c>
    </row>
    <row r="1464" spans="1:5" x14ac:dyDescent="0.25">
      <c r="A1464" s="23">
        <f t="shared" si="21"/>
        <v>43770</v>
      </c>
      <c r="B1464" s="5" t="s">
        <v>113</v>
      </c>
      <c r="C1464" s="5">
        <v>-7317</v>
      </c>
      <c r="D1464" s="5" t="str">
        <f>_xlfn.XLOOKUP(fOrcado[[#This Row],[Conta]],'Plano de Contas'!A:A,'Plano de Contas'!C:C)</f>
        <v>(-) Deduções da Receita</v>
      </c>
      <c r="E1464" s="5" t="str">
        <f>_xlfn.XLOOKUP(fOrcado[[#This Row],[Conta]],'Plano de Contas'!A:A,'Plano de Contas'!D:D)</f>
        <v>03 - Devoluções de Produtos</v>
      </c>
    </row>
    <row r="1465" spans="1:5" x14ac:dyDescent="0.25">
      <c r="A1465" s="23">
        <f t="shared" si="21"/>
        <v>43770</v>
      </c>
      <c r="B1465" s="5" t="s">
        <v>114</v>
      </c>
      <c r="C1465" s="5">
        <v>-6159</v>
      </c>
      <c r="D1465" s="5" t="str">
        <f>_xlfn.XLOOKUP(fOrcado[[#This Row],[Conta]],'Plano de Contas'!A:A,'Plano de Contas'!C:C)</f>
        <v>(-) Deduções da Receita</v>
      </c>
      <c r="E1465" s="5" t="str">
        <f>_xlfn.XLOOKUP(fOrcado[[#This Row],[Conta]],'Plano de Contas'!A:A,'Plano de Contas'!D:D)</f>
        <v>03 - Devoluções de Produtos</v>
      </c>
    </row>
    <row r="1466" spans="1:5" x14ac:dyDescent="0.25">
      <c r="A1466" s="23">
        <f t="shared" si="21"/>
        <v>43770</v>
      </c>
      <c r="B1466" s="5" t="s">
        <v>115</v>
      </c>
      <c r="C1466" s="5">
        <v>-6364</v>
      </c>
      <c r="D1466" s="5" t="str">
        <f>_xlfn.XLOOKUP(fOrcado[[#This Row],[Conta]],'Plano de Contas'!A:A,'Plano de Contas'!C:C)</f>
        <v>(-) Deduções da Receita</v>
      </c>
      <c r="E1466" s="5" t="str">
        <f>_xlfn.XLOOKUP(fOrcado[[#This Row],[Conta]],'Plano de Contas'!A:A,'Plano de Contas'!D:D)</f>
        <v>03 - Devoluções de Produtos</v>
      </c>
    </row>
    <row r="1467" spans="1:5" x14ac:dyDescent="0.25">
      <c r="A1467" s="23">
        <f t="shared" si="21"/>
        <v>43770</v>
      </c>
      <c r="B1467" s="5" t="s">
        <v>116</v>
      </c>
      <c r="C1467" s="5">
        <v>-2659</v>
      </c>
      <c r="D1467" s="5" t="str">
        <f>_xlfn.XLOOKUP(fOrcado[[#This Row],[Conta]],'Plano de Contas'!A:A,'Plano de Contas'!C:C)</f>
        <v>(-) Deduções da Receita</v>
      </c>
      <c r="E1467" s="5" t="str">
        <f>_xlfn.XLOOKUP(fOrcado[[#This Row],[Conta]],'Plano de Contas'!A:A,'Plano de Contas'!D:D)</f>
        <v>03 - Devoluções de Produtos</v>
      </c>
    </row>
    <row r="1468" spans="1:5" x14ac:dyDescent="0.25">
      <c r="A1468" s="23">
        <f t="shared" si="21"/>
        <v>43770</v>
      </c>
      <c r="B1468" s="5" t="s">
        <v>117</v>
      </c>
      <c r="C1468" s="5">
        <v>-5461</v>
      </c>
      <c r="D1468" s="5" t="str">
        <f>_xlfn.XLOOKUP(fOrcado[[#This Row],[Conta]],'Plano de Contas'!A:A,'Plano de Contas'!C:C)</f>
        <v>(-) Deduções da Receita</v>
      </c>
      <c r="E1468" s="5" t="str">
        <f>_xlfn.XLOOKUP(fOrcado[[#This Row],[Conta]],'Plano de Contas'!A:A,'Plano de Contas'!D:D)</f>
        <v>03 - Devoluções de Produtos</v>
      </c>
    </row>
    <row r="1469" spans="1:5" x14ac:dyDescent="0.25">
      <c r="A1469" s="23">
        <f t="shared" si="21"/>
        <v>43770</v>
      </c>
      <c r="B1469" s="5" t="s">
        <v>118</v>
      </c>
      <c r="C1469" s="5">
        <v>-4145</v>
      </c>
      <c r="D1469" s="5" t="str">
        <f>_xlfn.XLOOKUP(fOrcado[[#This Row],[Conta]],'Plano de Contas'!A:A,'Plano de Contas'!C:C)</f>
        <v>(-) Deduções da Receita</v>
      </c>
      <c r="E1469" s="5" t="str">
        <f>_xlfn.XLOOKUP(fOrcado[[#This Row],[Conta]],'Plano de Contas'!A:A,'Plano de Contas'!D:D)</f>
        <v>03 - Devoluções de Produtos</v>
      </c>
    </row>
    <row r="1470" spans="1:5" x14ac:dyDescent="0.25">
      <c r="A1470" s="23">
        <f t="shared" si="21"/>
        <v>43770</v>
      </c>
      <c r="B1470" s="5" t="s">
        <v>119</v>
      </c>
      <c r="C1470" s="5">
        <v>-8403</v>
      </c>
      <c r="D1470" s="5" t="str">
        <f>_xlfn.XLOOKUP(fOrcado[[#This Row],[Conta]],'Plano de Contas'!A:A,'Plano de Contas'!C:C)</f>
        <v>(-) Deduções da Receita</v>
      </c>
      <c r="E1470" s="5" t="str">
        <f>_xlfn.XLOOKUP(fOrcado[[#This Row],[Conta]],'Plano de Contas'!A:A,'Plano de Contas'!D:D)</f>
        <v>03 - Devoluções de Produtos</v>
      </c>
    </row>
    <row r="1471" spans="1:5" x14ac:dyDescent="0.25">
      <c r="A1471" s="23">
        <f t="shared" si="21"/>
        <v>43770</v>
      </c>
      <c r="B1471" s="5" t="s">
        <v>120</v>
      </c>
      <c r="C1471" s="5">
        <v>-7551</v>
      </c>
      <c r="D1471" s="5" t="str">
        <f>_xlfn.XLOOKUP(fOrcado[[#This Row],[Conta]],'Plano de Contas'!A:A,'Plano de Contas'!C:C)</f>
        <v>(-) Deduções da Receita</v>
      </c>
      <c r="E1471" s="5" t="str">
        <f>_xlfn.XLOOKUP(fOrcado[[#This Row],[Conta]],'Plano de Contas'!A:A,'Plano de Contas'!D:D)</f>
        <v>03 - Devoluções de Produtos</v>
      </c>
    </row>
    <row r="1472" spans="1:5" x14ac:dyDescent="0.25">
      <c r="A1472" s="23">
        <f t="shared" si="21"/>
        <v>43770</v>
      </c>
      <c r="B1472" s="5" t="s">
        <v>121</v>
      </c>
      <c r="C1472" s="5">
        <v>-3021</v>
      </c>
      <c r="D1472" s="5" t="str">
        <f>_xlfn.XLOOKUP(fOrcado[[#This Row],[Conta]],'Plano de Contas'!A:A,'Plano de Contas'!C:C)</f>
        <v>(-) Deduções da Receita</v>
      </c>
      <c r="E1472" s="5" t="str">
        <f>_xlfn.XLOOKUP(fOrcado[[#This Row],[Conta]],'Plano de Contas'!A:A,'Plano de Contas'!D:D)</f>
        <v>03 - Devoluções de Produtos</v>
      </c>
    </row>
    <row r="1473" spans="1:5" x14ac:dyDescent="0.25">
      <c r="A1473" s="23">
        <f t="shared" si="21"/>
        <v>43770</v>
      </c>
      <c r="B1473" s="5" t="s">
        <v>122</v>
      </c>
      <c r="C1473" s="5">
        <v>-4895</v>
      </c>
      <c r="D1473" s="5" t="str">
        <f>_xlfn.XLOOKUP(fOrcado[[#This Row],[Conta]],'Plano de Contas'!A:A,'Plano de Contas'!C:C)</f>
        <v>(-) Deduções da Receita</v>
      </c>
      <c r="E1473" s="5" t="str">
        <f>_xlfn.XLOOKUP(fOrcado[[#This Row],[Conta]],'Plano de Contas'!A:A,'Plano de Contas'!D:D)</f>
        <v>03 - Devoluções de Produtos</v>
      </c>
    </row>
    <row r="1474" spans="1:5" x14ac:dyDescent="0.25">
      <c r="A1474" s="23">
        <f t="shared" si="21"/>
        <v>43770</v>
      </c>
      <c r="B1474" s="5" t="s">
        <v>123</v>
      </c>
      <c r="C1474" s="5">
        <v>-6415</v>
      </c>
      <c r="D1474" s="5" t="str">
        <f>_xlfn.XLOOKUP(fOrcado[[#This Row],[Conta]],'Plano de Contas'!A:A,'Plano de Contas'!C:C)</f>
        <v>(-) Deduções da Receita</v>
      </c>
      <c r="E1474" s="5" t="str">
        <f>_xlfn.XLOOKUP(fOrcado[[#This Row],[Conta]],'Plano de Contas'!A:A,'Plano de Contas'!D:D)</f>
        <v>03 - Devoluções de Produtos</v>
      </c>
    </row>
    <row r="1475" spans="1:5" x14ac:dyDescent="0.25">
      <c r="A1475" s="23">
        <f t="shared" si="21"/>
        <v>43770</v>
      </c>
      <c r="B1475" s="5" t="s">
        <v>124</v>
      </c>
      <c r="C1475" s="5">
        <v>-3177</v>
      </c>
      <c r="D1475" s="5" t="str">
        <f>_xlfn.XLOOKUP(fOrcado[[#This Row],[Conta]],'Plano de Contas'!A:A,'Plano de Contas'!C:C)</f>
        <v>(-) Deduções da Receita</v>
      </c>
      <c r="E1475" s="5" t="str">
        <f>_xlfn.XLOOKUP(fOrcado[[#This Row],[Conta]],'Plano de Contas'!A:A,'Plano de Contas'!D:D)</f>
        <v>03 - Devoluções de Produtos</v>
      </c>
    </row>
    <row r="1476" spans="1:5" x14ac:dyDescent="0.25">
      <c r="A1476" s="23">
        <f t="shared" si="21"/>
        <v>43770</v>
      </c>
      <c r="B1476" s="5" t="s">
        <v>125</v>
      </c>
      <c r="C1476" s="5">
        <v>-3870</v>
      </c>
      <c r="D1476" s="5" t="str">
        <f>_xlfn.XLOOKUP(fOrcado[[#This Row],[Conta]],'Plano de Contas'!A:A,'Plano de Contas'!C:C)</f>
        <v>(-) Deduções da Receita</v>
      </c>
      <c r="E1476" s="5" t="str">
        <f>_xlfn.XLOOKUP(fOrcado[[#This Row],[Conta]],'Plano de Contas'!A:A,'Plano de Contas'!D:D)</f>
        <v>03 - Devoluções de Produtos</v>
      </c>
    </row>
    <row r="1477" spans="1:5" x14ac:dyDescent="0.25">
      <c r="A1477" s="23">
        <f t="shared" si="21"/>
        <v>43770</v>
      </c>
      <c r="B1477" s="5" t="s">
        <v>126</v>
      </c>
      <c r="C1477" s="5">
        <v>-9210</v>
      </c>
      <c r="D1477" s="5" t="str">
        <f>_xlfn.XLOOKUP(fOrcado[[#This Row],[Conta]],'Plano de Contas'!A:A,'Plano de Contas'!C:C)</f>
        <v>(-) Deduções da Receita</v>
      </c>
      <c r="E1477" s="5" t="str">
        <f>_xlfn.XLOOKUP(fOrcado[[#This Row],[Conta]],'Plano de Contas'!A:A,'Plano de Contas'!D:D)</f>
        <v>03 - Devoluções de Produtos</v>
      </c>
    </row>
    <row r="1478" spans="1:5" x14ac:dyDescent="0.25">
      <c r="A1478" s="23">
        <f t="shared" si="21"/>
        <v>43770</v>
      </c>
      <c r="B1478" s="5" t="s">
        <v>127</v>
      </c>
      <c r="C1478" s="5">
        <v>-6329</v>
      </c>
      <c r="D1478" s="5" t="str">
        <f>_xlfn.XLOOKUP(fOrcado[[#This Row],[Conta]],'Plano de Contas'!A:A,'Plano de Contas'!C:C)</f>
        <v>(-) Deduções da Receita</v>
      </c>
      <c r="E1478" s="5" t="str">
        <f>_xlfn.XLOOKUP(fOrcado[[#This Row],[Conta]],'Plano de Contas'!A:A,'Plano de Contas'!D:D)</f>
        <v>03 - Devoluções de Produtos</v>
      </c>
    </row>
    <row r="1479" spans="1:5" x14ac:dyDescent="0.25">
      <c r="A1479" s="23">
        <f t="shared" si="21"/>
        <v>43770</v>
      </c>
      <c r="B1479" s="5" t="s">
        <v>128</v>
      </c>
      <c r="C1479" s="5">
        <v>-7658</v>
      </c>
      <c r="D1479" s="5" t="str">
        <f>_xlfn.XLOOKUP(fOrcado[[#This Row],[Conta]],'Plano de Contas'!A:A,'Plano de Contas'!C:C)</f>
        <v>(-) Deduções da Receita</v>
      </c>
      <c r="E1479" s="5" t="str">
        <f>_xlfn.XLOOKUP(fOrcado[[#This Row],[Conta]],'Plano de Contas'!A:A,'Plano de Contas'!D:D)</f>
        <v>03 - Devoluções de Produtos</v>
      </c>
    </row>
    <row r="1480" spans="1:5" x14ac:dyDescent="0.25">
      <c r="A1480" s="23">
        <f t="shared" ref="A1480:A1543" si="22">EDATE(A1340,1)</f>
        <v>43770</v>
      </c>
      <c r="B1480" s="5" t="s">
        <v>129</v>
      </c>
      <c r="C1480" s="5">
        <v>-3249</v>
      </c>
      <c r="D1480" s="5" t="str">
        <f>_xlfn.XLOOKUP(fOrcado[[#This Row],[Conta]],'Plano de Contas'!A:A,'Plano de Contas'!C:C)</f>
        <v>(-) Deduções da Receita</v>
      </c>
      <c r="E1480" s="5" t="str">
        <f>_xlfn.XLOOKUP(fOrcado[[#This Row],[Conta]],'Plano de Contas'!A:A,'Plano de Contas'!D:D)</f>
        <v>03 - Devoluções de Produtos</v>
      </c>
    </row>
    <row r="1481" spans="1:5" x14ac:dyDescent="0.25">
      <c r="A1481" s="23">
        <f t="shared" si="22"/>
        <v>43770</v>
      </c>
      <c r="B1481" s="5" t="s">
        <v>130</v>
      </c>
      <c r="C1481" s="5">
        <v>-4615</v>
      </c>
      <c r="D1481" s="5" t="str">
        <f>_xlfn.XLOOKUP(fOrcado[[#This Row],[Conta]],'Plano de Contas'!A:A,'Plano de Contas'!C:C)</f>
        <v>(-) Deduções da Receita</v>
      </c>
      <c r="E1481" s="5" t="str">
        <f>_xlfn.XLOOKUP(fOrcado[[#This Row],[Conta]],'Plano de Contas'!A:A,'Plano de Contas'!D:D)</f>
        <v>03 - Devoluções de Produtos</v>
      </c>
    </row>
    <row r="1482" spans="1:5" x14ac:dyDescent="0.25">
      <c r="A1482" s="23">
        <f t="shared" si="22"/>
        <v>43770</v>
      </c>
      <c r="B1482" s="5" t="s">
        <v>131</v>
      </c>
      <c r="C1482" s="5">
        <v>-1077</v>
      </c>
      <c r="D1482" s="5" t="str">
        <f>_xlfn.XLOOKUP(fOrcado[[#This Row],[Conta]],'Plano de Contas'!A:A,'Plano de Contas'!C:C)</f>
        <v>(-) Deduções da Receita</v>
      </c>
      <c r="E1482" s="5" t="str">
        <f>_xlfn.XLOOKUP(fOrcado[[#This Row],[Conta]],'Plano de Contas'!A:A,'Plano de Contas'!D:D)</f>
        <v>03 - Devoluções de Produtos</v>
      </c>
    </row>
    <row r="1483" spans="1:5" x14ac:dyDescent="0.25">
      <c r="A1483" s="23">
        <f t="shared" si="22"/>
        <v>43770</v>
      </c>
      <c r="B1483" s="5" t="s">
        <v>132</v>
      </c>
      <c r="C1483" s="5">
        <v>-5096</v>
      </c>
      <c r="D1483" s="5" t="str">
        <f>_xlfn.XLOOKUP(fOrcado[[#This Row],[Conta]],'Plano de Contas'!A:A,'Plano de Contas'!C:C)</f>
        <v>(-) Deduções da Receita</v>
      </c>
      <c r="E1483" s="5" t="str">
        <f>_xlfn.XLOOKUP(fOrcado[[#This Row],[Conta]],'Plano de Contas'!A:A,'Plano de Contas'!D:D)</f>
        <v>03 - Devoluções de Produtos</v>
      </c>
    </row>
    <row r="1484" spans="1:5" x14ac:dyDescent="0.25">
      <c r="A1484" s="23">
        <f t="shared" si="22"/>
        <v>43770</v>
      </c>
      <c r="B1484" s="5" t="s">
        <v>133</v>
      </c>
      <c r="C1484" s="5">
        <v>-3011</v>
      </c>
      <c r="D1484" s="5" t="str">
        <f>_xlfn.XLOOKUP(fOrcado[[#This Row],[Conta]],'Plano de Contas'!A:A,'Plano de Contas'!C:C)</f>
        <v>(-) Deduções da Receita</v>
      </c>
      <c r="E1484" s="5" t="str">
        <f>_xlfn.XLOOKUP(fOrcado[[#This Row],[Conta]],'Plano de Contas'!A:A,'Plano de Contas'!D:D)</f>
        <v>03 - Devoluções de Produtos</v>
      </c>
    </row>
    <row r="1485" spans="1:5" x14ac:dyDescent="0.25">
      <c r="A1485" s="23">
        <f t="shared" si="22"/>
        <v>43770</v>
      </c>
      <c r="B1485" s="5" t="s">
        <v>134</v>
      </c>
      <c r="C1485" s="5">
        <v>-3518</v>
      </c>
      <c r="D1485" s="5" t="str">
        <f>_xlfn.XLOOKUP(fOrcado[[#This Row],[Conta]],'Plano de Contas'!A:A,'Plano de Contas'!C:C)</f>
        <v>(-) Deduções da Receita</v>
      </c>
      <c r="E1485" s="5" t="str">
        <f>_xlfn.XLOOKUP(fOrcado[[#This Row],[Conta]],'Plano de Contas'!A:A,'Plano de Contas'!D:D)</f>
        <v>03 - Devoluções de Produtos</v>
      </c>
    </row>
    <row r="1486" spans="1:5" x14ac:dyDescent="0.25">
      <c r="A1486" s="23">
        <f t="shared" si="22"/>
        <v>43770</v>
      </c>
      <c r="B1486" s="5" t="s">
        <v>135</v>
      </c>
      <c r="C1486" s="5">
        <v>-5099</v>
      </c>
      <c r="D1486" s="5" t="str">
        <f>_xlfn.XLOOKUP(fOrcado[[#This Row],[Conta]],'Plano de Contas'!A:A,'Plano de Contas'!C:C)</f>
        <v>(-) Deduções da Receita</v>
      </c>
      <c r="E1486" s="5" t="str">
        <f>_xlfn.XLOOKUP(fOrcado[[#This Row],[Conta]],'Plano de Contas'!A:A,'Plano de Contas'!D:D)</f>
        <v>03 - Devoluções de Produtos</v>
      </c>
    </row>
    <row r="1487" spans="1:5" x14ac:dyDescent="0.25">
      <c r="A1487" s="23">
        <f t="shared" si="22"/>
        <v>43770</v>
      </c>
      <c r="B1487" s="5" t="s">
        <v>136</v>
      </c>
      <c r="C1487" s="5">
        <v>-7994</v>
      </c>
      <c r="D1487" s="5" t="str">
        <f>_xlfn.XLOOKUP(fOrcado[[#This Row],[Conta]],'Plano de Contas'!A:A,'Plano de Contas'!C:C)</f>
        <v>(-) Deduções da Receita</v>
      </c>
      <c r="E1487" s="5" t="str">
        <f>_xlfn.XLOOKUP(fOrcado[[#This Row],[Conta]],'Plano de Contas'!A:A,'Plano de Contas'!D:D)</f>
        <v>04 - Taxas de Serviço</v>
      </c>
    </row>
    <row r="1488" spans="1:5" x14ac:dyDescent="0.25">
      <c r="A1488" s="23">
        <f t="shared" si="22"/>
        <v>43770</v>
      </c>
      <c r="B1488" s="5" t="s">
        <v>137</v>
      </c>
      <c r="C1488" s="5">
        <v>-8096</v>
      </c>
      <c r="D1488" s="5" t="str">
        <f>_xlfn.XLOOKUP(fOrcado[[#This Row],[Conta]],'Plano de Contas'!A:A,'Plano de Contas'!C:C)</f>
        <v>(-) Deduções da Receita</v>
      </c>
      <c r="E1488" s="5" t="str">
        <f>_xlfn.XLOOKUP(fOrcado[[#This Row],[Conta]],'Plano de Contas'!A:A,'Plano de Contas'!D:D)</f>
        <v>04 - Taxas de Serviço</v>
      </c>
    </row>
    <row r="1489" spans="1:5" x14ac:dyDescent="0.25">
      <c r="A1489" s="23">
        <f t="shared" si="22"/>
        <v>43770</v>
      </c>
      <c r="B1489" s="5" t="s">
        <v>138</v>
      </c>
      <c r="C1489" s="5">
        <v>-9066</v>
      </c>
      <c r="D1489" s="5" t="str">
        <f>_xlfn.XLOOKUP(fOrcado[[#This Row],[Conta]],'Plano de Contas'!A:A,'Plano de Contas'!C:C)</f>
        <v>(-) Deduções da Receita</v>
      </c>
      <c r="E1489" s="5" t="str">
        <f>_xlfn.XLOOKUP(fOrcado[[#This Row],[Conta]],'Plano de Contas'!A:A,'Plano de Contas'!D:D)</f>
        <v>04 - Taxas de Serviço</v>
      </c>
    </row>
    <row r="1490" spans="1:5" x14ac:dyDescent="0.25">
      <c r="A1490" s="23">
        <f t="shared" si="22"/>
        <v>43770</v>
      </c>
      <c r="B1490" s="5" t="s">
        <v>139</v>
      </c>
      <c r="C1490" s="5">
        <v>-5482</v>
      </c>
      <c r="D1490" s="5" t="str">
        <f>_xlfn.XLOOKUP(fOrcado[[#This Row],[Conta]],'Plano de Contas'!A:A,'Plano de Contas'!C:C)</f>
        <v>(-) Deduções da Receita</v>
      </c>
      <c r="E1490" s="5" t="str">
        <f>_xlfn.XLOOKUP(fOrcado[[#This Row],[Conta]],'Plano de Contas'!A:A,'Plano de Contas'!D:D)</f>
        <v>04 - Taxas de Serviço</v>
      </c>
    </row>
    <row r="1491" spans="1:5" x14ac:dyDescent="0.25">
      <c r="A1491" s="23">
        <f t="shared" si="22"/>
        <v>43770</v>
      </c>
      <c r="B1491" s="5" t="s">
        <v>140</v>
      </c>
      <c r="C1491" s="5">
        <v>-290893</v>
      </c>
      <c r="D1491" s="5" t="str">
        <f>_xlfn.XLOOKUP(fOrcado[[#This Row],[Conta]],'Plano de Contas'!A:A,'Plano de Contas'!C:C)</f>
        <v>(-) Custos de Vendas</v>
      </c>
      <c r="E1491" s="5" t="str">
        <f>_xlfn.XLOOKUP(fOrcado[[#This Row],[Conta]],'Plano de Contas'!A:A,'Plano de Contas'!D:D)</f>
        <v>05 - Custo do Produto</v>
      </c>
    </row>
    <row r="1492" spans="1:5" x14ac:dyDescent="0.25">
      <c r="A1492" s="23">
        <f t="shared" si="22"/>
        <v>43770</v>
      </c>
      <c r="B1492" s="5" t="s">
        <v>141</v>
      </c>
      <c r="C1492" s="5">
        <v>-152526</v>
      </c>
      <c r="D1492" s="5" t="str">
        <f>_xlfn.XLOOKUP(fOrcado[[#This Row],[Conta]],'Plano de Contas'!A:A,'Plano de Contas'!C:C)</f>
        <v>(-) Custos de Vendas</v>
      </c>
      <c r="E1492" s="5" t="str">
        <f>_xlfn.XLOOKUP(fOrcado[[#This Row],[Conta]],'Plano de Contas'!A:A,'Plano de Contas'!D:D)</f>
        <v>05 - Custo do Produto</v>
      </c>
    </row>
    <row r="1493" spans="1:5" x14ac:dyDescent="0.25">
      <c r="A1493" s="23">
        <f t="shared" si="22"/>
        <v>43770</v>
      </c>
      <c r="B1493" s="5" t="s">
        <v>142</v>
      </c>
      <c r="C1493" s="5">
        <v>-120181</v>
      </c>
      <c r="D1493" s="5" t="str">
        <f>_xlfn.XLOOKUP(fOrcado[[#This Row],[Conta]],'Plano de Contas'!A:A,'Plano de Contas'!C:C)</f>
        <v>(-) Custos de Vendas</v>
      </c>
      <c r="E1493" s="5" t="str">
        <f>_xlfn.XLOOKUP(fOrcado[[#This Row],[Conta]],'Plano de Contas'!A:A,'Plano de Contas'!D:D)</f>
        <v>05 - Custo do Produto</v>
      </c>
    </row>
    <row r="1494" spans="1:5" x14ac:dyDescent="0.25">
      <c r="A1494" s="23">
        <f t="shared" si="22"/>
        <v>43770</v>
      </c>
      <c r="B1494" s="5" t="s">
        <v>143</v>
      </c>
      <c r="C1494" s="5">
        <v>-251532</v>
      </c>
      <c r="D1494" s="5" t="str">
        <f>_xlfn.XLOOKUP(fOrcado[[#This Row],[Conta]],'Plano de Contas'!A:A,'Plano de Contas'!C:C)</f>
        <v>(-) Custos de Vendas</v>
      </c>
      <c r="E1494" s="5" t="str">
        <f>_xlfn.XLOOKUP(fOrcado[[#This Row],[Conta]],'Plano de Contas'!A:A,'Plano de Contas'!D:D)</f>
        <v>05 - Custo do Produto</v>
      </c>
    </row>
    <row r="1495" spans="1:5" x14ac:dyDescent="0.25">
      <c r="A1495" s="23">
        <f t="shared" si="22"/>
        <v>43770</v>
      </c>
      <c r="B1495" s="5" t="s">
        <v>144</v>
      </c>
      <c r="C1495" s="5">
        <v>-209431</v>
      </c>
      <c r="D1495" s="5" t="str">
        <f>_xlfn.XLOOKUP(fOrcado[[#This Row],[Conta]],'Plano de Contas'!A:A,'Plano de Contas'!C:C)</f>
        <v>(-) Custos de Vendas</v>
      </c>
      <c r="E1495" s="5" t="str">
        <f>_xlfn.XLOOKUP(fOrcado[[#This Row],[Conta]],'Plano de Contas'!A:A,'Plano de Contas'!D:D)</f>
        <v>05 - Custo do Produto</v>
      </c>
    </row>
    <row r="1496" spans="1:5" x14ac:dyDescent="0.25">
      <c r="A1496" s="23">
        <f t="shared" si="22"/>
        <v>43770</v>
      </c>
      <c r="B1496" s="5" t="s">
        <v>145</v>
      </c>
      <c r="C1496" s="5">
        <v>-168241</v>
      </c>
      <c r="D1496" s="5" t="str">
        <f>_xlfn.XLOOKUP(fOrcado[[#This Row],[Conta]],'Plano de Contas'!A:A,'Plano de Contas'!C:C)</f>
        <v>(-) Custos de Vendas</v>
      </c>
      <c r="E1496" s="5" t="str">
        <f>_xlfn.XLOOKUP(fOrcado[[#This Row],[Conta]],'Plano de Contas'!A:A,'Plano de Contas'!D:D)</f>
        <v>05 - Custo do Produto</v>
      </c>
    </row>
    <row r="1497" spans="1:5" x14ac:dyDescent="0.25">
      <c r="A1497" s="23">
        <f t="shared" si="22"/>
        <v>43770</v>
      </c>
      <c r="B1497" s="5" t="s">
        <v>146</v>
      </c>
      <c r="C1497" s="5">
        <v>-150684</v>
      </c>
      <c r="D1497" s="5" t="str">
        <f>_xlfn.XLOOKUP(fOrcado[[#This Row],[Conta]],'Plano de Contas'!A:A,'Plano de Contas'!C:C)</f>
        <v>(-) Custos de Vendas</v>
      </c>
      <c r="E1497" s="5" t="str">
        <f>_xlfn.XLOOKUP(fOrcado[[#This Row],[Conta]],'Plano de Contas'!A:A,'Plano de Contas'!D:D)</f>
        <v>05 - Custo do Produto</v>
      </c>
    </row>
    <row r="1498" spans="1:5" x14ac:dyDescent="0.25">
      <c r="A1498" s="23">
        <f t="shared" si="22"/>
        <v>43770</v>
      </c>
      <c r="B1498" s="5" t="s">
        <v>147</v>
      </c>
      <c r="C1498" s="5">
        <v>-251046</v>
      </c>
      <c r="D1498" s="5" t="str">
        <f>_xlfn.XLOOKUP(fOrcado[[#This Row],[Conta]],'Plano de Contas'!A:A,'Plano de Contas'!C:C)</f>
        <v>(-) Custos de Vendas</v>
      </c>
      <c r="E1498" s="5" t="str">
        <f>_xlfn.XLOOKUP(fOrcado[[#This Row],[Conta]],'Plano de Contas'!A:A,'Plano de Contas'!D:D)</f>
        <v>05 - Custo do Produto</v>
      </c>
    </row>
    <row r="1499" spans="1:5" x14ac:dyDescent="0.25">
      <c r="A1499" s="23">
        <f t="shared" si="22"/>
        <v>43770</v>
      </c>
      <c r="B1499" s="5" t="s">
        <v>148</v>
      </c>
      <c r="C1499" s="5">
        <v>-166657</v>
      </c>
      <c r="D1499" s="5" t="str">
        <f>_xlfn.XLOOKUP(fOrcado[[#This Row],[Conta]],'Plano de Contas'!A:A,'Plano de Contas'!C:C)</f>
        <v>(-) Custos de Vendas</v>
      </c>
      <c r="E1499" s="5" t="str">
        <f>_xlfn.XLOOKUP(fOrcado[[#This Row],[Conta]],'Plano de Contas'!A:A,'Plano de Contas'!D:D)</f>
        <v>05 - Custo do Produto</v>
      </c>
    </row>
    <row r="1500" spans="1:5" x14ac:dyDescent="0.25">
      <c r="A1500" s="23">
        <f t="shared" si="22"/>
        <v>43770</v>
      </c>
      <c r="B1500" s="5" t="s">
        <v>149</v>
      </c>
      <c r="C1500" s="5">
        <v>-238375</v>
      </c>
      <c r="D1500" s="5" t="str">
        <f>_xlfn.XLOOKUP(fOrcado[[#This Row],[Conta]],'Plano de Contas'!A:A,'Plano de Contas'!C:C)</f>
        <v>(-) Custos de Vendas</v>
      </c>
      <c r="E1500" s="5" t="str">
        <f>_xlfn.XLOOKUP(fOrcado[[#This Row],[Conta]],'Plano de Contas'!A:A,'Plano de Contas'!D:D)</f>
        <v>05 - Custo do Produto</v>
      </c>
    </row>
    <row r="1501" spans="1:5" x14ac:dyDescent="0.25">
      <c r="A1501" s="23">
        <f t="shared" si="22"/>
        <v>43770</v>
      </c>
      <c r="B1501" s="5" t="s">
        <v>150</v>
      </c>
      <c r="C1501" s="5">
        <v>-238589</v>
      </c>
      <c r="D1501" s="5" t="str">
        <f>_xlfn.XLOOKUP(fOrcado[[#This Row],[Conta]],'Plano de Contas'!A:A,'Plano de Contas'!C:C)</f>
        <v>(-) Custos de Vendas</v>
      </c>
      <c r="E1501" s="5" t="str">
        <f>_xlfn.XLOOKUP(fOrcado[[#This Row],[Conta]],'Plano de Contas'!A:A,'Plano de Contas'!D:D)</f>
        <v>05 - Custo do Produto</v>
      </c>
    </row>
    <row r="1502" spans="1:5" x14ac:dyDescent="0.25">
      <c r="A1502" s="23">
        <f t="shared" si="22"/>
        <v>43770</v>
      </c>
      <c r="B1502" s="5" t="s">
        <v>151</v>
      </c>
      <c r="C1502" s="5">
        <v>-164951</v>
      </c>
      <c r="D1502" s="5" t="str">
        <f>_xlfn.XLOOKUP(fOrcado[[#This Row],[Conta]],'Plano de Contas'!A:A,'Plano de Contas'!C:C)</f>
        <v>(-) Custos de Vendas</v>
      </c>
      <c r="E1502" s="5" t="str">
        <f>_xlfn.XLOOKUP(fOrcado[[#This Row],[Conta]],'Plano de Contas'!A:A,'Plano de Contas'!D:D)</f>
        <v>05 - Custo do Produto</v>
      </c>
    </row>
    <row r="1503" spans="1:5" x14ac:dyDescent="0.25">
      <c r="A1503" s="23">
        <f t="shared" si="22"/>
        <v>43770</v>
      </c>
      <c r="B1503" s="5" t="s">
        <v>152</v>
      </c>
      <c r="C1503" s="5">
        <v>-283119</v>
      </c>
      <c r="D1503" s="5" t="str">
        <f>_xlfn.XLOOKUP(fOrcado[[#This Row],[Conta]],'Plano de Contas'!A:A,'Plano de Contas'!C:C)</f>
        <v>(-) Custos de Vendas</v>
      </c>
      <c r="E1503" s="5" t="str">
        <f>_xlfn.XLOOKUP(fOrcado[[#This Row],[Conta]],'Plano de Contas'!A:A,'Plano de Contas'!D:D)</f>
        <v>05 - Custo do Produto</v>
      </c>
    </row>
    <row r="1504" spans="1:5" x14ac:dyDescent="0.25">
      <c r="A1504" s="23">
        <f t="shared" si="22"/>
        <v>43770</v>
      </c>
      <c r="B1504" s="5" t="s">
        <v>153</v>
      </c>
      <c r="C1504" s="5">
        <v>-95358</v>
      </c>
      <c r="D1504" s="5" t="str">
        <f>_xlfn.XLOOKUP(fOrcado[[#This Row],[Conta]],'Plano de Contas'!A:A,'Plano de Contas'!C:C)</f>
        <v>(-) Custos de Vendas</v>
      </c>
      <c r="E1504" s="5" t="str">
        <f>_xlfn.XLOOKUP(fOrcado[[#This Row],[Conta]],'Plano de Contas'!A:A,'Plano de Contas'!D:D)</f>
        <v>05 - Custo do Produto</v>
      </c>
    </row>
    <row r="1505" spans="1:5" x14ac:dyDescent="0.25">
      <c r="A1505" s="23">
        <f t="shared" si="22"/>
        <v>43770</v>
      </c>
      <c r="B1505" s="5" t="s">
        <v>154</v>
      </c>
      <c r="C1505" s="5">
        <v>-194710</v>
      </c>
      <c r="D1505" s="5" t="str">
        <f>_xlfn.XLOOKUP(fOrcado[[#This Row],[Conta]],'Plano de Contas'!A:A,'Plano de Contas'!C:C)</f>
        <v>(-) Custos de Vendas</v>
      </c>
      <c r="E1505" s="5" t="str">
        <f>_xlfn.XLOOKUP(fOrcado[[#This Row],[Conta]],'Plano de Contas'!A:A,'Plano de Contas'!D:D)</f>
        <v>05 - Custo do Produto</v>
      </c>
    </row>
    <row r="1506" spans="1:5" x14ac:dyDescent="0.25">
      <c r="A1506" s="23">
        <f t="shared" si="22"/>
        <v>43770</v>
      </c>
      <c r="B1506" s="5" t="s">
        <v>155</v>
      </c>
      <c r="C1506" s="5">
        <v>-151714</v>
      </c>
      <c r="D1506" s="5" t="str">
        <f>_xlfn.XLOOKUP(fOrcado[[#This Row],[Conta]],'Plano de Contas'!A:A,'Plano de Contas'!C:C)</f>
        <v>(-) Custos de Vendas</v>
      </c>
      <c r="E1506" s="5" t="str">
        <f>_xlfn.XLOOKUP(fOrcado[[#This Row],[Conta]],'Plano de Contas'!A:A,'Plano de Contas'!D:D)</f>
        <v>05 - Custo do Produto</v>
      </c>
    </row>
    <row r="1507" spans="1:5" x14ac:dyDescent="0.25">
      <c r="A1507" s="23">
        <f t="shared" si="22"/>
        <v>43770</v>
      </c>
      <c r="B1507" s="5" t="s">
        <v>156</v>
      </c>
      <c r="C1507" s="5">
        <v>-120594</v>
      </c>
      <c r="D1507" s="5" t="str">
        <f>_xlfn.XLOOKUP(fOrcado[[#This Row],[Conta]],'Plano de Contas'!A:A,'Plano de Contas'!C:C)</f>
        <v>(-) Custos de Vendas</v>
      </c>
      <c r="E1507" s="5" t="str">
        <f>_xlfn.XLOOKUP(fOrcado[[#This Row],[Conta]],'Plano de Contas'!A:A,'Plano de Contas'!D:D)</f>
        <v>05 - Custo do Produto</v>
      </c>
    </row>
    <row r="1508" spans="1:5" x14ac:dyDescent="0.25">
      <c r="A1508" s="23">
        <f t="shared" si="22"/>
        <v>43770</v>
      </c>
      <c r="B1508" s="5" t="s">
        <v>157</v>
      </c>
      <c r="C1508" s="5">
        <v>-121809</v>
      </c>
      <c r="D1508" s="5" t="str">
        <f>_xlfn.XLOOKUP(fOrcado[[#This Row],[Conta]],'Plano de Contas'!A:A,'Plano de Contas'!C:C)</f>
        <v>(-) Custos de Vendas</v>
      </c>
      <c r="E1508" s="5" t="str">
        <f>_xlfn.XLOOKUP(fOrcado[[#This Row],[Conta]],'Plano de Contas'!A:A,'Plano de Contas'!D:D)</f>
        <v>05 - Custo do Produto</v>
      </c>
    </row>
    <row r="1509" spans="1:5" x14ac:dyDescent="0.25">
      <c r="A1509" s="23">
        <f t="shared" si="22"/>
        <v>43770</v>
      </c>
      <c r="B1509" s="5" t="s">
        <v>158</v>
      </c>
      <c r="C1509" s="5">
        <v>-261896</v>
      </c>
      <c r="D1509" s="5" t="str">
        <f>_xlfn.XLOOKUP(fOrcado[[#This Row],[Conta]],'Plano de Contas'!A:A,'Plano de Contas'!C:C)</f>
        <v>(-) Custos de Vendas</v>
      </c>
      <c r="E1509" s="5" t="str">
        <f>_xlfn.XLOOKUP(fOrcado[[#This Row],[Conta]],'Plano de Contas'!A:A,'Plano de Contas'!D:D)</f>
        <v>05 - Custo do Produto</v>
      </c>
    </row>
    <row r="1510" spans="1:5" x14ac:dyDescent="0.25">
      <c r="A1510" s="23">
        <f t="shared" si="22"/>
        <v>43770</v>
      </c>
      <c r="B1510" s="5" t="s">
        <v>159</v>
      </c>
      <c r="C1510" s="5">
        <v>-256426</v>
      </c>
      <c r="D1510" s="5" t="str">
        <f>_xlfn.XLOOKUP(fOrcado[[#This Row],[Conta]],'Plano de Contas'!A:A,'Plano de Contas'!C:C)</f>
        <v>(-) Custos de Vendas</v>
      </c>
      <c r="E1510" s="5" t="str">
        <f>_xlfn.XLOOKUP(fOrcado[[#This Row],[Conta]],'Plano de Contas'!A:A,'Plano de Contas'!D:D)</f>
        <v>05 - Custo do Produto</v>
      </c>
    </row>
    <row r="1511" spans="1:5" x14ac:dyDescent="0.25">
      <c r="A1511" s="23">
        <f t="shared" si="22"/>
        <v>43770</v>
      </c>
      <c r="B1511" s="5" t="s">
        <v>160</v>
      </c>
      <c r="C1511" s="5">
        <v>-187149</v>
      </c>
      <c r="D1511" s="5" t="str">
        <f>_xlfn.XLOOKUP(fOrcado[[#This Row],[Conta]],'Plano de Contas'!A:A,'Plano de Contas'!C:C)</f>
        <v>(-) Custos de Vendas</v>
      </c>
      <c r="E1511" s="5" t="str">
        <f>_xlfn.XLOOKUP(fOrcado[[#This Row],[Conta]],'Plano de Contas'!A:A,'Plano de Contas'!D:D)</f>
        <v>05 - Custo do Produto</v>
      </c>
    </row>
    <row r="1512" spans="1:5" x14ac:dyDescent="0.25">
      <c r="A1512" s="23">
        <f t="shared" si="22"/>
        <v>43770</v>
      </c>
      <c r="B1512" s="5" t="s">
        <v>161</v>
      </c>
      <c r="C1512" s="5">
        <v>-154132</v>
      </c>
      <c r="D1512" s="5" t="str">
        <f>_xlfn.XLOOKUP(fOrcado[[#This Row],[Conta]],'Plano de Contas'!A:A,'Plano de Contas'!C:C)</f>
        <v>(-) Custos de Vendas</v>
      </c>
      <c r="E1512" s="5" t="str">
        <f>_xlfn.XLOOKUP(fOrcado[[#This Row],[Conta]],'Plano de Contas'!A:A,'Plano de Contas'!D:D)</f>
        <v>05 - Custo do Produto</v>
      </c>
    </row>
    <row r="1513" spans="1:5" x14ac:dyDescent="0.25">
      <c r="A1513" s="23">
        <f t="shared" si="22"/>
        <v>43770</v>
      </c>
      <c r="B1513" s="5" t="s">
        <v>162</v>
      </c>
      <c r="C1513" s="5">
        <v>-228927</v>
      </c>
      <c r="D1513" s="5" t="str">
        <f>_xlfn.XLOOKUP(fOrcado[[#This Row],[Conta]],'Plano de Contas'!A:A,'Plano de Contas'!C:C)</f>
        <v>(-) Custos de Vendas</v>
      </c>
      <c r="E1513" s="5" t="str">
        <f>_xlfn.XLOOKUP(fOrcado[[#This Row],[Conta]],'Plano de Contas'!A:A,'Plano de Contas'!D:D)</f>
        <v>05 - Custo do Produto</v>
      </c>
    </row>
    <row r="1514" spans="1:5" x14ac:dyDescent="0.25">
      <c r="A1514" s="23">
        <f t="shared" si="22"/>
        <v>43770</v>
      </c>
      <c r="B1514" s="5" t="s">
        <v>163</v>
      </c>
      <c r="C1514" s="5">
        <v>-232855</v>
      </c>
      <c r="D1514" s="5" t="str">
        <f>_xlfn.XLOOKUP(fOrcado[[#This Row],[Conta]],'Plano de Contas'!A:A,'Plano de Contas'!C:C)</f>
        <v>(-) Custos de Vendas</v>
      </c>
      <c r="E1514" s="5" t="str">
        <f>_xlfn.XLOOKUP(fOrcado[[#This Row],[Conta]],'Plano de Contas'!A:A,'Plano de Contas'!D:D)</f>
        <v>05 - Custo do Produto</v>
      </c>
    </row>
    <row r="1515" spans="1:5" x14ac:dyDescent="0.25">
      <c r="A1515" s="23">
        <f t="shared" si="22"/>
        <v>43770</v>
      </c>
      <c r="B1515" s="5" t="s">
        <v>164</v>
      </c>
      <c r="C1515" s="5">
        <v>-90409</v>
      </c>
      <c r="D1515" s="5" t="str">
        <f>_xlfn.XLOOKUP(fOrcado[[#This Row],[Conta]],'Plano de Contas'!A:A,'Plano de Contas'!C:C)</f>
        <v>(-) Custos de Vendas</v>
      </c>
      <c r="E1515" s="5" t="str">
        <f>_xlfn.XLOOKUP(fOrcado[[#This Row],[Conta]],'Plano de Contas'!A:A,'Plano de Contas'!D:D)</f>
        <v>06 - Outros Custos</v>
      </c>
    </row>
    <row r="1516" spans="1:5" x14ac:dyDescent="0.25">
      <c r="A1516" s="23">
        <f t="shared" si="22"/>
        <v>43770</v>
      </c>
      <c r="B1516" s="5" t="s">
        <v>165</v>
      </c>
      <c r="C1516" s="5">
        <v>-82194</v>
      </c>
      <c r="D1516" s="5" t="str">
        <f>_xlfn.XLOOKUP(fOrcado[[#This Row],[Conta]],'Plano de Contas'!A:A,'Plano de Contas'!C:C)</f>
        <v>(-) Custos de Vendas</v>
      </c>
      <c r="E1516" s="5" t="str">
        <f>_xlfn.XLOOKUP(fOrcado[[#This Row],[Conta]],'Plano de Contas'!A:A,'Plano de Contas'!D:D)</f>
        <v>06 - Outros Custos</v>
      </c>
    </row>
    <row r="1517" spans="1:5" x14ac:dyDescent="0.25">
      <c r="A1517" s="23">
        <f t="shared" si="22"/>
        <v>43770</v>
      </c>
      <c r="B1517" s="5" t="s">
        <v>166</v>
      </c>
      <c r="C1517" s="5">
        <v>-91449</v>
      </c>
      <c r="D1517" s="5" t="str">
        <f>_xlfn.XLOOKUP(fOrcado[[#This Row],[Conta]],'Plano de Contas'!A:A,'Plano de Contas'!C:C)</f>
        <v>(-) Custos de Vendas</v>
      </c>
      <c r="E1517" s="5" t="str">
        <f>_xlfn.XLOOKUP(fOrcado[[#This Row],[Conta]],'Plano de Contas'!A:A,'Plano de Contas'!D:D)</f>
        <v>06 - Outros Custos</v>
      </c>
    </row>
    <row r="1518" spans="1:5" x14ac:dyDescent="0.25">
      <c r="A1518" s="23">
        <f t="shared" si="22"/>
        <v>43770</v>
      </c>
      <c r="B1518" s="5" t="s">
        <v>167</v>
      </c>
      <c r="C1518" s="5">
        <v>-149428</v>
      </c>
      <c r="D1518" s="5" t="str">
        <f>_xlfn.XLOOKUP(fOrcado[[#This Row],[Conta]],'Plano de Contas'!A:A,'Plano de Contas'!C:C)</f>
        <v>(-) Despesas Gerais</v>
      </c>
      <c r="E1518" s="5" t="str">
        <f>_xlfn.XLOOKUP(fOrcado[[#This Row],[Conta]],'Plano de Contas'!A:A,'Plano de Contas'!D:D)</f>
        <v>07 - Despesas Administrativas</v>
      </c>
    </row>
    <row r="1519" spans="1:5" x14ac:dyDescent="0.25">
      <c r="A1519" s="23">
        <f t="shared" si="22"/>
        <v>43770</v>
      </c>
      <c r="B1519" s="5" t="s">
        <v>168</v>
      </c>
      <c r="C1519" s="5">
        <v>-175586</v>
      </c>
      <c r="D1519" s="5" t="str">
        <f>_xlfn.XLOOKUP(fOrcado[[#This Row],[Conta]],'Plano de Contas'!A:A,'Plano de Contas'!C:C)</f>
        <v>(-) Despesas Gerais</v>
      </c>
      <c r="E1519" s="5" t="str">
        <f>_xlfn.XLOOKUP(fOrcado[[#This Row],[Conta]],'Plano de Contas'!A:A,'Plano de Contas'!D:D)</f>
        <v>07 - Despesas Administrativas</v>
      </c>
    </row>
    <row r="1520" spans="1:5" x14ac:dyDescent="0.25">
      <c r="A1520" s="23">
        <f t="shared" si="22"/>
        <v>43770</v>
      </c>
      <c r="B1520" s="5" t="s">
        <v>169</v>
      </c>
      <c r="C1520" s="5">
        <v>-274141</v>
      </c>
      <c r="D1520" s="5" t="str">
        <f>_xlfn.XLOOKUP(fOrcado[[#This Row],[Conta]],'Plano de Contas'!A:A,'Plano de Contas'!C:C)</f>
        <v>(-) Despesas Gerais</v>
      </c>
      <c r="E1520" s="5" t="str">
        <f>_xlfn.XLOOKUP(fOrcado[[#This Row],[Conta]],'Plano de Contas'!A:A,'Plano de Contas'!D:D)</f>
        <v>07 - Despesas Administrativas</v>
      </c>
    </row>
    <row r="1521" spans="1:5" x14ac:dyDescent="0.25">
      <c r="A1521" s="23">
        <f t="shared" si="22"/>
        <v>43770</v>
      </c>
      <c r="B1521" s="5" t="s">
        <v>170</v>
      </c>
      <c r="C1521" s="5">
        <v>-381848</v>
      </c>
      <c r="D1521" s="5" t="str">
        <f>_xlfn.XLOOKUP(fOrcado[[#This Row],[Conta]],'Plano de Contas'!A:A,'Plano de Contas'!C:C)</f>
        <v>(-) Despesas Gerais</v>
      </c>
      <c r="E1521" s="5" t="str">
        <f>_xlfn.XLOOKUP(fOrcado[[#This Row],[Conta]],'Plano de Contas'!A:A,'Plano de Contas'!D:D)</f>
        <v>07 - Despesas Administrativas</v>
      </c>
    </row>
    <row r="1522" spans="1:5" x14ac:dyDescent="0.25">
      <c r="A1522" s="23">
        <f t="shared" si="22"/>
        <v>43770</v>
      </c>
      <c r="B1522" s="5" t="s">
        <v>171</v>
      </c>
      <c r="C1522" s="5">
        <v>-384033</v>
      </c>
      <c r="D1522" s="5" t="str">
        <f>_xlfn.XLOOKUP(fOrcado[[#This Row],[Conta]],'Plano de Contas'!A:A,'Plano de Contas'!C:C)</f>
        <v>(-) Despesas Gerais</v>
      </c>
      <c r="E1522" s="5" t="str">
        <f>_xlfn.XLOOKUP(fOrcado[[#This Row],[Conta]],'Plano de Contas'!A:A,'Plano de Contas'!D:D)</f>
        <v>07 - Despesas Administrativas</v>
      </c>
    </row>
    <row r="1523" spans="1:5" x14ac:dyDescent="0.25">
      <c r="A1523" s="23">
        <f t="shared" si="22"/>
        <v>43770</v>
      </c>
      <c r="B1523" s="5" t="s">
        <v>172</v>
      </c>
      <c r="C1523" s="5">
        <v>-98030</v>
      </c>
      <c r="D1523" s="5" t="str">
        <f>_xlfn.XLOOKUP(fOrcado[[#This Row],[Conta]],'Plano de Contas'!A:A,'Plano de Contas'!C:C)</f>
        <v>(-) Despesas Gerais</v>
      </c>
      <c r="E1523" s="5" t="str">
        <f>_xlfn.XLOOKUP(fOrcado[[#This Row],[Conta]],'Plano de Contas'!A:A,'Plano de Contas'!D:D)</f>
        <v>07 - Despesas Administrativas</v>
      </c>
    </row>
    <row r="1524" spans="1:5" x14ac:dyDescent="0.25">
      <c r="A1524" s="23">
        <f t="shared" si="22"/>
        <v>43770</v>
      </c>
      <c r="B1524" s="5" t="s">
        <v>173</v>
      </c>
      <c r="C1524" s="5">
        <v>-41337</v>
      </c>
      <c r="D1524" s="5" t="str">
        <f>_xlfn.XLOOKUP(fOrcado[[#This Row],[Conta]],'Plano de Contas'!A:A,'Plano de Contas'!C:C)</f>
        <v>(-) Despesas Gerais</v>
      </c>
      <c r="E1524" s="5" t="str">
        <f>_xlfn.XLOOKUP(fOrcado[[#This Row],[Conta]],'Plano de Contas'!A:A,'Plano de Contas'!D:D)</f>
        <v>08 - Despesas Financeiras</v>
      </c>
    </row>
    <row r="1525" spans="1:5" x14ac:dyDescent="0.25">
      <c r="A1525" s="23">
        <f t="shared" si="22"/>
        <v>43770</v>
      </c>
      <c r="B1525" s="5" t="s">
        <v>174</v>
      </c>
      <c r="C1525" s="5">
        <v>-57258</v>
      </c>
      <c r="D1525" s="5" t="str">
        <f>_xlfn.XLOOKUP(fOrcado[[#This Row],[Conta]],'Plano de Contas'!A:A,'Plano de Contas'!C:C)</f>
        <v>(-) Despesas Gerais</v>
      </c>
      <c r="E1525" s="5" t="str">
        <f>_xlfn.XLOOKUP(fOrcado[[#This Row],[Conta]],'Plano de Contas'!A:A,'Plano de Contas'!D:D)</f>
        <v>08 - Despesas Financeiras</v>
      </c>
    </row>
    <row r="1526" spans="1:5" x14ac:dyDescent="0.25">
      <c r="A1526" s="23">
        <f t="shared" si="22"/>
        <v>43770</v>
      </c>
      <c r="B1526" s="5" t="s">
        <v>175</v>
      </c>
      <c r="C1526" s="5">
        <v>-43084</v>
      </c>
      <c r="D1526" s="5" t="str">
        <f>_xlfn.XLOOKUP(fOrcado[[#This Row],[Conta]],'Plano de Contas'!A:A,'Plano de Contas'!C:C)</f>
        <v>(-) Despesas Gerais</v>
      </c>
      <c r="E1526" s="5" t="str">
        <f>_xlfn.XLOOKUP(fOrcado[[#This Row],[Conta]],'Plano de Contas'!A:A,'Plano de Contas'!D:D)</f>
        <v>08 - Despesas Financeiras</v>
      </c>
    </row>
    <row r="1527" spans="1:5" x14ac:dyDescent="0.25">
      <c r="A1527" s="23">
        <f t="shared" si="22"/>
        <v>43770</v>
      </c>
      <c r="B1527" s="5" t="s">
        <v>176</v>
      </c>
      <c r="C1527" s="5">
        <v>-51936</v>
      </c>
      <c r="D1527" s="5" t="str">
        <f>_xlfn.XLOOKUP(fOrcado[[#This Row],[Conta]],'Plano de Contas'!A:A,'Plano de Contas'!C:C)</f>
        <v>(-) Despesas Gerais</v>
      </c>
      <c r="E1527" s="5" t="str">
        <f>_xlfn.XLOOKUP(fOrcado[[#This Row],[Conta]],'Plano de Contas'!A:A,'Plano de Contas'!D:D)</f>
        <v>08 - Despesas Financeiras</v>
      </c>
    </row>
    <row r="1528" spans="1:5" x14ac:dyDescent="0.25">
      <c r="A1528" s="23">
        <f t="shared" si="22"/>
        <v>43770</v>
      </c>
      <c r="B1528" s="5" t="s">
        <v>177</v>
      </c>
      <c r="C1528" s="5">
        <v>-59328</v>
      </c>
      <c r="D1528" s="5" t="str">
        <f>_xlfn.XLOOKUP(fOrcado[[#This Row],[Conta]],'Plano de Contas'!A:A,'Plano de Contas'!C:C)</f>
        <v>(-) Despesas Gerais</v>
      </c>
      <c r="E1528" s="5" t="str">
        <f>_xlfn.XLOOKUP(fOrcado[[#This Row],[Conta]],'Plano de Contas'!A:A,'Plano de Contas'!D:D)</f>
        <v>08 - Despesas Financeiras</v>
      </c>
    </row>
    <row r="1529" spans="1:5" x14ac:dyDescent="0.25">
      <c r="A1529" s="23">
        <f t="shared" si="22"/>
        <v>43770</v>
      </c>
      <c r="B1529" s="5" t="s">
        <v>178</v>
      </c>
      <c r="C1529" s="5">
        <v>-272366</v>
      </c>
      <c r="D1529" s="5" t="str">
        <f>_xlfn.XLOOKUP(fOrcado[[#This Row],[Conta]],'Plano de Contas'!A:A,'Plano de Contas'!C:C)</f>
        <v>(-) Despesas Gerais</v>
      </c>
      <c r="E1529" s="5" t="str">
        <f>_xlfn.XLOOKUP(fOrcado[[#This Row],[Conta]],'Plano de Contas'!A:A,'Plano de Contas'!D:D)</f>
        <v>09 - Tecnologia da Informação</v>
      </c>
    </row>
    <row r="1530" spans="1:5" x14ac:dyDescent="0.25">
      <c r="A1530" s="23">
        <f t="shared" si="22"/>
        <v>43770</v>
      </c>
      <c r="B1530" s="5" t="s">
        <v>179</v>
      </c>
      <c r="C1530" s="5">
        <v>-117979</v>
      </c>
      <c r="D1530" s="5" t="str">
        <f>_xlfn.XLOOKUP(fOrcado[[#This Row],[Conta]],'Plano de Contas'!A:A,'Plano de Contas'!C:C)</f>
        <v>(-) Despesas Gerais</v>
      </c>
      <c r="E1530" s="5" t="str">
        <f>_xlfn.XLOOKUP(fOrcado[[#This Row],[Conta]],'Plano de Contas'!A:A,'Plano de Contas'!D:D)</f>
        <v>09 - Tecnologia da Informação</v>
      </c>
    </row>
    <row r="1531" spans="1:5" x14ac:dyDescent="0.25">
      <c r="A1531" s="23">
        <f t="shared" si="22"/>
        <v>43770</v>
      </c>
      <c r="B1531" s="5" t="s">
        <v>180</v>
      </c>
      <c r="C1531" s="5">
        <v>-270941</v>
      </c>
      <c r="D1531" s="5" t="str">
        <f>_xlfn.XLOOKUP(fOrcado[[#This Row],[Conta]],'Plano de Contas'!A:A,'Plano de Contas'!C:C)</f>
        <v>(-) Despesas Gerais</v>
      </c>
      <c r="E1531" s="5" t="str">
        <f>_xlfn.XLOOKUP(fOrcado[[#This Row],[Conta]],'Plano de Contas'!A:A,'Plano de Contas'!D:D)</f>
        <v>09 - Tecnologia da Informação</v>
      </c>
    </row>
    <row r="1532" spans="1:5" x14ac:dyDescent="0.25">
      <c r="A1532" s="23">
        <f t="shared" si="22"/>
        <v>43770</v>
      </c>
      <c r="B1532" s="5" t="s">
        <v>181</v>
      </c>
      <c r="C1532" s="5">
        <v>-81414</v>
      </c>
      <c r="D1532" s="5" t="str">
        <f>_xlfn.XLOOKUP(fOrcado[[#This Row],[Conta]],'Plano de Contas'!A:A,'Plano de Contas'!C:C)</f>
        <v>(-) Despesas Gerais</v>
      </c>
      <c r="E1532" s="5" t="str">
        <f>_xlfn.XLOOKUP(fOrcado[[#This Row],[Conta]],'Plano de Contas'!A:A,'Plano de Contas'!D:D)</f>
        <v>10 - Recursos Humanos</v>
      </c>
    </row>
    <row r="1533" spans="1:5" x14ac:dyDescent="0.25">
      <c r="A1533" s="23">
        <f t="shared" si="22"/>
        <v>43770</v>
      </c>
      <c r="B1533" s="5" t="s">
        <v>182</v>
      </c>
      <c r="C1533" s="5">
        <v>-69816</v>
      </c>
      <c r="D1533" s="5" t="str">
        <f>_xlfn.XLOOKUP(fOrcado[[#This Row],[Conta]],'Plano de Contas'!A:A,'Plano de Contas'!C:C)</f>
        <v>(-) Despesas Gerais</v>
      </c>
      <c r="E1533" s="5" t="str">
        <f>_xlfn.XLOOKUP(fOrcado[[#This Row],[Conta]],'Plano de Contas'!A:A,'Plano de Contas'!D:D)</f>
        <v>10 - Recursos Humanos</v>
      </c>
    </row>
    <row r="1534" spans="1:5" x14ac:dyDescent="0.25">
      <c r="A1534" s="23">
        <f t="shared" si="22"/>
        <v>43770</v>
      </c>
      <c r="B1534" s="5" t="s">
        <v>183</v>
      </c>
      <c r="C1534" s="5">
        <v>-85950</v>
      </c>
      <c r="D1534" s="5" t="str">
        <f>_xlfn.XLOOKUP(fOrcado[[#This Row],[Conta]],'Plano de Contas'!A:A,'Plano de Contas'!C:C)</f>
        <v>(-) Despesas Gerais</v>
      </c>
      <c r="E1534" s="5" t="str">
        <f>_xlfn.XLOOKUP(fOrcado[[#This Row],[Conta]],'Plano de Contas'!A:A,'Plano de Contas'!D:D)</f>
        <v>10 - Recursos Humanos</v>
      </c>
    </row>
    <row r="1535" spans="1:5" x14ac:dyDescent="0.25">
      <c r="A1535" s="23">
        <f t="shared" si="22"/>
        <v>43770</v>
      </c>
      <c r="B1535" s="5" t="s">
        <v>184</v>
      </c>
      <c r="C1535" s="5">
        <v>-75529</v>
      </c>
      <c r="D1535" s="5" t="str">
        <f>_xlfn.XLOOKUP(fOrcado[[#This Row],[Conta]],'Plano de Contas'!A:A,'Plano de Contas'!C:C)</f>
        <v>(-) Despesas Gerais</v>
      </c>
      <c r="E1535" s="5" t="str">
        <f>_xlfn.XLOOKUP(fOrcado[[#This Row],[Conta]],'Plano de Contas'!A:A,'Plano de Contas'!D:D)</f>
        <v>10 - Recursos Humanos</v>
      </c>
    </row>
    <row r="1536" spans="1:5" x14ac:dyDescent="0.25">
      <c r="A1536" s="23">
        <f t="shared" si="22"/>
        <v>43770</v>
      </c>
      <c r="B1536" s="5" t="s">
        <v>185</v>
      </c>
      <c r="C1536" s="5">
        <v>-84635</v>
      </c>
      <c r="D1536" s="5" t="str">
        <f>_xlfn.XLOOKUP(fOrcado[[#This Row],[Conta]],'Plano de Contas'!A:A,'Plano de Contas'!C:C)</f>
        <v>(-) Despesas Gerais</v>
      </c>
      <c r="E1536" s="5" t="str">
        <f>_xlfn.XLOOKUP(fOrcado[[#This Row],[Conta]],'Plano de Contas'!A:A,'Plano de Contas'!D:D)</f>
        <v>11 - Relacionamento com Cliente</v>
      </c>
    </row>
    <row r="1537" spans="1:5" x14ac:dyDescent="0.25">
      <c r="A1537" s="23">
        <f t="shared" si="22"/>
        <v>43770</v>
      </c>
      <c r="B1537" s="5" t="s">
        <v>186</v>
      </c>
      <c r="C1537" s="5">
        <v>-111254</v>
      </c>
      <c r="D1537" s="5" t="str">
        <f>_xlfn.XLOOKUP(fOrcado[[#This Row],[Conta]],'Plano de Contas'!A:A,'Plano de Contas'!C:C)</f>
        <v>(-) Despesas Gerais</v>
      </c>
      <c r="E1537" s="5" t="str">
        <f>_xlfn.XLOOKUP(fOrcado[[#This Row],[Conta]],'Plano de Contas'!A:A,'Plano de Contas'!D:D)</f>
        <v>11 - Relacionamento com Cliente</v>
      </c>
    </row>
    <row r="1538" spans="1:5" x14ac:dyDescent="0.25">
      <c r="A1538" s="23">
        <f t="shared" si="22"/>
        <v>43770</v>
      </c>
      <c r="B1538" s="5" t="s">
        <v>187</v>
      </c>
      <c r="C1538" s="5">
        <v>-126059</v>
      </c>
      <c r="D1538" s="5" t="str">
        <f>_xlfn.XLOOKUP(fOrcado[[#This Row],[Conta]],'Plano de Contas'!A:A,'Plano de Contas'!C:C)</f>
        <v>(-) Despesas Gerais</v>
      </c>
      <c r="E1538" s="5" t="str">
        <f>_xlfn.XLOOKUP(fOrcado[[#This Row],[Conta]],'Plano de Contas'!A:A,'Plano de Contas'!D:D)</f>
        <v>12 - Marketing e Divulgação</v>
      </c>
    </row>
    <row r="1539" spans="1:5" x14ac:dyDescent="0.25">
      <c r="A1539" s="23">
        <f t="shared" si="22"/>
        <v>43770</v>
      </c>
      <c r="B1539" s="5" t="s">
        <v>188</v>
      </c>
      <c r="C1539" s="5">
        <v>-208599</v>
      </c>
      <c r="D1539" s="5" t="str">
        <f>_xlfn.XLOOKUP(fOrcado[[#This Row],[Conta]],'Plano de Contas'!A:A,'Plano de Contas'!C:C)</f>
        <v>(-) Despesas Gerais</v>
      </c>
      <c r="E1539" s="5" t="str">
        <f>_xlfn.XLOOKUP(fOrcado[[#This Row],[Conta]],'Plano de Contas'!A:A,'Plano de Contas'!D:D)</f>
        <v>12 - Marketing e Divulgação</v>
      </c>
    </row>
    <row r="1540" spans="1:5" x14ac:dyDescent="0.25">
      <c r="A1540" s="23">
        <f t="shared" si="22"/>
        <v>43770</v>
      </c>
      <c r="B1540" s="5" t="s">
        <v>189</v>
      </c>
      <c r="C1540" s="5">
        <v>-8518</v>
      </c>
      <c r="D1540" s="5" t="str">
        <f>_xlfn.XLOOKUP(fOrcado[[#This Row],[Conta]],'Plano de Contas'!A:A,'Plano de Contas'!C:C)</f>
        <v>(-) Impostos</v>
      </c>
      <c r="E1540" s="5" t="str">
        <f>_xlfn.XLOOKUP(fOrcado[[#This Row],[Conta]],'Plano de Contas'!A:A,'Plano de Contas'!D:D)</f>
        <v>13 - Impostos Estaduais</v>
      </c>
    </row>
    <row r="1541" spans="1:5" x14ac:dyDescent="0.25">
      <c r="A1541" s="23">
        <f t="shared" si="22"/>
        <v>43770</v>
      </c>
      <c r="B1541" s="5" t="s">
        <v>190</v>
      </c>
      <c r="C1541" s="5">
        <v>-15847</v>
      </c>
      <c r="D1541" s="5" t="str">
        <f>_xlfn.XLOOKUP(fOrcado[[#This Row],[Conta]],'Plano de Contas'!A:A,'Plano de Contas'!C:C)</f>
        <v>(-) Impostos</v>
      </c>
      <c r="E1541" s="5" t="str">
        <f>_xlfn.XLOOKUP(fOrcado[[#This Row],[Conta]],'Plano de Contas'!A:A,'Plano de Contas'!D:D)</f>
        <v>14 - Impostos Federais</v>
      </c>
    </row>
    <row r="1542" spans="1:5" x14ac:dyDescent="0.25">
      <c r="A1542" s="23">
        <f t="shared" si="22"/>
        <v>43800</v>
      </c>
      <c r="B1542" s="5" t="s">
        <v>51</v>
      </c>
      <c r="C1542" s="5">
        <v>250401</v>
      </c>
      <c r="D1542" s="5" t="str">
        <f>_xlfn.XLOOKUP(fOrcado[[#This Row],[Conta]],'Plano de Contas'!A:A,'Plano de Contas'!C:C)</f>
        <v>(+) RECEITA BRUTA</v>
      </c>
      <c r="E1542" s="5" t="str">
        <f>_xlfn.XLOOKUP(fOrcado[[#This Row],[Conta]],'Plano de Contas'!A:A,'Plano de Contas'!D:D)</f>
        <v>01 - Vendas de Produtos</v>
      </c>
    </row>
    <row r="1543" spans="1:5" x14ac:dyDescent="0.25">
      <c r="A1543" s="23">
        <f t="shared" si="22"/>
        <v>43800</v>
      </c>
      <c r="B1543" s="5" t="s">
        <v>52</v>
      </c>
      <c r="C1543" s="5">
        <v>595269</v>
      </c>
      <c r="D1543" s="5" t="str">
        <f>_xlfn.XLOOKUP(fOrcado[[#This Row],[Conta]],'Plano de Contas'!A:A,'Plano de Contas'!C:C)</f>
        <v>(+) RECEITA BRUTA</v>
      </c>
      <c r="E1543" s="5" t="str">
        <f>_xlfn.XLOOKUP(fOrcado[[#This Row],[Conta]],'Plano de Contas'!A:A,'Plano de Contas'!D:D)</f>
        <v>01 - Vendas de Produtos</v>
      </c>
    </row>
    <row r="1544" spans="1:5" x14ac:dyDescent="0.25">
      <c r="A1544" s="23">
        <f t="shared" ref="A1544:A1607" si="23">EDATE(A1404,1)</f>
        <v>43800</v>
      </c>
      <c r="B1544" s="5" t="s">
        <v>53</v>
      </c>
      <c r="C1544" s="5">
        <v>348180</v>
      </c>
      <c r="D1544" s="5" t="str">
        <f>_xlfn.XLOOKUP(fOrcado[[#This Row],[Conta]],'Plano de Contas'!A:A,'Plano de Contas'!C:C)</f>
        <v>(+) RECEITA BRUTA</v>
      </c>
      <c r="E1544" s="5" t="str">
        <f>_xlfn.XLOOKUP(fOrcado[[#This Row],[Conta]],'Plano de Contas'!A:A,'Plano de Contas'!D:D)</f>
        <v>01 - Vendas de Produtos</v>
      </c>
    </row>
    <row r="1545" spans="1:5" x14ac:dyDescent="0.25">
      <c r="A1545" s="23">
        <f t="shared" si="23"/>
        <v>43800</v>
      </c>
      <c r="B1545" s="5" t="s">
        <v>54</v>
      </c>
      <c r="C1545" s="5">
        <v>733392</v>
      </c>
      <c r="D1545" s="5" t="str">
        <f>_xlfn.XLOOKUP(fOrcado[[#This Row],[Conta]],'Plano de Contas'!A:A,'Plano de Contas'!C:C)</f>
        <v>(+) RECEITA BRUTA</v>
      </c>
      <c r="E1545" s="5" t="str">
        <f>_xlfn.XLOOKUP(fOrcado[[#This Row],[Conta]],'Plano de Contas'!A:A,'Plano de Contas'!D:D)</f>
        <v>01 - Vendas de Produtos</v>
      </c>
    </row>
    <row r="1546" spans="1:5" x14ac:dyDescent="0.25">
      <c r="A1546" s="23">
        <f t="shared" si="23"/>
        <v>43800</v>
      </c>
      <c r="B1546" s="5" t="s">
        <v>55</v>
      </c>
      <c r="C1546" s="5">
        <v>794437</v>
      </c>
      <c r="D1546" s="5" t="str">
        <f>_xlfn.XLOOKUP(fOrcado[[#This Row],[Conta]],'Plano de Contas'!A:A,'Plano de Contas'!C:C)</f>
        <v>(+) RECEITA BRUTA</v>
      </c>
      <c r="E1546" s="5" t="str">
        <f>_xlfn.XLOOKUP(fOrcado[[#This Row],[Conta]],'Plano de Contas'!A:A,'Plano de Contas'!D:D)</f>
        <v>01 - Vendas de Produtos</v>
      </c>
    </row>
    <row r="1547" spans="1:5" x14ac:dyDescent="0.25">
      <c r="A1547" s="23">
        <f t="shared" si="23"/>
        <v>43800</v>
      </c>
      <c r="B1547" s="5" t="s">
        <v>56</v>
      </c>
      <c r="C1547" s="5">
        <v>297553</v>
      </c>
      <c r="D1547" s="5" t="str">
        <f>_xlfn.XLOOKUP(fOrcado[[#This Row],[Conta]],'Plano de Contas'!A:A,'Plano de Contas'!C:C)</f>
        <v>(+) RECEITA BRUTA</v>
      </c>
      <c r="E1547" s="5" t="str">
        <f>_xlfn.XLOOKUP(fOrcado[[#This Row],[Conta]],'Plano de Contas'!A:A,'Plano de Contas'!D:D)</f>
        <v>01 - Vendas de Produtos</v>
      </c>
    </row>
    <row r="1548" spans="1:5" x14ac:dyDescent="0.25">
      <c r="A1548" s="23">
        <f t="shared" si="23"/>
        <v>43800</v>
      </c>
      <c r="B1548" s="5" t="s">
        <v>57</v>
      </c>
      <c r="C1548" s="5">
        <v>523171</v>
      </c>
      <c r="D1548" s="5" t="str">
        <f>_xlfn.XLOOKUP(fOrcado[[#This Row],[Conta]],'Plano de Contas'!A:A,'Plano de Contas'!C:C)</f>
        <v>(+) RECEITA BRUTA</v>
      </c>
      <c r="E1548" s="5" t="str">
        <f>_xlfn.XLOOKUP(fOrcado[[#This Row],[Conta]],'Plano de Contas'!A:A,'Plano de Contas'!D:D)</f>
        <v>01 - Vendas de Produtos</v>
      </c>
    </row>
    <row r="1549" spans="1:5" x14ac:dyDescent="0.25">
      <c r="A1549" s="23">
        <f t="shared" si="23"/>
        <v>43800</v>
      </c>
      <c r="B1549" s="5" t="s">
        <v>58</v>
      </c>
      <c r="C1549" s="5">
        <v>476484</v>
      </c>
      <c r="D1549" s="5" t="str">
        <f>_xlfn.XLOOKUP(fOrcado[[#This Row],[Conta]],'Plano de Contas'!A:A,'Plano de Contas'!C:C)</f>
        <v>(+) RECEITA BRUTA</v>
      </c>
      <c r="E1549" s="5" t="str">
        <f>_xlfn.XLOOKUP(fOrcado[[#This Row],[Conta]],'Plano de Contas'!A:A,'Plano de Contas'!D:D)</f>
        <v>01 - Vendas de Produtos</v>
      </c>
    </row>
    <row r="1550" spans="1:5" x14ac:dyDescent="0.25">
      <c r="A1550" s="23">
        <f t="shared" si="23"/>
        <v>43800</v>
      </c>
      <c r="B1550" s="5" t="s">
        <v>59</v>
      </c>
      <c r="C1550" s="5">
        <v>544175</v>
      </c>
      <c r="D1550" s="5" t="str">
        <f>_xlfn.XLOOKUP(fOrcado[[#This Row],[Conta]],'Plano de Contas'!A:A,'Plano de Contas'!C:C)</f>
        <v>(+) RECEITA BRUTA</v>
      </c>
      <c r="E1550" s="5" t="str">
        <f>_xlfn.XLOOKUP(fOrcado[[#This Row],[Conta]],'Plano de Contas'!A:A,'Plano de Contas'!D:D)</f>
        <v>01 - Vendas de Produtos</v>
      </c>
    </row>
    <row r="1551" spans="1:5" x14ac:dyDescent="0.25">
      <c r="A1551" s="23">
        <f t="shared" si="23"/>
        <v>43800</v>
      </c>
      <c r="B1551" s="5" t="s">
        <v>60</v>
      </c>
      <c r="C1551" s="5">
        <v>651758</v>
      </c>
      <c r="D1551" s="5" t="str">
        <f>_xlfn.XLOOKUP(fOrcado[[#This Row],[Conta]],'Plano de Contas'!A:A,'Plano de Contas'!C:C)</f>
        <v>(+) RECEITA BRUTA</v>
      </c>
      <c r="E1551" s="5" t="str">
        <f>_xlfn.XLOOKUP(fOrcado[[#This Row],[Conta]],'Plano de Contas'!A:A,'Plano de Contas'!D:D)</f>
        <v>01 - Vendas de Produtos</v>
      </c>
    </row>
    <row r="1552" spans="1:5" x14ac:dyDescent="0.25">
      <c r="A1552" s="23">
        <f t="shared" si="23"/>
        <v>43800</v>
      </c>
      <c r="B1552" s="5" t="s">
        <v>61</v>
      </c>
      <c r="C1552" s="5">
        <v>581921</v>
      </c>
      <c r="D1552" s="5" t="str">
        <f>_xlfn.XLOOKUP(fOrcado[[#This Row],[Conta]],'Plano de Contas'!A:A,'Plano de Contas'!C:C)</f>
        <v>(+) RECEITA BRUTA</v>
      </c>
      <c r="E1552" s="5" t="str">
        <f>_xlfn.XLOOKUP(fOrcado[[#This Row],[Conta]],'Plano de Contas'!A:A,'Plano de Contas'!D:D)</f>
        <v>01 - Vendas de Produtos</v>
      </c>
    </row>
    <row r="1553" spans="1:5" x14ac:dyDescent="0.25">
      <c r="A1553" s="23">
        <f t="shared" si="23"/>
        <v>43800</v>
      </c>
      <c r="B1553" s="5" t="s">
        <v>62</v>
      </c>
      <c r="C1553" s="5">
        <v>399547</v>
      </c>
      <c r="D1553" s="5" t="str">
        <f>_xlfn.XLOOKUP(fOrcado[[#This Row],[Conta]],'Plano de Contas'!A:A,'Plano de Contas'!C:C)</f>
        <v>(+) RECEITA BRUTA</v>
      </c>
      <c r="E1553" s="5" t="str">
        <f>_xlfn.XLOOKUP(fOrcado[[#This Row],[Conta]],'Plano de Contas'!A:A,'Plano de Contas'!D:D)</f>
        <v>01 - Vendas de Produtos</v>
      </c>
    </row>
    <row r="1554" spans="1:5" x14ac:dyDescent="0.25">
      <c r="A1554" s="23">
        <f t="shared" si="23"/>
        <v>43800</v>
      </c>
      <c r="B1554" s="5" t="s">
        <v>63</v>
      </c>
      <c r="C1554" s="5">
        <v>575779</v>
      </c>
      <c r="D1554" s="5" t="str">
        <f>_xlfn.XLOOKUP(fOrcado[[#This Row],[Conta]],'Plano de Contas'!A:A,'Plano de Contas'!C:C)</f>
        <v>(+) RECEITA BRUTA</v>
      </c>
      <c r="E1554" s="5" t="str">
        <f>_xlfn.XLOOKUP(fOrcado[[#This Row],[Conta]],'Plano de Contas'!A:A,'Plano de Contas'!D:D)</f>
        <v>01 - Vendas de Produtos</v>
      </c>
    </row>
    <row r="1555" spans="1:5" x14ac:dyDescent="0.25">
      <c r="A1555" s="23">
        <f t="shared" si="23"/>
        <v>43800</v>
      </c>
      <c r="B1555" s="5" t="s">
        <v>64</v>
      </c>
      <c r="C1555" s="5">
        <v>603435</v>
      </c>
      <c r="D1555" s="5" t="str">
        <f>_xlfn.XLOOKUP(fOrcado[[#This Row],[Conta]],'Plano de Contas'!A:A,'Plano de Contas'!C:C)</f>
        <v>(+) RECEITA BRUTA</v>
      </c>
      <c r="E1555" s="5" t="str">
        <f>_xlfn.XLOOKUP(fOrcado[[#This Row],[Conta]],'Plano de Contas'!A:A,'Plano de Contas'!D:D)</f>
        <v>01 - Vendas de Produtos</v>
      </c>
    </row>
    <row r="1556" spans="1:5" x14ac:dyDescent="0.25">
      <c r="A1556" s="23">
        <f t="shared" si="23"/>
        <v>43800</v>
      </c>
      <c r="B1556" s="5" t="s">
        <v>65</v>
      </c>
      <c r="C1556" s="5">
        <v>370626</v>
      </c>
      <c r="D1556" s="5" t="str">
        <f>_xlfn.XLOOKUP(fOrcado[[#This Row],[Conta]],'Plano de Contas'!A:A,'Plano de Contas'!C:C)</f>
        <v>(+) RECEITA BRUTA</v>
      </c>
      <c r="E1556" s="5" t="str">
        <f>_xlfn.XLOOKUP(fOrcado[[#This Row],[Conta]],'Plano de Contas'!A:A,'Plano de Contas'!D:D)</f>
        <v>01 - Vendas de Produtos</v>
      </c>
    </row>
    <row r="1557" spans="1:5" x14ac:dyDescent="0.25">
      <c r="A1557" s="23">
        <f t="shared" si="23"/>
        <v>43800</v>
      </c>
      <c r="B1557" s="5" t="s">
        <v>66</v>
      </c>
      <c r="C1557" s="5">
        <v>845462</v>
      </c>
      <c r="D1557" s="5" t="str">
        <f>_xlfn.XLOOKUP(fOrcado[[#This Row],[Conta]],'Plano de Contas'!A:A,'Plano de Contas'!C:C)</f>
        <v>(+) RECEITA BRUTA</v>
      </c>
      <c r="E1557" s="5" t="str">
        <f>_xlfn.XLOOKUP(fOrcado[[#This Row],[Conta]],'Plano de Contas'!A:A,'Plano de Contas'!D:D)</f>
        <v>01 - Vendas de Produtos</v>
      </c>
    </row>
    <row r="1558" spans="1:5" x14ac:dyDescent="0.25">
      <c r="A1558" s="23">
        <f t="shared" si="23"/>
        <v>43800</v>
      </c>
      <c r="B1558" s="5" t="s">
        <v>67</v>
      </c>
      <c r="C1558" s="5">
        <v>876094</v>
      </c>
      <c r="D1558" s="5" t="str">
        <f>_xlfn.XLOOKUP(fOrcado[[#This Row],[Conta]],'Plano de Contas'!A:A,'Plano de Contas'!C:C)</f>
        <v>(+) RECEITA BRUTA</v>
      </c>
      <c r="E1558" s="5" t="str">
        <f>_xlfn.XLOOKUP(fOrcado[[#This Row],[Conta]],'Plano de Contas'!A:A,'Plano de Contas'!D:D)</f>
        <v>01 - Vendas de Produtos</v>
      </c>
    </row>
    <row r="1559" spans="1:5" x14ac:dyDescent="0.25">
      <c r="A1559" s="23">
        <f t="shared" si="23"/>
        <v>43800</v>
      </c>
      <c r="B1559" s="5" t="s">
        <v>68</v>
      </c>
      <c r="C1559" s="5">
        <v>530288</v>
      </c>
      <c r="D1559" s="5" t="str">
        <f>_xlfn.XLOOKUP(fOrcado[[#This Row],[Conta]],'Plano de Contas'!A:A,'Plano de Contas'!C:C)</f>
        <v>(+) RECEITA BRUTA</v>
      </c>
      <c r="E1559" s="5" t="str">
        <f>_xlfn.XLOOKUP(fOrcado[[#This Row],[Conta]],'Plano de Contas'!A:A,'Plano de Contas'!D:D)</f>
        <v>01 - Vendas de Produtos</v>
      </c>
    </row>
    <row r="1560" spans="1:5" x14ac:dyDescent="0.25">
      <c r="A1560" s="23">
        <f t="shared" si="23"/>
        <v>43800</v>
      </c>
      <c r="B1560" s="5" t="s">
        <v>69</v>
      </c>
      <c r="C1560" s="5">
        <v>672881</v>
      </c>
      <c r="D1560" s="5" t="str">
        <f>_xlfn.XLOOKUP(fOrcado[[#This Row],[Conta]],'Plano de Contas'!A:A,'Plano de Contas'!C:C)</f>
        <v>(+) RECEITA BRUTA</v>
      </c>
      <c r="E1560" s="5" t="str">
        <f>_xlfn.XLOOKUP(fOrcado[[#This Row],[Conta]],'Plano de Contas'!A:A,'Plano de Contas'!D:D)</f>
        <v>01 - Vendas de Produtos</v>
      </c>
    </row>
    <row r="1561" spans="1:5" x14ac:dyDescent="0.25">
      <c r="A1561" s="23">
        <f t="shared" si="23"/>
        <v>43800</v>
      </c>
      <c r="B1561" s="5" t="s">
        <v>70</v>
      </c>
      <c r="C1561" s="5">
        <v>487643</v>
      </c>
      <c r="D1561" s="5" t="str">
        <f>_xlfn.XLOOKUP(fOrcado[[#This Row],[Conta]],'Plano de Contas'!A:A,'Plano de Contas'!C:C)</f>
        <v>(+) RECEITA BRUTA</v>
      </c>
      <c r="E1561" s="5" t="str">
        <f>_xlfn.XLOOKUP(fOrcado[[#This Row],[Conta]],'Plano de Contas'!A:A,'Plano de Contas'!D:D)</f>
        <v>01 - Vendas de Produtos</v>
      </c>
    </row>
    <row r="1562" spans="1:5" x14ac:dyDescent="0.25">
      <c r="A1562" s="23">
        <f t="shared" si="23"/>
        <v>43800</v>
      </c>
      <c r="B1562" s="5" t="s">
        <v>71</v>
      </c>
      <c r="C1562" s="5">
        <v>881284</v>
      </c>
      <c r="D1562" s="5" t="str">
        <f>_xlfn.XLOOKUP(fOrcado[[#This Row],[Conta]],'Plano de Contas'!A:A,'Plano de Contas'!C:C)</f>
        <v>(+) RECEITA BRUTA</v>
      </c>
      <c r="E1562" s="5" t="str">
        <f>_xlfn.XLOOKUP(fOrcado[[#This Row],[Conta]],'Plano de Contas'!A:A,'Plano de Contas'!D:D)</f>
        <v>01 - Vendas de Produtos</v>
      </c>
    </row>
    <row r="1563" spans="1:5" x14ac:dyDescent="0.25">
      <c r="A1563" s="23">
        <f t="shared" si="23"/>
        <v>43800</v>
      </c>
      <c r="B1563" s="5" t="s">
        <v>72</v>
      </c>
      <c r="C1563" s="5">
        <v>697234</v>
      </c>
      <c r="D1563" s="5" t="str">
        <f>_xlfn.XLOOKUP(fOrcado[[#This Row],[Conta]],'Plano de Contas'!A:A,'Plano de Contas'!C:C)</f>
        <v>(+) RECEITA BRUTA</v>
      </c>
      <c r="E1563" s="5" t="str">
        <f>_xlfn.XLOOKUP(fOrcado[[#This Row],[Conta]],'Plano de Contas'!A:A,'Plano de Contas'!D:D)</f>
        <v>01 - Vendas de Produtos</v>
      </c>
    </row>
    <row r="1564" spans="1:5" x14ac:dyDescent="0.25">
      <c r="A1564" s="23">
        <f t="shared" si="23"/>
        <v>43800</v>
      </c>
      <c r="B1564" s="5" t="s">
        <v>73</v>
      </c>
      <c r="C1564" s="5">
        <v>273938</v>
      </c>
      <c r="D1564" s="5" t="str">
        <f>_xlfn.XLOOKUP(fOrcado[[#This Row],[Conta]],'Plano de Contas'!A:A,'Plano de Contas'!C:C)</f>
        <v>(+) RECEITA BRUTA</v>
      </c>
      <c r="E1564" s="5" t="str">
        <f>_xlfn.XLOOKUP(fOrcado[[#This Row],[Conta]],'Plano de Contas'!A:A,'Plano de Contas'!D:D)</f>
        <v>01 - Vendas de Produtos</v>
      </c>
    </row>
    <row r="1565" spans="1:5" x14ac:dyDescent="0.25">
      <c r="A1565" s="23">
        <f t="shared" si="23"/>
        <v>43800</v>
      </c>
      <c r="B1565" s="5" t="s">
        <v>74</v>
      </c>
      <c r="C1565" s="5">
        <v>187932</v>
      </c>
      <c r="D1565" s="5" t="str">
        <f>_xlfn.XLOOKUP(fOrcado[[#This Row],[Conta]],'Plano de Contas'!A:A,'Plano de Contas'!C:C)</f>
        <v>(+) RECEITA BRUTA</v>
      </c>
      <c r="E1565" s="5" t="str">
        <f>_xlfn.XLOOKUP(fOrcado[[#This Row],[Conta]],'Plano de Contas'!A:A,'Plano de Contas'!D:D)</f>
        <v>01 - Vendas de Produtos</v>
      </c>
    </row>
    <row r="1566" spans="1:5" x14ac:dyDescent="0.25">
      <c r="A1566" s="23">
        <f t="shared" si="23"/>
        <v>43800</v>
      </c>
      <c r="B1566" s="5" t="s">
        <v>75</v>
      </c>
      <c r="C1566" s="5">
        <v>91201</v>
      </c>
      <c r="D1566" s="5" t="str">
        <f>_xlfn.XLOOKUP(fOrcado[[#This Row],[Conta]],'Plano de Contas'!A:A,'Plano de Contas'!C:C)</f>
        <v>(+) RECEITA BRUTA</v>
      </c>
      <c r="E1566" s="5" t="str">
        <f>_xlfn.XLOOKUP(fOrcado[[#This Row],[Conta]],'Plano de Contas'!A:A,'Plano de Contas'!D:D)</f>
        <v>02 - Outras Receitas</v>
      </c>
    </row>
    <row r="1567" spans="1:5" x14ac:dyDescent="0.25">
      <c r="A1567" s="23">
        <f t="shared" si="23"/>
        <v>43800</v>
      </c>
      <c r="B1567" s="5" t="s">
        <v>76</v>
      </c>
      <c r="C1567" s="5">
        <v>266496</v>
      </c>
      <c r="D1567" s="5" t="str">
        <f>_xlfn.XLOOKUP(fOrcado[[#This Row],[Conta]],'Plano de Contas'!A:A,'Plano de Contas'!C:C)</f>
        <v>(+) RECEITA BRUTA</v>
      </c>
      <c r="E1567" s="5" t="str">
        <f>_xlfn.XLOOKUP(fOrcado[[#This Row],[Conta]],'Plano de Contas'!A:A,'Plano de Contas'!D:D)</f>
        <v>02 - Outras Receitas</v>
      </c>
    </row>
    <row r="1568" spans="1:5" x14ac:dyDescent="0.25">
      <c r="A1568" s="23">
        <f t="shared" si="23"/>
        <v>43800</v>
      </c>
      <c r="B1568" s="5" t="s">
        <v>77</v>
      </c>
      <c r="C1568" s="5">
        <v>160513</v>
      </c>
      <c r="D1568" s="5" t="str">
        <f>_xlfn.XLOOKUP(fOrcado[[#This Row],[Conta]],'Plano de Contas'!A:A,'Plano de Contas'!C:C)</f>
        <v>(+) RECEITA BRUTA</v>
      </c>
      <c r="E1568" s="5" t="str">
        <f>_xlfn.XLOOKUP(fOrcado[[#This Row],[Conta]],'Plano de Contas'!A:A,'Plano de Contas'!D:D)</f>
        <v>02 - Outras Receitas</v>
      </c>
    </row>
    <row r="1569" spans="1:5" x14ac:dyDescent="0.25">
      <c r="A1569" s="23">
        <f t="shared" si="23"/>
        <v>43800</v>
      </c>
      <c r="B1569" s="5" t="s">
        <v>78</v>
      </c>
      <c r="C1569" s="5">
        <v>138712</v>
      </c>
      <c r="D1569" s="5" t="str">
        <f>_xlfn.XLOOKUP(fOrcado[[#This Row],[Conta]],'Plano de Contas'!A:A,'Plano de Contas'!C:C)</f>
        <v>(+) RECEITA BRUTA</v>
      </c>
      <c r="E1569" s="5" t="str">
        <f>_xlfn.XLOOKUP(fOrcado[[#This Row],[Conta]],'Plano de Contas'!A:A,'Plano de Contas'!D:D)</f>
        <v>02 - Outras Receitas</v>
      </c>
    </row>
    <row r="1570" spans="1:5" x14ac:dyDescent="0.25">
      <c r="A1570" s="23">
        <f t="shared" si="23"/>
        <v>43800</v>
      </c>
      <c r="B1570" s="5" t="s">
        <v>79</v>
      </c>
      <c r="C1570" s="5">
        <v>231338</v>
      </c>
      <c r="D1570" s="5" t="str">
        <f>_xlfn.XLOOKUP(fOrcado[[#This Row],[Conta]],'Plano de Contas'!A:A,'Plano de Contas'!C:C)</f>
        <v>(+) RECEITA BRUTA</v>
      </c>
      <c r="E1570" s="5" t="str">
        <f>_xlfn.XLOOKUP(fOrcado[[#This Row],[Conta]],'Plano de Contas'!A:A,'Plano de Contas'!D:D)</f>
        <v>02 - Outras Receitas</v>
      </c>
    </row>
    <row r="1571" spans="1:5" x14ac:dyDescent="0.25">
      <c r="A1571" s="23">
        <f t="shared" si="23"/>
        <v>43800</v>
      </c>
      <c r="B1571" s="5" t="s">
        <v>80</v>
      </c>
      <c r="C1571" s="5">
        <v>167643</v>
      </c>
      <c r="D1571" s="5" t="str">
        <f>_xlfn.XLOOKUP(fOrcado[[#This Row],[Conta]],'Plano de Contas'!A:A,'Plano de Contas'!C:C)</f>
        <v>(+) RECEITA BRUTA</v>
      </c>
      <c r="E1571" s="5" t="str">
        <f>_xlfn.XLOOKUP(fOrcado[[#This Row],[Conta]],'Plano de Contas'!A:A,'Plano de Contas'!D:D)</f>
        <v>02 - Outras Receitas</v>
      </c>
    </row>
    <row r="1572" spans="1:5" x14ac:dyDescent="0.25">
      <c r="A1572" s="23">
        <f t="shared" si="23"/>
        <v>43800</v>
      </c>
      <c r="B1572" s="5" t="s">
        <v>81</v>
      </c>
      <c r="C1572" s="5">
        <v>239341</v>
      </c>
      <c r="D1572" s="5" t="str">
        <f>_xlfn.XLOOKUP(fOrcado[[#This Row],[Conta]],'Plano de Contas'!A:A,'Plano de Contas'!C:C)</f>
        <v>(+) RECEITA BRUTA</v>
      </c>
      <c r="E1572" s="5" t="str">
        <f>_xlfn.XLOOKUP(fOrcado[[#This Row],[Conta]],'Plano de Contas'!A:A,'Plano de Contas'!D:D)</f>
        <v>02 - Outras Receitas</v>
      </c>
    </row>
    <row r="1573" spans="1:5" x14ac:dyDescent="0.25">
      <c r="A1573" s="23">
        <f t="shared" si="23"/>
        <v>43800</v>
      </c>
      <c r="B1573" s="5" t="s">
        <v>82</v>
      </c>
      <c r="C1573" s="5">
        <v>123930</v>
      </c>
      <c r="D1573" s="5" t="str">
        <f>_xlfn.XLOOKUP(fOrcado[[#This Row],[Conta]],'Plano de Contas'!A:A,'Plano de Contas'!C:C)</f>
        <v>(+) RECEITA BRUTA</v>
      </c>
      <c r="E1573" s="5" t="str">
        <f>_xlfn.XLOOKUP(fOrcado[[#This Row],[Conta]],'Plano de Contas'!A:A,'Plano de Contas'!D:D)</f>
        <v>02 - Outras Receitas</v>
      </c>
    </row>
    <row r="1574" spans="1:5" x14ac:dyDescent="0.25">
      <c r="A1574" s="23">
        <f t="shared" si="23"/>
        <v>43800</v>
      </c>
      <c r="B1574" s="5" t="s">
        <v>83</v>
      </c>
      <c r="C1574" s="5">
        <v>268486</v>
      </c>
      <c r="D1574" s="5" t="str">
        <f>_xlfn.XLOOKUP(fOrcado[[#This Row],[Conta]],'Plano de Contas'!A:A,'Plano de Contas'!C:C)</f>
        <v>(+) RECEITA BRUTA</v>
      </c>
      <c r="E1574" s="5" t="str">
        <f>_xlfn.XLOOKUP(fOrcado[[#This Row],[Conta]],'Plano de Contas'!A:A,'Plano de Contas'!D:D)</f>
        <v>02 - Outras Receitas</v>
      </c>
    </row>
    <row r="1575" spans="1:5" x14ac:dyDescent="0.25">
      <c r="A1575" s="23">
        <f t="shared" si="23"/>
        <v>43800</v>
      </c>
      <c r="B1575" s="5" t="s">
        <v>84</v>
      </c>
      <c r="C1575" s="5">
        <v>61812</v>
      </c>
      <c r="D1575" s="5" t="str">
        <f>_xlfn.XLOOKUP(fOrcado[[#This Row],[Conta]],'Plano de Contas'!A:A,'Plano de Contas'!C:C)</f>
        <v>(+) RECEITA BRUTA</v>
      </c>
      <c r="E1575" s="5" t="str">
        <f>_xlfn.XLOOKUP(fOrcado[[#This Row],[Conta]],'Plano de Contas'!A:A,'Plano de Contas'!D:D)</f>
        <v>02 - Outras Receitas</v>
      </c>
    </row>
    <row r="1576" spans="1:5" x14ac:dyDescent="0.25">
      <c r="A1576" s="23">
        <f t="shared" si="23"/>
        <v>43800</v>
      </c>
      <c r="B1576" s="5" t="s">
        <v>85</v>
      </c>
      <c r="C1576" s="5">
        <v>113214</v>
      </c>
      <c r="D1576" s="5" t="str">
        <f>_xlfn.XLOOKUP(fOrcado[[#This Row],[Conta]],'Plano de Contas'!A:A,'Plano de Contas'!C:C)</f>
        <v>(+) RECEITA BRUTA</v>
      </c>
      <c r="E1576" s="5" t="str">
        <f>_xlfn.XLOOKUP(fOrcado[[#This Row],[Conta]],'Plano de Contas'!A:A,'Plano de Contas'!D:D)</f>
        <v>02 - Outras Receitas</v>
      </c>
    </row>
    <row r="1577" spans="1:5" x14ac:dyDescent="0.25">
      <c r="A1577" s="23">
        <f t="shared" si="23"/>
        <v>43800</v>
      </c>
      <c r="B1577" s="5" t="s">
        <v>86</v>
      </c>
      <c r="C1577" s="5">
        <v>245983</v>
      </c>
      <c r="D1577" s="5" t="str">
        <f>_xlfn.XLOOKUP(fOrcado[[#This Row],[Conta]],'Plano de Contas'!A:A,'Plano de Contas'!C:C)</f>
        <v>(+) RECEITA BRUTA</v>
      </c>
      <c r="E1577" s="5" t="str">
        <f>_xlfn.XLOOKUP(fOrcado[[#This Row],[Conta]],'Plano de Contas'!A:A,'Plano de Contas'!D:D)</f>
        <v>02 - Outras Receitas</v>
      </c>
    </row>
    <row r="1578" spans="1:5" x14ac:dyDescent="0.25">
      <c r="A1578" s="23">
        <f t="shared" si="23"/>
        <v>43800</v>
      </c>
      <c r="B1578" s="5" t="s">
        <v>87</v>
      </c>
      <c r="C1578" s="5">
        <v>84813</v>
      </c>
      <c r="D1578" s="5" t="str">
        <f>_xlfn.XLOOKUP(fOrcado[[#This Row],[Conta]],'Plano de Contas'!A:A,'Plano de Contas'!C:C)</f>
        <v>(+) RECEITA BRUTA</v>
      </c>
      <c r="E1578" s="5" t="str">
        <f>_xlfn.XLOOKUP(fOrcado[[#This Row],[Conta]],'Plano de Contas'!A:A,'Plano de Contas'!D:D)</f>
        <v>02 - Outras Receitas</v>
      </c>
    </row>
    <row r="1579" spans="1:5" x14ac:dyDescent="0.25">
      <c r="A1579" s="23">
        <f t="shared" si="23"/>
        <v>43800</v>
      </c>
      <c r="B1579" s="5" t="s">
        <v>88</v>
      </c>
      <c r="C1579" s="5">
        <v>215990</v>
      </c>
      <c r="D1579" s="5" t="str">
        <f>_xlfn.XLOOKUP(fOrcado[[#This Row],[Conta]],'Plano de Contas'!A:A,'Plano de Contas'!C:C)</f>
        <v>(+) RECEITA BRUTA</v>
      </c>
      <c r="E1579" s="5" t="str">
        <f>_xlfn.XLOOKUP(fOrcado[[#This Row],[Conta]],'Plano de Contas'!A:A,'Plano de Contas'!D:D)</f>
        <v>02 - Outras Receitas</v>
      </c>
    </row>
    <row r="1580" spans="1:5" x14ac:dyDescent="0.25">
      <c r="A1580" s="23">
        <f t="shared" si="23"/>
        <v>43800</v>
      </c>
      <c r="B1580" s="5" t="s">
        <v>89</v>
      </c>
      <c r="C1580" s="5">
        <v>217803</v>
      </c>
      <c r="D1580" s="5" t="str">
        <f>_xlfn.XLOOKUP(fOrcado[[#This Row],[Conta]],'Plano de Contas'!A:A,'Plano de Contas'!C:C)</f>
        <v>(+) RECEITA BRUTA</v>
      </c>
      <c r="E1580" s="5" t="str">
        <f>_xlfn.XLOOKUP(fOrcado[[#This Row],[Conta]],'Plano de Contas'!A:A,'Plano de Contas'!D:D)</f>
        <v>02 - Outras Receitas</v>
      </c>
    </row>
    <row r="1581" spans="1:5" x14ac:dyDescent="0.25">
      <c r="A1581" s="23">
        <f t="shared" si="23"/>
        <v>43800</v>
      </c>
      <c r="B1581" s="5" t="s">
        <v>90</v>
      </c>
      <c r="C1581" s="5">
        <v>209191</v>
      </c>
      <c r="D1581" s="5" t="str">
        <f>_xlfn.XLOOKUP(fOrcado[[#This Row],[Conta]],'Plano de Contas'!A:A,'Plano de Contas'!C:C)</f>
        <v>(+) RECEITA BRUTA</v>
      </c>
      <c r="E1581" s="5" t="str">
        <f>_xlfn.XLOOKUP(fOrcado[[#This Row],[Conta]],'Plano de Contas'!A:A,'Plano de Contas'!D:D)</f>
        <v>02 - Outras Receitas</v>
      </c>
    </row>
    <row r="1582" spans="1:5" x14ac:dyDescent="0.25">
      <c r="A1582" s="23">
        <f t="shared" si="23"/>
        <v>43800</v>
      </c>
      <c r="B1582" s="5" t="s">
        <v>91</v>
      </c>
      <c r="C1582" s="5">
        <v>216589</v>
      </c>
      <c r="D1582" s="5" t="str">
        <f>_xlfn.XLOOKUP(fOrcado[[#This Row],[Conta]],'Plano de Contas'!A:A,'Plano de Contas'!C:C)</f>
        <v>(+) RECEITA BRUTA</v>
      </c>
      <c r="E1582" s="5" t="str">
        <f>_xlfn.XLOOKUP(fOrcado[[#This Row],[Conta]],'Plano de Contas'!A:A,'Plano de Contas'!D:D)</f>
        <v>02 - Outras Receitas</v>
      </c>
    </row>
    <row r="1583" spans="1:5" x14ac:dyDescent="0.25">
      <c r="A1583" s="23">
        <f t="shared" si="23"/>
        <v>43800</v>
      </c>
      <c r="B1583" s="5" t="s">
        <v>92</v>
      </c>
      <c r="C1583" s="5">
        <v>274307</v>
      </c>
      <c r="D1583" s="5" t="str">
        <f>_xlfn.XLOOKUP(fOrcado[[#This Row],[Conta]],'Plano de Contas'!A:A,'Plano de Contas'!C:C)</f>
        <v>(+) RECEITA BRUTA</v>
      </c>
      <c r="E1583" s="5" t="str">
        <f>_xlfn.XLOOKUP(fOrcado[[#This Row],[Conta]],'Plano de Contas'!A:A,'Plano de Contas'!D:D)</f>
        <v>02 - Outras Receitas</v>
      </c>
    </row>
    <row r="1584" spans="1:5" x14ac:dyDescent="0.25">
      <c r="A1584" s="23">
        <f t="shared" si="23"/>
        <v>43800</v>
      </c>
      <c r="B1584" s="5" t="s">
        <v>93</v>
      </c>
      <c r="C1584" s="5">
        <v>143602</v>
      </c>
      <c r="D1584" s="5" t="str">
        <f>_xlfn.XLOOKUP(fOrcado[[#This Row],[Conta]],'Plano de Contas'!A:A,'Plano de Contas'!C:C)</f>
        <v>(+) RECEITA BRUTA</v>
      </c>
      <c r="E1584" s="5" t="str">
        <f>_xlfn.XLOOKUP(fOrcado[[#This Row],[Conta]],'Plano de Contas'!A:A,'Plano de Contas'!D:D)</f>
        <v>02 - Outras Receitas</v>
      </c>
    </row>
    <row r="1585" spans="1:5" x14ac:dyDescent="0.25">
      <c r="A1585" s="23">
        <f t="shared" si="23"/>
        <v>43800</v>
      </c>
      <c r="B1585" s="5" t="s">
        <v>94</v>
      </c>
      <c r="C1585" s="5">
        <v>154841</v>
      </c>
      <c r="D1585" s="5" t="str">
        <f>_xlfn.XLOOKUP(fOrcado[[#This Row],[Conta]],'Plano de Contas'!A:A,'Plano de Contas'!C:C)</f>
        <v>(+) RECEITA BRUTA</v>
      </c>
      <c r="E1585" s="5" t="str">
        <f>_xlfn.XLOOKUP(fOrcado[[#This Row],[Conta]],'Plano de Contas'!A:A,'Plano de Contas'!D:D)</f>
        <v>02 - Outras Receitas</v>
      </c>
    </row>
    <row r="1586" spans="1:5" x14ac:dyDescent="0.25">
      <c r="A1586" s="23">
        <f t="shared" si="23"/>
        <v>43800</v>
      </c>
      <c r="B1586" s="5" t="s">
        <v>95</v>
      </c>
      <c r="C1586" s="5">
        <v>72583</v>
      </c>
      <c r="D1586" s="5" t="str">
        <f>_xlfn.XLOOKUP(fOrcado[[#This Row],[Conta]],'Plano de Contas'!A:A,'Plano de Contas'!C:C)</f>
        <v>(+) RECEITA BRUTA</v>
      </c>
      <c r="E1586" s="5" t="str">
        <f>_xlfn.XLOOKUP(fOrcado[[#This Row],[Conta]],'Plano de Contas'!A:A,'Plano de Contas'!D:D)</f>
        <v>02 - Outras Receitas</v>
      </c>
    </row>
    <row r="1587" spans="1:5" x14ac:dyDescent="0.25">
      <c r="A1587" s="23">
        <f t="shared" si="23"/>
        <v>43800</v>
      </c>
      <c r="B1587" s="5" t="s">
        <v>96</v>
      </c>
      <c r="C1587" s="5">
        <v>248296</v>
      </c>
      <c r="D1587" s="5" t="str">
        <f>_xlfn.XLOOKUP(fOrcado[[#This Row],[Conta]],'Plano de Contas'!A:A,'Plano de Contas'!C:C)</f>
        <v>(+) RECEITA BRUTA</v>
      </c>
      <c r="E1587" s="5" t="str">
        <f>_xlfn.XLOOKUP(fOrcado[[#This Row],[Conta]],'Plano de Contas'!A:A,'Plano de Contas'!D:D)</f>
        <v>02 - Outras Receitas</v>
      </c>
    </row>
    <row r="1588" spans="1:5" x14ac:dyDescent="0.25">
      <c r="A1588" s="23">
        <f t="shared" si="23"/>
        <v>43800</v>
      </c>
      <c r="B1588" s="5" t="s">
        <v>97</v>
      </c>
      <c r="C1588" s="5">
        <v>244942</v>
      </c>
      <c r="D1588" s="5" t="str">
        <f>_xlfn.XLOOKUP(fOrcado[[#This Row],[Conta]],'Plano de Contas'!A:A,'Plano de Contas'!C:C)</f>
        <v>(+) RECEITA BRUTA</v>
      </c>
      <c r="E1588" s="5" t="str">
        <f>_xlfn.XLOOKUP(fOrcado[[#This Row],[Conta]],'Plano de Contas'!A:A,'Plano de Contas'!D:D)</f>
        <v>02 - Outras Receitas</v>
      </c>
    </row>
    <row r="1589" spans="1:5" x14ac:dyDescent="0.25">
      <c r="A1589" s="23">
        <f t="shared" si="23"/>
        <v>43800</v>
      </c>
      <c r="B1589" s="5" t="s">
        <v>98</v>
      </c>
      <c r="C1589" s="5">
        <v>135989</v>
      </c>
      <c r="D1589" s="5" t="str">
        <f>_xlfn.XLOOKUP(fOrcado[[#This Row],[Conta]],'Plano de Contas'!A:A,'Plano de Contas'!C:C)</f>
        <v>(+) RECEITA BRUTA</v>
      </c>
      <c r="E1589" s="5" t="str">
        <f>_xlfn.XLOOKUP(fOrcado[[#This Row],[Conta]],'Plano de Contas'!A:A,'Plano de Contas'!D:D)</f>
        <v>02 - Outras Receitas</v>
      </c>
    </row>
    <row r="1590" spans="1:5" x14ac:dyDescent="0.25">
      <c r="A1590" s="23">
        <f t="shared" si="23"/>
        <v>43800</v>
      </c>
      <c r="B1590" s="5" t="s">
        <v>99</v>
      </c>
      <c r="C1590" s="5">
        <v>139346</v>
      </c>
      <c r="D1590" s="5" t="str">
        <f>_xlfn.XLOOKUP(fOrcado[[#This Row],[Conta]],'Plano de Contas'!A:A,'Plano de Contas'!C:C)</f>
        <v>(+) RECEITA BRUTA</v>
      </c>
      <c r="E1590" s="5" t="str">
        <f>_xlfn.XLOOKUP(fOrcado[[#This Row],[Conta]],'Plano de Contas'!A:A,'Plano de Contas'!D:D)</f>
        <v>02 - Outras Receitas</v>
      </c>
    </row>
    <row r="1591" spans="1:5" x14ac:dyDescent="0.25">
      <c r="A1591" s="23">
        <f t="shared" si="23"/>
        <v>43800</v>
      </c>
      <c r="B1591" s="5" t="s">
        <v>100</v>
      </c>
      <c r="C1591" s="5">
        <v>85823</v>
      </c>
      <c r="D1591" s="5" t="str">
        <f>_xlfn.XLOOKUP(fOrcado[[#This Row],[Conta]],'Plano de Contas'!A:A,'Plano de Contas'!C:C)</f>
        <v>(+) RECEITA BRUTA</v>
      </c>
      <c r="E1591" s="5" t="str">
        <f>_xlfn.XLOOKUP(fOrcado[[#This Row],[Conta]],'Plano de Contas'!A:A,'Plano de Contas'!D:D)</f>
        <v>02 - Outras Receitas</v>
      </c>
    </row>
    <row r="1592" spans="1:5" x14ac:dyDescent="0.25">
      <c r="A1592" s="23">
        <f t="shared" si="23"/>
        <v>43800</v>
      </c>
      <c r="B1592" s="5" t="s">
        <v>101</v>
      </c>
      <c r="C1592" s="5">
        <v>240675</v>
      </c>
      <c r="D1592" s="5" t="str">
        <f>_xlfn.XLOOKUP(fOrcado[[#This Row],[Conta]],'Plano de Contas'!A:A,'Plano de Contas'!C:C)</f>
        <v>(+) RECEITA BRUTA</v>
      </c>
      <c r="E1592" s="5" t="str">
        <f>_xlfn.XLOOKUP(fOrcado[[#This Row],[Conta]],'Plano de Contas'!A:A,'Plano de Contas'!D:D)</f>
        <v>02 - Outras Receitas</v>
      </c>
    </row>
    <row r="1593" spans="1:5" x14ac:dyDescent="0.25">
      <c r="A1593" s="23">
        <f t="shared" si="23"/>
        <v>43800</v>
      </c>
      <c r="B1593" s="5" t="s">
        <v>102</v>
      </c>
      <c r="C1593" s="5">
        <v>264343</v>
      </c>
      <c r="D1593" s="5" t="str">
        <f>_xlfn.XLOOKUP(fOrcado[[#This Row],[Conta]],'Plano de Contas'!A:A,'Plano de Contas'!C:C)</f>
        <v>(+) RECEITA BRUTA</v>
      </c>
      <c r="E1593" s="5" t="str">
        <f>_xlfn.XLOOKUP(fOrcado[[#This Row],[Conta]],'Plano de Contas'!A:A,'Plano de Contas'!D:D)</f>
        <v>02 - Outras Receitas</v>
      </c>
    </row>
    <row r="1594" spans="1:5" x14ac:dyDescent="0.25">
      <c r="A1594" s="23">
        <f t="shared" si="23"/>
        <v>43800</v>
      </c>
      <c r="B1594" s="5" t="s">
        <v>103</v>
      </c>
      <c r="C1594" s="5">
        <v>268612</v>
      </c>
      <c r="D1594" s="5" t="str">
        <f>_xlfn.XLOOKUP(fOrcado[[#This Row],[Conta]],'Plano de Contas'!A:A,'Plano de Contas'!C:C)</f>
        <v>(+) RECEITA BRUTA</v>
      </c>
      <c r="E1594" s="5" t="str">
        <f>_xlfn.XLOOKUP(fOrcado[[#This Row],[Conta]],'Plano de Contas'!A:A,'Plano de Contas'!D:D)</f>
        <v>02 - Outras Receitas</v>
      </c>
    </row>
    <row r="1595" spans="1:5" x14ac:dyDescent="0.25">
      <c r="A1595" s="23">
        <f t="shared" si="23"/>
        <v>43800</v>
      </c>
      <c r="B1595" s="5" t="s">
        <v>104</v>
      </c>
      <c r="C1595" s="5">
        <v>211971</v>
      </c>
      <c r="D1595" s="5" t="str">
        <f>_xlfn.XLOOKUP(fOrcado[[#This Row],[Conta]],'Plano de Contas'!A:A,'Plano de Contas'!C:C)</f>
        <v>(+) RECEITA BRUTA</v>
      </c>
      <c r="E1595" s="5" t="str">
        <f>_xlfn.XLOOKUP(fOrcado[[#This Row],[Conta]],'Plano de Contas'!A:A,'Plano de Contas'!D:D)</f>
        <v>02 - Outras Receitas</v>
      </c>
    </row>
    <row r="1596" spans="1:5" x14ac:dyDescent="0.25">
      <c r="A1596" s="23">
        <f t="shared" si="23"/>
        <v>43800</v>
      </c>
      <c r="B1596" s="5" t="s">
        <v>105</v>
      </c>
      <c r="C1596" s="5">
        <v>287366</v>
      </c>
      <c r="D1596" s="5" t="str">
        <f>_xlfn.XLOOKUP(fOrcado[[#This Row],[Conta]],'Plano de Contas'!A:A,'Plano de Contas'!C:C)</f>
        <v>(+) RECEITA BRUTA</v>
      </c>
      <c r="E1596" s="5" t="str">
        <f>_xlfn.XLOOKUP(fOrcado[[#This Row],[Conta]],'Plano de Contas'!A:A,'Plano de Contas'!D:D)</f>
        <v>02 - Outras Receitas</v>
      </c>
    </row>
    <row r="1597" spans="1:5" x14ac:dyDescent="0.25">
      <c r="A1597" s="23">
        <f t="shared" si="23"/>
        <v>43800</v>
      </c>
      <c r="B1597" s="5" t="s">
        <v>106</v>
      </c>
      <c r="C1597" s="5">
        <v>225630</v>
      </c>
      <c r="D1597" s="5" t="str">
        <f>_xlfn.XLOOKUP(fOrcado[[#This Row],[Conta]],'Plano de Contas'!A:A,'Plano de Contas'!C:C)</f>
        <v>(+) RECEITA BRUTA</v>
      </c>
      <c r="E1597" s="5" t="str">
        <f>_xlfn.XLOOKUP(fOrcado[[#This Row],[Conta]],'Plano de Contas'!A:A,'Plano de Contas'!D:D)</f>
        <v>02 - Outras Receitas</v>
      </c>
    </row>
    <row r="1598" spans="1:5" x14ac:dyDescent="0.25">
      <c r="A1598" s="23">
        <f t="shared" si="23"/>
        <v>43800</v>
      </c>
      <c r="B1598" s="5" t="s">
        <v>107</v>
      </c>
      <c r="C1598" s="5">
        <v>222416</v>
      </c>
      <c r="D1598" s="5" t="str">
        <f>_xlfn.XLOOKUP(fOrcado[[#This Row],[Conta]],'Plano de Contas'!A:A,'Plano de Contas'!C:C)</f>
        <v>(+) RECEITA BRUTA</v>
      </c>
      <c r="E1598" s="5" t="str">
        <f>_xlfn.XLOOKUP(fOrcado[[#This Row],[Conta]],'Plano de Contas'!A:A,'Plano de Contas'!D:D)</f>
        <v>02 - Outras Receitas</v>
      </c>
    </row>
    <row r="1599" spans="1:5" x14ac:dyDescent="0.25">
      <c r="A1599" s="23">
        <f t="shared" si="23"/>
        <v>43800</v>
      </c>
      <c r="B1599" s="5" t="s">
        <v>108</v>
      </c>
      <c r="C1599" s="5">
        <v>117953</v>
      </c>
      <c r="D1599" s="5" t="str">
        <f>_xlfn.XLOOKUP(fOrcado[[#This Row],[Conta]],'Plano de Contas'!A:A,'Plano de Contas'!C:C)</f>
        <v>(+) RECEITA BRUTA</v>
      </c>
      <c r="E1599" s="5" t="str">
        <f>_xlfn.XLOOKUP(fOrcado[[#This Row],[Conta]],'Plano de Contas'!A:A,'Plano de Contas'!D:D)</f>
        <v>02 - Outras Receitas</v>
      </c>
    </row>
    <row r="1600" spans="1:5" x14ac:dyDescent="0.25">
      <c r="A1600" s="23">
        <f t="shared" si="23"/>
        <v>43800</v>
      </c>
      <c r="B1600" s="5" t="s">
        <v>109</v>
      </c>
      <c r="C1600" s="5">
        <v>211049</v>
      </c>
      <c r="D1600" s="5" t="str">
        <f>_xlfn.XLOOKUP(fOrcado[[#This Row],[Conta]],'Plano de Contas'!A:A,'Plano de Contas'!C:C)</f>
        <v>(+) RECEITA BRUTA</v>
      </c>
      <c r="E1600" s="5" t="str">
        <f>_xlfn.XLOOKUP(fOrcado[[#This Row],[Conta]],'Plano de Contas'!A:A,'Plano de Contas'!D:D)</f>
        <v>02 - Outras Receitas</v>
      </c>
    </row>
    <row r="1601" spans="1:5" x14ac:dyDescent="0.25">
      <c r="A1601" s="23">
        <f t="shared" si="23"/>
        <v>43800</v>
      </c>
      <c r="B1601" s="5" t="s">
        <v>110</v>
      </c>
      <c r="C1601" s="5">
        <v>-8716</v>
      </c>
      <c r="D1601" s="5" t="str">
        <f>_xlfn.XLOOKUP(fOrcado[[#This Row],[Conta]],'Plano de Contas'!A:A,'Plano de Contas'!C:C)</f>
        <v>(-) Deduções da Receita</v>
      </c>
      <c r="E1601" s="5" t="str">
        <f>_xlfn.XLOOKUP(fOrcado[[#This Row],[Conta]],'Plano de Contas'!A:A,'Plano de Contas'!D:D)</f>
        <v>03 - Devoluções de Produtos</v>
      </c>
    </row>
    <row r="1602" spans="1:5" x14ac:dyDescent="0.25">
      <c r="A1602" s="23">
        <f t="shared" si="23"/>
        <v>43800</v>
      </c>
      <c r="B1602" s="5" t="s">
        <v>111</v>
      </c>
      <c r="C1602" s="5">
        <v>-5374</v>
      </c>
      <c r="D1602" s="5" t="str">
        <f>_xlfn.XLOOKUP(fOrcado[[#This Row],[Conta]],'Plano de Contas'!A:A,'Plano de Contas'!C:C)</f>
        <v>(-) Deduções da Receita</v>
      </c>
      <c r="E1602" s="5" t="str">
        <f>_xlfn.XLOOKUP(fOrcado[[#This Row],[Conta]],'Plano de Contas'!A:A,'Plano de Contas'!D:D)</f>
        <v>03 - Devoluções de Produtos</v>
      </c>
    </row>
    <row r="1603" spans="1:5" x14ac:dyDescent="0.25">
      <c r="A1603" s="23">
        <f t="shared" si="23"/>
        <v>43800</v>
      </c>
      <c r="B1603" s="5" t="s">
        <v>112</v>
      </c>
      <c r="C1603" s="5">
        <v>-5252</v>
      </c>
      <c r="D1603" s="5" t="str">
        <f>_xlfn.XLOOKUP(fOrcado[[#This Row],[Conta]],'Plano de Contas'!A:A,'Plano de Contas'!C:C)</f>
        <v>(-) Deduções da Receita</v>
      </c>
      <c r="E1603" s="5" t="str">
        <f>_xlfn.XLOOKUP(fOrcado[[#This Row],[Conta]],'Plano de Contas'!A:A,'Plano de Contas'!D:D)</f>
        <v>03 - Devoluções de Produtos</v>
      </c>
    </row>
    <row r="1604" spans="1:5" x14ac:dyDescent="0.25">
      <c r="A1604" s="23">
        <f t="shared" si="23"/>
        <v>43800</v>
      </c>
      <c r="B1604" s="5" t="s">
        <v>113</v>
      </c>
      <c r="C1604" s="5">
        <v>-5761</v>
      </c>
      <c r="D1604" s="5" t="str">
        <f>_xlfn.XLOOKUP(fOrcado[[#This Row],[Conta]],'Plano de Contas'!A:A,'Plano de Contas'!C:C)</f>
        <v>(-) Deduções da Receita</v>
      </c>
      <c r="E1604" s="5" t="str">
        <f>_xlfn.XLOOKUP(fOrcado[[#This Row],[Conta]],'Plano de Contas'!A:A,'Plano de Contas'!D:D)</f>
        <v>03 - Devoluções de Produtos</v>
      </c>
    </row>
    <row r="1605" spans="1:5" x14ac:dyDescent="0.25">
      <c r="A1605" s="23">
        <f t="shared" si="23"/>
        <v>43800</v>
      </c>
      <c r="B1605" s="5" t="s">
        <v>114</v>
      </c>
      <c r="C1605" s="5">
        <v>-7112</v>
      </c>
      <c r="D1605" s="5" t="str">
        <f>_xlfn.XLOOKUP(fOrcado[[#This Row],[Conta]],'Plano de Contas'!A:A,'Plano de Contas'!C:C)</f>
        <v>(-) Deduções da Receita</v>
      </c>
      <c r="E1605" s="5" t="str">
        <f>_xlfn.XLOOKUP(fOrcado[[#This Row],[Conta]],'Plano de Contas'!A:A,'Plano de Contas'!D:D)</f>
        <v>03 - Devoluções de Produtos</v>
      </c>
    </row>
    <row r="1606" spans="1:5" x14ac:dyDescent="0.25">
      <c r="A1606" s="23">
        <f t="shared" si="23"/>
        <v>43800</v>
      </c>
      <c r="B1606" s="5" t="s">
        <v>115</v>
      </c>
      <c r="C1606" s="5">
        <v>-7432</v>
      </c>
      <c r="D1606" s="5" t="str">
        <f>_xlfn.XLOOKUP(fOrcado[[#This Row],[Conta]],'Plano de Contas'!A:A,'Plano de Contas'!C:C)</f>
        <v>(-) Deduções da Receita</v>
      </c>
      <c r="E1606" s="5" t="str">
        <f>_xlfn.XLOOKUP(fOrcado[[#This Row],[Conta]],'Plano de Contas'!A:A,'Plano de Contas'!D:D)</f>
        <v>03 - Devoluções de Produtos</v>
      </c>
    </row>
    <row r="1607" spans="1:5" x14ac:dyDescent="0.25">
      <c r="A1607" s="23">
        <f t="shared" si="23"/>
        <v>43800</v>
      </c>
      <c r="B1607" s="5" t="s">
        <v>116</v>
      </c>
      <c r="C1607" s="5">
        <v>-5172</v>
      </c>
      <c r="D1607" s="5" t="str">
        <f>_xlfn.XLOOKUP(fOrcado[[#This Row],[Conta]],'Plano de Contas'!A:A,'Plano de Contas'!C:C)</f>
        <v>(-) Deduções da Receita</v>
      </c>
      <c r="E1607" s="5" t="str">
        <f>_xlfn.XLOOKUP(fOrcado[[#This Row],[Conta]],'Plano de Contas'!A:A,'Plano de Contas'!D:D)</f>
        <v>03 - Devoluções de Produtos</v>
      </c>
    </row>
    <row r="1608" spans="1:5" x14ac:dyDescent="0.25">
      <c r="A1608" s="23">
        <f t="shared" ref="A1608:A1671" si="24">EDATE(A1468,1)</f>
        <v>43800</v>
      </c>
      <c r="B1608" s="5" t="s">
        <v>117</v>
      </c>
      <c r="C1608" s="5">
        <v>-5533</v>
      </c>
      <c r="D1608" s="5" t="str">
        <f>_xlfn.XLOOKUP(fOrcado[[#This Row],[Conta]],'Plano de Contas'!A:A,'Plano de Contas'!C:C)</f>
        <v>(-) Deduções da Receita</v>
      </c>
      <c r="E1608" s="5" t="str">
        <f>_xlfn.XLOOKUP(fOrcado[[#This Row],[Conta]],'Plano de Contas'!A:A,'Plano de Contas'!D:D)</f>
        <v>03 - Devoluções de Produtos</v>
      </c>
    </row>
    <row r="1609" spans="1:5" x14ac:dyDescent="0.25">
      <c r="A1609" s="23">
        <f t="shared" si="24"/>
        <v>43800</v>
      </c>
      <c r="B1609" s="5" t="s">
        <v>118</v>
      </c>
      <c r="C1609" s="5">
        <v>-6529</v>
      </c>
      <c r="D1609" s="5" t="str">
        <f>_xlfn.XLOOKUP(fOrcado[[#This Row],[Conta]],'Plano de Contas'!A:A,'Plano de Contas'!C:C)</f>
        <v>(-) Deduções da Receita</v>
      </c>
      <c r="E1609" s="5" t="str">
        <f>_xlfn.XLOOKUP(fOrcado[[#This Row],[Conta]],'Plano de Contas'!A:A,'Plano de Contas'!D:D)</f>
        <v>03 - Devoluções de Produtos</v>
      </c>
    </row>
    <row r="1610" spans="1:5" x14ac:dyDescent="0.25">
      <c r="A1610" s="23">
        <f t="shared" si="24"/>
        <v>43800</v>
      </c>
      <c r="B1610" s="5" t="s">
        <v>119</v>
      </c>
      <c r="C1610" s="5">
        <v>-6465</v>
      </c>
      <c r="D1610" s="5" t="str">
        <f>_xlfn.XLOOKUP(fOrcado[[#This Row],[Conta]],'Plano de Contas'!A:A,'Plano de Contas'!C:C)</f>
        <v>(-) Deduções da Receita</v>
      </c>
      <c r="E1610" s="5" t="str">
        <f>_xlfn.XLOOKUP(fOrcado[[#This Row],[Conta]],'Plano de Contas'!A:A,'Plano de Contas'!D:D)</f>
        <v>03 - Devoluções de Produtos</v>
      </c>
    </row>
    <row r="1611" spans="1:5" x14ac:dyDescent="0.25">
      <c r="A1611" s="23">
        <f t="shared" si="24"/>
        <v>43800</v>
      </c>
      <c r="B1611" s="5" t="s">
        <v>120</v>
      </c>
      <c r="C1611" s="5">
        <v>-9728</v>
      </c>
      <c r="D1611" s="5" t="str">
        <f>_xlfn.XLOOKUP(fOrcado[[#This Row],[Conta]],'Plano de Contas'!A:A,'Plano de Contas'!C:C)</f>
        <v>(-) Deduções da Receita</v>
      </c>
      <c r="E1611" s="5" t="str">
        <f>_xlfn.XLOOKUP(fOrcado[[#This Row],[Conta]],'Plano de Contas'!A:A,'Plano de Contas'!D:D)</f>
        <v>03 - Devoluções de Produtos</v>
      </c>
    </row>
    <row r="1612" spans="1:5" x14ac:dyDescent="0.25">
      <c r="A1612" s="23">
        <f t="shared" si="24"/>
        <v>43800</v>
      </c>
      <c r="B1612" s="5" t="s">
        <v>121</v>
      </c>
      <c r="C1612" s="5">
        <v>-7802</v>
      </c>
      <c r="D1612" s="5" t="str">
        <f>_xlfn.XLOOKUP(fOrcado[[#This Row],[Conta]],'Plano de Contas'!A:A,'Plano de Contas'!C:C)</f>
        <v>(-) Deduções da Receita</v>
      </c>
      <c r="E1612" s="5" t="str">
        <f>_xlfn.XLOOKUP(fOrcado[[#This Row],[Conta]],'Plano de Contas'!A:A,'Plano de Contas'!D:D)</f>
        <v>03 - Devoluções de Produtos</v>
      </c>
    </row>
    <row r="1613" spans="1:5" x14ac:dyDescent="0.25">
      <c r="A1613" s="23">
        <f t="shared" si="24"/>
        <v>43800</v>
      </c>
      <c r="B1613" s="5" t="s">
        <v>122</v>
      </c>
      <c r="C1613" s="5">
        <v>-5568</v>
      </c>
      <c r="D1613" s="5" t="str">
        <f>_xlfn.XLOOKUP(fOrcado[[#This Row],[Conta]],'Plano de Contas'!A:A,'Plano de Contas'!C:C)</f>
        <v>(-) Deduções da Receita</v>
      </c>
      <c r="E1613" s="5" t="str">
        <f>_xlfn.XLOOKUP(fOrcado[[#This Row],[Conta]],'Plano de Contas'!A:A,'Plano de Contas'!D:D)</f>
        <v>03 - Devoluções de Produtos</v>
      </c>
    </row>
    <row r="1614" spans="1:5" x14ac:dyDescent="0.25">
      <c r="A1614" s="23">
        <f t="shared" si="24"/>
        <v>43800</v>
      </c>
      <c r="B1614" s="5" t="s">
        <v>123</v>
      </c>
      <c r="C1614" s="5">
        <v>-2966</v>
      </c>
      <c r="D1614" s="5" t="str">
        <f>_xlfn.XLOOKUP(fOrcado[[#This Row],[Conta]],'Plano de Contas'!A:A,'Plano de Contas'!C:C)</f>
        <v>(-) Deduções da Receita</v>
      </c>
      <c r="E1614" s="5" t="str">
        <f>_xlfn.XLOOKUP(fOrcado[[#This Row],[Conta]],'Plano de Contas'!A:A,'Plano de Contas'!D:D)</f>
        <v>03 - Devoluções de Produtos</v>
      </c>
    </row>
    <row r="1615" spans="1:5" x14ac:dyDescent="0.25">
      <c r="A1615" s="23">
        <f t="shared" si="24"/>
        <v>43800</v>
      </c>
      <c r="B1615" s="5" t="s">
        <v>124</v>
      </c>
      <c r="C1615" s="5">
        <v>-2945</v>
      </c>
      <c r="D1615" s="5" t="str">
        <f>_xlfn.XLOOKUP(fOrcado[[#This Row],[Conta]],'Plano de Contas'!A:A,'Plano de Contas'!C:C)</f>
        <v>(-) Deduções da Receita</v>
      </c>
      <c r="E1615" s="5" t="str">
        <f>_xlfn.XLOOKUP(fOrcado[[#This Row],[Conta]],'Plano de Contas'!A:A,'Plano de Contas'!D:D)</f>
        <v>03 - Devoluções de Produtos</v>
      </c>
    </row>
    <row r="1616" spans="1:5" x14ac:dyDescent="0.25">
      <c r="A1616" s="23">
        <f t="shared" si="24"/>
        <v>43800</v>
      </c>
      <c r="B1616" s="5" t="s">
        <v>125</v>
      </c>
      <c r="C1616" s="5">
        <v>-8295</v>
      </c>
      <c r="D1616" s="5" t="str">
        <f>_xlfn.XLOOKUP(fOrcado[[#This Row],[Conta]],'Plano de Contas'!A:A,'Plano de Contas'!C:C)</f>
        <v>(-) Deduções da Receita</v>
      </c>
      <c r="E1616" s="5" t="str">
        <f>_xlfn.XLOOKUP(fOrcado[[#This Row],[Conta]],'Plano de Contas'!A:A,'Plano de Contas'!D:D)</f>
        <v>03 - Devoluções de Produtos</v>
      </c>
    </row>
    <row r="1617" spans="1:5" x14ac:dyDescent="0.25">
      <c r="A1617" s="23">
        <f t="shared" si="24"/>
        <v>43800</v>
      </c>
      <c r="B1617" s="5" t="s">
        <v>126</v>
      </c>
      <c r="C1617" s="5">
        <v>-8017</v>
      </c>
      <c r="D1617" s="5" t="str">
        <f>_xlfn.XLOOKUP(fOrcado[[#This Row],[Conta]],'Plano de Contas'!A:A,'Plano de Contas'!C:C)</f>
        <v>(-) Deduções da Receita</v>
      </c>
      <c r="E1617" s="5" t="str">
        <f>_xlfn.XLOOKUP(fOrcado[[#This Row],[Conta]],'Plano de Contas'!A:A,'Plano de Contas'!D:D)</f>
        <v>03 - Devoluções de Produtos</v>
      </c>
    </row>
    <row r="1618" spans="1:5" x14ac:dyDescent="0.25">
      <c r="A1618" s="23">
        <f t="shared" si="24"/>
        <v>43800</v>
      </c>
      <c r="B1618" s="5" t="s">
        <v>127</v>
      </c>
      <c r="C1618" s="5">
        <v>-6774</v>
      </c>
      <c r="D1618" s="5" t="str">
        <f>_xlfn.XLOOKUP(fOrcado[[#This Row],[Conta]],'Plano de Contas'!A:A,'Plano de Contas'!C:C)</f>
        <v>(-) Deduções da Receita</v>
      </c>
      <c r="E1618" s="5" t="str">
        <f>_xlfn.XLOOKUP(fOrcado[[#This Row],[Conta]],'Plano de Contas'!A:A,'Plano de Contas'!D:D)</f>
        <v>03 - Devoluções de Produtos</v>
      </c>
    </row>
    <row r="1619" spans="1:5" x14ac:dyDescent="0.25">
      <c r="A1619" s="23">
        <f t="shared" si="24"/>
        <v>43800</v>
      </c>
      <c r="B1619" s="5" t="s">
        <v>128</v>
      </c>
      <c r="C1619" s="5">
        <v>-2151</v>
      </c>
      <c r="D1619" s="5" t="str">
        <f>_xlfn.XLOOKUP(fOrcado[[#This Row],[Conta]],'Plano de Contas'!A:A,'Plano de Contas'!C:C)</f>
        <v>(-) Deduções da Receita</v>
      </c>
      <c r="E1619" s="5" t="str">
        <f>_xlfn.XLOOKUP(fOrcado[[#This Row],[Conta]],'Plano de Contas'!A:A,'Plano de Contas'!D:D)</f>
        <v>03 - Devoluções de Produtos</v>
      </c>
    </row>
    <row r="1620" spans="1:5" x14ac:dyDescent="0.25">
      <c r="A1620" s="23">
        <f t="shared" si="24"/>
        <v>43800</v>
      </c>
      <c r="B1620" s="5" t="s">
        <v>129</v>
      </c>
      <c r="C1620" s="5">
        <v>-8357</v>
      </c>
      <c r="D1620" s="5" t="str">
        <f>_xlfn.XLOOKUP(fOrcado[[#This Row],[Conta]],'Plano de Contas'!A:A,'Plano de Contas'!C:C)</f>
        <v>(-) Deduções da Receita</v>
      </c>
      <c r="E1620" s="5" t="str">
        <f>_xlfn.XLOOKUP(fOrcado[[#This Row],[Conta]],'Plano de Contas'!A:A,'Plano de Contas'!D:D)</f>
        <v>03 - Devoluções de Produtos</v>
      </c>
    </row>
    <row r="1621" spans="1:5" x14ac:dyDescent="0.25">
      <c r="A1621" s="23">
        <f t="shared" si="24"/>
        <v>43800</v>
      </c>
      <c r="B1621" s="5" t="s">
        <v>130</v>
      </c>
      <c r="C1621" s="5">
        <v>-5091</v>
      </c>
      <c r="D1621" s="5" t="str">
        <f>_xlfn.XLOOKUP(fOrcado[[#This Row],[Conta]],'Plano de Contas'!A:A,'Plano de Contas'!C:C)</f>
        <v>(-) Deduções da Receita</v>
      </c>
      <c r="E1621" s="5" t="str">
        <f>_xlfn.XLOOKUP(fOrcado[[#This Row],[Conta]],'Plano de Contas'!A:A,'Plano de Contas'!D:D)</f>
        <v>03 - Devoluções de Produtos</v>
      </c>
    </row>
    <row r="1622" spans="1:5" x14ac:dyDescent="0.25">
      <c r="A1622" s="23">
        <f t="shared" si="24"/>
        <v>43800</v>
      </c>
      <c r="B1622" s="5" t="s">
        <v>131</v>
      </c>
      <c r="C1622" s="5">
        <v>-9136</v>
      </c>
      <c r="D1622" s="5" t="str">
        <f>_xlfn.XLOOKUP(fOrcado[[#This Row],[Conta]],'Plano de Contas'!A:A,'Plano de Contas'!C:C)</f>
        <v>(-) Deduções da Receita</v>
      </c>
      <c r="E1622" s="5" t="str">
        <f>_xlfn.XLOOKUP(fOrcado[[#This Row],[Conta]],'Plano de Contas'!A:A,'Plano de Contas'!D:D)</f>
        <v>03 - Devoluções de Produtos</v>
      </c>
    </row>
    <row r="1623" spans="1:5" x14ac:dyDescent="0.25">
      <c r="A1623" s="23">
        <f t="shared" si="24"/>
        <v>43800</v>
      </c>
      <c r="B1623" s="5" t="s">
        <v>132</v>
      </c>
      <c r="C1623" s="5">
        <v>-1759</v>
      </c>
      <c r="D1623" s="5" t="str">
        <f>_xlfn.XLOOKUP(fOrcado[[#This Row],[Conta]],'Plano de Contas'!A:A,'Plano de Contas'!C:C)</f>
        <v>(-) Deduções da Receita</v>
      </c>
      <c r="E1623" s="5" t="str">
        <f>_xlfn.XLOOKUP(fOrcado[[#This Row],[Conta]],'Plano de Contas'!A:A,'Plano de Contas'!D:D)</f>
        <v>03 - Devoluções de Produtos</v>
      </c>
    </row>
    <row r="1624" spans="1:5" x14ac:dyDescent="0.25">
      <c r="A1624" s="23">
        <f t="shared" si="24"/>
        <v>43800</v>
      </c>
      <c r="B1624" s="5" t="s">
        <v>133</v>
      </c>
      <c r="C1624" s="5">
        <v>-9899</v>
      </c>
      <c r="D1624" s="5" t="str">
        <f>_xlfn.XLOOKUP(fOrcado[[#This Row],[Conta]],'Plano de Contas'!A:A,'Plano de Contas'!C:C)</f>
        <v>(-) Deduções da Receita</v>
      </c>
      <c r="E1624" s="5" t="str">
        <f>_xlfn.XLOOKUP(fOrcado[[#This Row],[Conta]],'Plano de Contas'!A:A,'Plano de Contas'!D:D)</f>
        <v>03 - Devoluções de Produtos</v>
      </c>
    </row>
    <row r="1625" spans="1:5" x14ac:dyDescent="0.25">
      <c r="A1625" s="23">
        <f t="shared" si="24"/>
        <v>43800</v>
      </c>
      <c r="B1625" s="5" t="s">
        <v>134</v>
      </c>
      <c r="C1625" s="5">
        <v>-9841</v>
      </c>
      <c r="D1625" s="5" t="str">
        <f>_xlfn.XLOOKUP(fOrcado[[#This Row],[Conta]],'Plano de Contas'!A:A,'Plano de Contas'!C:C)</f>
        <v>(-) Deduções da Receita</v>
      </c>
      <c r="E1625" s="5" t="str">
        <f>_xlfn.XLOOKUP(fOrcado[[#This Row],[Conta]],'Plano de Contas'!A:A,'Plano de Contas'!D:D)</f>
        <v>03 - Devoluções de Produtos</v>
      </c>
    </row>
    <row r="1626" spans="1:5" x14ac:dyDescent="0.25">
      <c r="A1626" s="23">
        <f t="shared" si="24"/>
        <v>43800</v>
      </c>
      <c r="B1626" s="5" t="s">
        <v>135</v>
      </c>
      <c r="C1626" s="5">
        <v>-2684</v>
      </c>
      <c r="D1626" s="5" t="str">
        <f>_xlfn.XLOOKUP(fOrcado[[#This Row],[Conta]],'Plano de Contas'!A:A,'Plano de Contas'!C:C)</f>
        <v>(-) Deduções da Receita</v>
      </c>
      <c r="E1626" s="5" t="str">
        <f>_xlfn.XLOOKUP(fOrcado[[#This Row],[Conta]],'Plano de Contas'!A:A,'Plano de Contas'!D:D)</f>
        <v>03 - Devoluções de Produtos</v>
      </c>
    </row>
    <row r="1627" spans="1:5" x14ac:dyDescent="0.25">
      <c r="A1627" s="23">
        <f t="shared" si="24"/>
        <v>43800</v>
      </c>
      <c r="B1627" s="5" t="s">
        <v>136</v>
      </c>
      <c r="C1627" s="5">
        <v>-8947</v>
      </c>
      <c r="D1627" s="5" t="str">
        <f>_xlfn.XLOOKUP(fOrcado[[#This Row],[Conta]],'Plano de Contas'!A:A,'Plano de Contas'!C:C)</f>
        <v>(-) Deduções da Receita</v>
      </c>
      <c r="E1627" s="5" t="str">
        <f>_xlfn.XLOOKUP(fOrcado[[#This Row],[Conta]],'Plano de Contas'!A:A,'Plano de Contas'!D:D)</f>
        <v>04 - Taxas de Serviço</v>
      </c>
    </row>
    <row r="1628" spans="1:5" x14ac:dyDescent="0.25">
      <c r="A1628" s="23">
        <f t="shared" si="24"/>
        <v>43800</v>
      </c>
      <c r="B1628" s="5" t="s">
        <v>137</v>
      </c>
      <c r="C1628" s="5">
        <v>-5163</v>
      </c>
      <c r="D1628" s="5" t="str">
        <f>_xlfn.XLOOKUP(fOrcado[[#This Row],[Conta]],'Plano de Contas'!A:A,'Plano de Contas'!C:C)</f>
        <v>(-) Deduções da Receita</v>
      </c>
      <c r="E1628" s="5" t="str">
        <f>_xlfn.XLOOKUP(fOrcado[[#This Row],[Conta]],'Plano de Contas'!A:A,'Plano de Contas'!D:D)</f>
        <v>04 - Taxas de Serviço</v>
      </c>
    </row>
    <row r="1629" spans="1:5" x14ac:dyDescent="0.25">
      <c r="A1629" s="23">
        <f t="shared" si="24"/>
        <v>43800</v>
      </c>
      <c r="B1629" s="5" t="s">
        <v>138</v>
      </c>
      <c r="C1629" s="5">
        <v>-9104</v>
      </c>
      <c r="D1629" s="5" t="str">
        <f>_xlfn.XLOOKUP(fOrcado[[#This Row],[Conta]],'Plano de Contas'!A:A,'Plano de Contas'!C:C)</f>
        <v>(-) Deduções da Receita</v>
      </c>
      <c r="E1629" s="5" t="str">
        <f>_xlfn.XLOOKUP(fOrcado[[#This Row],[Conta]],'Plano de Contas'!A:A,'Plano de Contas'!D:D)</f>
        <v>04 - Taxas de Serviço</v>
      </c>
    </row>
    <row r="1630" spans="1:5" x14ac:dyDescent="0.25">
      <c r="A1630" s="23">
        <f t="shared" si="24"/>
        <v>43800</v>
      </c>
      <c r="B1630" s="5" t="s">
        <v>139</v>
      </c>
      <c r="C1630" s="5">
        <v>-5770</v>
      </c>
      <c r="D1630" s="5" t="str">
        <f>_xlfn.XLOOKUP(fOrcado[[#This Row],[Conta]],'Plano de Contas'!A:A,'Plano de Contas'!C:C)</f>
        <v>(-) Deduções da Receita</v>
      </c>
      <c r="E1630" s="5" t="str">
        <f>_xlfn.XLOOKUP(fOrcado[[#This Row],[Conta]],'Plano de Contas'!A:A,'Plano de Contas'!D:D)</f>
        <v>04 - Taxas de Serviço</v>
      </c>
    </row>
    <row r="1631" spans="1:5" x14ac:dyDescent="0.25">
      <c r="A1631" s="23">
        <f t="shared" si="24"/>
        <v>43800</v>
      </c>
      <c r="B1631" s="5" t="s">
        <v>140</v>
      </c>
      <c r="C1631" s="5">
        <v>-194541</v>
      </c>
      <c r="D1631" s="5" t="str">
        <f>_xlfn.XLOOKUP(fOrcado[[#This Row],[Conta]],'Plano de Contas'!A:A,'Plano de Contas'!C:C)</f>
        <v>(-) Custos de Vendas</v>
      </c>
      <c r="E1631" s="5" t="str">
        <f>_xlfn.XLOOKUP(fOrcado[[#This Row],[Conta]],'Plano de Contas'!A:A,'Plano de Contas'!D:D)</f>
        <v>05 - Custo do Produto</v>
      </c>
    </row>
    <row r="1632" spans="1:5" x14ac:dyDescent="0.25">
      <c r="A1632" s="23">
        <f t="shared" si="24"/>
        <v>43800</v>
      </c>
      <c r="B1632" s="5" t="s">
        <v>141</v>
      </c>
      <c r="C1632" s="5">
        <v>-159913</v>
      </c>
      <c r="D1632" s="5" t="str">
        <f>_xlfn.XLOOKUP(fOrcado[[#This Row],[Conta]],'Plano de Contas'!A:A,'Plano de Contas'!C:C)</f>
        <v>(-) Custos de Vendas</v>
      </c>
      <c r="E1632" s="5" t="str">
        <f>_xlfn.XLOOKUP(fOrcado[[#This Row],[Conta]],'Plano de Contas'!A:A,'Plano de Contas'!D:D)</f>
        <v>05 - Custo do Produto</v>
      </c>
    </row>
    <row r="1633" spans="1:5" x14ac:dyDescent="0.25">
      <c r="A1633" s="23">
        <f t="shared" si="24"/>
        <v>43800</v>
      </c>
      <c r="B1633" s="5" t="s">
        <v>142</v>
      </c>
      <c r="C1633" s="5">
        <v>-90548</v>
      </c>
      <c r="D1633" s="5" t="str">
        <f>_xlfn.XLOOKUP(fOrcado[[#This Row],[Conta]],'Plano de Contas'!A:A,'Plano de Contas'!C:C)</f>
        <v>(-) Custos de Vendas</v>
      </c>
      <c r="E1633" s="5" t="str">
        <f>_xlfn.XLOOKUP(fOrcado[[#This Row],[Conta]],'Plano de Contas'!A:A,'Plano de Contas'!D:D)</f>
        <v>05 - Custo do Produto</v>
      </c>
    </row>
    <row r="1634" spans="1:5" x14ac:dyDescent="0.25">
      <c r="A1634" s="23">
        <f t="shared" si="24"/>
        <v>43800</v>
      </c>
      <c r="B1634" s="5" t="s">
        <v>143</v>
      </c>
      <c r="C1634" s="5">
        <v>-137477</v>
      </c>
      <c r="D1634" s="5" t="str">
        <f>_xlfn.XLOOKUP(fOrcado[[#This Row],[Conta]],'Plano de Contas'!A:A,'Plano de Contas'!C:C)</f>
        <v>(-) Custos de Vendas</v>
      </c>
      <c r="E1634" s="5" t="str">
        <f>_xlfn.XLOOKUP(fOrcado[[#This Row],[Conta]],'Plano de Contas'!A:A,'Plano de Contas'!D:D)</f>
        <v>05 - Custo do Produto</v>
      </c>
    </row>
    <row r="1635" spans="1:5" x14ac:dyDescent="0.25">
      <c r="A1635" s="23">
        <f t="shared" si="24"/>
        <v>43800</v>
      </c>
      <c r="B1635" s="5" t="s">
        <v>144</v>
      </c>
      <c r="C1635" s="5">
        <v>-126428</v>
      </c>
      <c r="D1635" s="5" t="str">
        <f>_xlfn.XLOOKUP(fOrcado[[#This Row],[Conta]],'Plano de Contas'!A:A,'Plano de Contas'!C:C)</f>
        <v>(-) Custos de Vendas</v>
      </c>
      <c r="E1635" s="5" t="str">
        <f>_xlfn.XLOOKUP(fOrcado[[#This Row],[Conta]],'Plano de Contas'!A:A,'Plano de Contas'!D:D)</f>
        <v>05 - Custo do Produto</v>
      </c>
    </row>
    <row r="1636" spans="1:5" x14ac:dyDescent="0.25">
      <c r="A1636" s="23">
        <f t="shared" si="24"/>
        <v>43800</v>
      </c>
      <c r="B1636" s="5" t="s">
        <v>145</v>
      </c>
      <c r="C1636" s="5">
        <v>-257865</v>
      </c>
      <c r="D1636" s="5" t="str">
        <f>_xlfn.XLOOKUP(fOrcado[[#This Row],[Conta]],'Plano de Contas'!A:A,'Plano de Contas'!C:C)</f>
        <v>(-) Custos de Vendas</v>
      </c>
      <c r="E1636" s="5" t="str">
        <f>_xlfn.XLOOKUP(fOrcado[[#This Row],[Conta]],'Plano de Contas'!A:A,'Plano de Contas'!D:D)</f>
        <v>05 - Custo do Produto</v>
      </c>
    </row>
    <row r="1637" spans="1:5" x14ac:dyDescent="0.25">
      <c r="A1637" s="23">
        <f t="shared" si="24"/>
        <v>43800</v>
      </c>
      <c r="B1637" s="5" t="s">
        <v>146</v>
      </c>
      <c r="C1637" s="5">
        <v>-121586</v>
      </c>
      <c r="D1637" s="5" t="str">
        <f>_xlfn.XLOOKUP(fOrcado[[#This Row],[Conta]],'Plano de Contas'!A:A,'Plano de Contas'!C:C)</f>
        <v>(-) Custos de Vendas</v>
      </c>
      <c r="E1637" s="5" t="str">
        <f>_xlfn.XLOOKUP(fOrcado[[#This Row],[Conta]],'Plano de Contas'!A:A,'Plano de Contas'!D:D)</f>
        <v>05 - Custo do Produto</v>
      </c>
    </row>
    <row r="1638" spans="1:5" x14ac:dyDescent="0.25">
      <c r="A1638" s="23">
        <f t="shared" si="24"/>
        <v>43800</v>
      </c>
      <c r="B1638" s="5" t="s">
        <v>147</v>
      </c>
      <c r="C1638" s="5">
        <v>-204079</v>
      </c>
      <c r="D1638" s="5" t="str">
        <f>_xlfn.XLOOKUP(fOrcado[[#This Row],[Conta]],'Plano de Contas'!A:A,'Plano de Contas'!C:C)</f>
        <v>(-) Custos de Vendas</v>
      </c>
      <c r="E1638" s="5" t="str">
        <f>_xlfn.XLOOKUP(fOrcado[[#This Row],[Conta]],'Plano de Contas'!A:A,'Plano de Contas'!D:D)</f>
        <v>05 - Custo do Produto</v>
      </c>
    </row>
    <row r="1639" spans="1:5" x14ac:dyDescent="0.25">
      <c r="A1639" s="23">
        <f t="shared" si="24"/>
        <v>43800</v>
      </c>
      <c r="B1639" s="5" t="s">
        <v>148</v>
      </c>
      <c r="C1639" s="5">
        <v>-114008</v>
      </c>
      <c r="D1639" s="5" t="str">
        <f>_xlfn.XLOOKUP(fOrcado[[#This Row],[Conta]],'Plano de Contas'!A:A,'Plano de Contas'!C:C)</f>
        <v>(-) Custos de Vendas</v>
      </c>
      <c r="E1639" s="5" t="str">
        <f>_xlfn.XLOOKUP(fOrcado[[#This Row],[Conta]],'Plano de Contas'!A:A,'Plano de Contas'!D:D)</f>
        <v>05 - Custo do Produto</v>
      </c>
    </row>
    <row r="1640" spans="1:5" x14ac:dyDescent="0.25">
      <c r="A1640" s="23">
        <f t="shared" si="24"/>
        <v>43800</v>
      </c>
      <c r="B1640" s="5" t="s">
        <v>149</v>
      </c>
      <c r="C1640" s="5">
        <v>-232272</v>
      </c>
      <c r="D1640" s="5" t="str">
        <f>_xlfn.XLOOKUP(fOrcado[[#This Row],[Conta]],'Plano de Contas'!A:A,'Plano de Contas'!C:C)</f>
        <v>(-) Custos de Vendas</v>
      </c>
      <c r="E1640" s="5" t="str">
        <f>_xlfn.XLOOKUP(fOrcado[[#This Row],[Conta]],'Plano de Contas'!A:A,'Plano de Contas'!D:D)</f>
        <v>05 - Custo do Produto</v>
      </c>
    </row>
    <row r="1641" spans="1:5" x14ac:dyDescent="0.25">
      <c r="A1641" s="23">
        <f t="shared" si="24"/>
        <v>43800</v>
      </c>
      <c r="B1641" s="5" t="s">
        <v>150</v>
      </c>
      <c r="C1641" s="5">
        <v>-241221</v>
      </c>
      <c r="D1641" s="5" t="str">
        <f>_xlfn.XLOOKUP(fOrcado[[#This Row],[Conta]],'Plano de Contas'!A:A,'Plano de Contas'!C:C)</f>
        <v>(-) Custos de Vendas</v>
      </c>
      <c r="E1641" s="5" t="str">
        <f>_xlfn.XLOOKUP(fOrcado[[#This Row],[Conta]],'Plano de Contas'!A:A,'Plano de Contas'!D:D)</f>
        <v>05 - Custo do Produto</v>
      </c>
    </row>
    <row r="1642" spans="1:5" x14ac:dyDescent="0.25">
      <c r="A1642" s="23">
        <f t="shared" si="24"/>
        <v>43800</v>
      </c>
      <c r="B1642" s="5" t="s">
        <v>151</v>
      </c>
      <c r="C1642" s="5">
        <v>-178868</v>
      </c>
      <c r="D1642" s="5" t="str">
        <f>_xlfn.XLOOKUP(fOrcado[[#This Row],[Conta]],'Plano de Contas'!A:A,'Plano de Contas'!C:C)</f>
        <v>(-) Custos de Vendas</v>
      </c>
      <c r="E1642" s="5" t="str">
        <f>_xlfn.XLOOKUP(fOrcado[[#This Row],[Conta]],'Plano de Contas'!A:A,'Plano de Contas'!D:D)</f>
        <v>05 - Custo do Produto</v>
      </c>
    </row>
    <row r="1643" spans="1:5" x14ac:dyDescent="0.25">
      <c r="A1643" s="23">
        <f t="shared" si="24"/>
        <v>43800</v>
      </c>
      <c r="B1643" s="5" t="s">
        <v>152</v>
      </c>
      <c r="C1643" s="5">
        <v>-172605</v>
      </c>
      <c r="D1643" s="5" t="str">
        <f>_xlfn.XLOOKUP(fOrcado[[#This Row],[Conta]],'Plano de Contas'!A:A,'Plano de Contas'!C:C)</f>
        <v>(-) Custos de Vendas</v>
      </c>
      <c r="E1643" s="5" t="str">
        <f>_xlfn.XLOOKUP(fOrcado[[#This Row],[Conta]],'Plano de Contas'!A:A,'Plano de Contas'!D:D)</f>
        <v>05 - Custo do Produto</v>
      </c>
    </row>
    <row r="1644" spans="1:5" x14ac:dyDescent="0.25">
      <c r="A1644" s="23">
        <f t="shared" si="24"/>
        <v>43800</v>
      </c>
      <c r="B1644" s="5" t="s">
        <v>153</v>
      </c>
      <c r="C1644" s="5">
        <v>-103253</v>
      </c>
      <c r="D1644" s="5" t="str">
        <f>_xlfn.XLOOKUP(fOrcado[[#This Row],[Conta]],'Plano de Contas'!A:A,'Plano de Contas'!C:C)</f>
        <v>(-) Custos de Vendas</v>
      </c>
      <c r="E1644" s="5" t="str">
        <f>_xlfn.XLOOKUP(fOrcado[[#This Row],[Conta]],'Plano de Contas'!A:A,'Plano de Contas'!D:D)</f>
        <v>05 - Custo do Produto</v>
      </c>
    </row>
    <row r="1645" spans="1:5" x14ac:dyDescent="0.25">
      <c r="A1645" s="23">
        <f t="shared" si="24"/>
        <v>43800</v>
      </c>
      <c r="B1645" s="5" t="s">
        <v>154</v>
      </c>
      <c r="C1645" s="5">
        <v>-132234</v>
      </c>
      <c r="D1645" s="5" t="str">
        <f>_xlfn.XLOOKUP(fOrcado[[#This Row],[Conta]],'Plano de Contas'!A:A,'Plano de Contas'!C:C)</f>
        <v>(-) Custos de Vendas</v>
      </c>
      <c r="E1645" s="5" t="str">
        <f>_xlfn.XLOOKUP(fOrcado[[#This Row],[Conta]],'Plano de Contas'!A:A,'Plano de Contas'!D:D)</f>
        <v>05 - Custo do Produto</v>
      </c>
    </row>
    <row r="1646" spans="1:5" x14ac:dyDescent="0.25">
      <c r="A1646" s="23">
        <f t="shared" si="24"/>
        <v>43800</v>
      </c>
      <c r="B1646" s="5" t="s">
        <v>155</v>
      </c>
      <c r="C1646" s="5">
        <v>-215084</v>
      </c>
      <c r="D1646" s="5" t="str">
        <f>_xlfn.XLOOKUP(fOrcado[[#This Row],[Conta]],'Plano de Contas'!A:A,'Plano de Contas'!C:C)</f>
        <v>(-) Custos de Vendas</v>
      </c>
      <c r="E1646" s="5" t="str">
        <f>_xlfn.XLOOKUP(fOrcado[[#This Row],[Conta]],'Plano de Contas'!A:A,'Plano de Contas'!D:D)</f>
        <v>05 - Custo do Produto</v>
      </c>
    </row>
    <row r="1647" spans="1:5" x14ac:dyDescent="0.25">
      <c r="A1647" s="23">
        <f t="shared" si="24"/>
        <v>43800</v>
      </c>
      <c r="B1647" s="5" t="s">
        <v>156</v>
      </c>
      <c r="C1647" s="5">
        <v>-282698</v>
      </c>
      <c r="D1647" s="5" t="str">
        <f>_xlfn.XLOOKUP(fOrcado[[#This Row],[Conta]],'Plano de Contas'!A:A,'Plano de Contas'!C:C)</f>
        <v>(-) Custos de Vendas</v>
      </c>
      <c r="E1647" s="5" t="str">
        <f>_xlfn.XLOOKUP(fOrcado[[#This Row],[Conta]],'Plano de Contas'!A:A,'Plano de Contas'!D:D)</f>
        <v>05 - Custo do Produto</v>
      </c>
    </row>
    <row r="1648" spans="1:5" x14ac:dyDescent="0.25">
      <c r="A1648" s="23">
        <f t="shared" si="24"/>
        <v>43800</v>
      </c>
      <c r="B1648" s="5" t="s">
        <v>157</v>
      </c>
      <c r="C1648" s="5">
        <v>-117234</v>
      </c>
      <c r="D1648" s="5" t="str">
        <f>_xlfn.XLOOKUP(fOrcado[[#This Row],[Conta]],'Plano de Contas'!A:A,'Plano de Contas'!C:C)</f>
        <v>(-) Custos de Vendas</v>
      </c>
      <c r="E1648" s="5" t="str">
        <f>_xlfn.XLOOKUP(fOrcado[[#This Row],[Conta]],'Plano de Contas'!A:A,'Plano de Contas'!D:D)</f>
        <v>05 - Custo do Produto</v>
      </c>
    </row>
    <row r="1649" spans="1:5" x14ac:dyDescent="0.25">
      <c r="A1649" s="23">
        <f t="shared" si="24"/>
        <v>43800</v>
      </c>
      <c r="B1649" s="5" t="s">
        <v>158</v>
      </c>
      <c r="C1649" s="5">
        <v>-267331</v>
      </c>
      <c r="D1649" s="5" t="str">
        <f>_xlfn.XLOOKUP(fOrcado[[#This Row],[Conta]],'Plano de Contas'!A:A,'Plano de Contas'!C:C)</f>
        <v>(-) Custos de Vendas</v>
      </c>
      <c r="E1649" s="5" t="str">
        <f>_xlfn.XLOOKUP(fOrcado[[#This Row],[Conta]],'Plano de Contas'!A:A,'Plano de Contas'!D:D)</f>
        <v>05 - Custo do Produto</v>
      </c>
    </row>
    <row r="1650" spans="1:5" x14ac:dyDescent="0.25">
      <c r="A1650" s="23">
        <f t="shared" si="24"/>
        <v>43800</v>
      </c>
      <c r="B1650" s="5" t="s">
        <v>159</v>
      </c>
      <c r="C1650" s="5">
        <v>-116248</v>
      </c>
      <c r="D1650" s="5" t="str">
        <f>_xlfn.XLOOKUP(fOrcado[[#This Row],[Conta]],'Plano de Contas'!A:A,'Plano de Contas'!C:C)</f>
        <v>(-) Custos de Vendas</v>
      </c>
      <c r="E1650" s="5" t="str">
        <f>_xlfn.XLOOKUP(fOrcado[[#This Row],[Conta]],'Plano de Contas'!A:A,'Plano de Contas'!D:D)</f>
        <v>05 - Custo do Produto</v>
      </c>
    </row>
    <row r="1651" spans="1:5" x14ac:dyDescent="0.25">
      <c r="A1651" s="23">
        <f t="shared" si="24"/>
        <v>43800</v>
      </c>
      <c r="B1651" s="5" t="s">
        <v>160</v>
      </c>
      <c r="C1651" s="5">
        <v>-201801</v>
      </c>
      <c r="D1651" s="5" t="str">
        <f>_xlfn.XLOOKUP(fOrcado[[#This Row],[Conta]],'Plano de Contas'!A:A,'Plano de Contas'!C:C)</f>
        <v>(-) Custos de Vendas</v>
      </c>
      <c r="E1651" s="5" t="str">
        <f>_xlfn.XLOOKUP(fOrcado[[#This Row],[Conta]],'Plano de Contas'!A:A,'Plano de Contas'!D:D)</f>
        <v>05 - Custo do Produto</v>
      </c>
    </row>
    <row r="1652" spans="1:5" x14ac:dyDescent="0.25">
      <c r="A1652" s="23">
        <f t="shared" si="24"/>
        <v>43800</v>
      </c>
      <c r="B1652" s="5" t="s">
        <v>161</v>
      </c>
      <c r="C1652" s="5">
        <v>-277253</v>
      </c>
      <c r="D1652" s="5" t="str">
        <f>_xlfn.XLOOKUP(fOrcado[[#This Row],[Conta]],'Plano de Contas'!A:A,'Plano de Contas'!C:C)</f>
        <v>(-) Custos de Vendas</v>
      </c>
      <c r="E1652" s="5" t="str">
        <f>_xlfn.XLOOKUP(fOrcado[[#This Row],[Conta]],'Plano de Contas'!A:A,'Plano de Contas'!D:D)</f>
        <v>05 - Custo do Produto</v>
      </c>
    </row>
    <row r="1653" spans="1:5" x14ac:dyDescent="0.25">
      <c r="A1653" s="23">
        <f t="shared" si="24"/>
        <v>43800</v>
      </c>
      <c r="B1653" s="5" t="s">
        <v>162</v>
      </c>
      <c r="C1653" s="5">
        <v>-238933</v>
      </c>
      <c r="D1653" s="5" t="str">
        <f>_xlfn.XLOOKUP(fOrcado[[#This Row],[Conta]],'Plano de Contas'!A:A,'Plano de Contas'!C:C)</f>
        <v>(-) Custos de Vendas</v>
      </c>
      <c r="E1653" s="5" t="str">
        <f>_xlfn.XLOOKUP(fOrcado[[#This Row],[Conta]],'Plano de Contas'!A:A,'Plano de Contas'!D:D)</f>
        <v>05 - Custo do Produto</v>
      </c>
    </row>
    <row r="1654" spans="1:5" x14ac:dyDescent="0.25">
      <c r="A1654" s="23">
        <f t="shared" si="24"/>
        <v>43800</v>
      </c>
      <c r="B1654" s="5" t="s">
        <v>163</v>
      </c>
      <c r="C1654" s="5">
        <v>-242643</v>
      </c>
      <c r="D1654" s="5" t="str">
        <f>_xlfn.XLOOKUP(fOrcado[[#This Row],[Conta]],'Plano de Contas'!A:A,'Plano de Contas'!C:C)</f>
        <v>(-) Custos de Vendas</v>
      </c>
      <c r="E1654" s="5" t="str">
        <f>_xlfn.XLOOKUP(fOrcado[[#This Row],[Conta]],'Plano de Contas'!A:A,'Plano de Contas'!D:D)</f>
        <v>05 - Custo do Produto</v>
      </c>
    </row>
    <row r="1655" spans="1:5" x14ac:dyDescent="0.25">
      <c r="A1655" s="23">
        <f t="shared" si="24"/>
        <v>43800</v>
      </c>
      <c r="B1655" s="5" t="s">
        <v>164</v>
      </c>
      <c r="C1655" s="5">
        <v>-52213</v>
      </c>
      <c r="D1655" s="5" t="str">
        <f>_xlfn.XLOOKUP(fOrcado[[#This Row],[Conta]],'Plano de Contas'!A:A,'Plano de Contas'!C:C)</f>
        <v>(-) Custos de Vendas</v>
      </c>
      <c r="E1655" s="5" t="str">
        <f>_xlfn.XLOOKUP(fOrcado[[#This Row],[Conta]],'Plano de Contas'!A:A,'Plano de Contas'!D:D)</f>
        <v>06 - Outros Custos</v>
      </c>
    </row>
    <row r="1656" spans="1:5" x14ac:dyDescent="0.25">
      <c r="A1656" s="23">
        <f t="shared" si="24"/>
        <v>43800</v>
      </c>
      <c r="B1656" s="5" t="s">
        <v>165</v>
      </c>
      <c r="C1656" s="5">
        <v>-93584</v>
      </c>
      <c r="D1656" s="5" t="str">
        <f>_xlfn.XLOOKUP(fOrcado[[#This Row],[Conta]],'Plano de Contas'!A:A,'Plano de Contas'!C:C)</f>
        <v>(-) Custos de Vendas</v>
      </c>
      <c r="E1656" s="5" t="str">
        <f>_xlfn.XLOOKUP(fOrcado[[#This Row],[Conta]],'Plano de Contas'!A:A,'Plano de Contas'!D:D)</f>
        <v>06 - Outros Custos</v>
      </c>
    </row>
    <row r="1657" spans="1:5" x14ac:dyDescent="0.25">
      <c r="A1657" s="23">
        <f t="shared" si="24"/>
        <v>43800</v>
      </c>
      <c r="B1657" s="5" t="s">
        <v>166</v>
      </c>
      <c r="C1657" s="5">
        <v>-77912</v>
      </c>
      <c r="D1657" s="5" t="str">
        <f>_xlfn.XLOOKUP(fOrcado[[#This Row],[Conta]],'Plano de Contas'!A:A,'Plano de Contas'!C:C)</f>
        <v>(-) Custos de Vendas</v>
      </c>
      <c r="E1657" s="5" t="str">
        <f>_xlfn.XLOOKUP(fOrcado[[#This Row],[Conta]],'Plano de Contas'!A:A,'Plano de Contas'!D:D)</f>
        <v>06 - Outros Custos</v>
      </c>
    </row>
    <row r="1658" spans="1:5" x14ac:dyDescent="0.25">
      <c r="A1658" s="23">
        <f t="shared" si="24"/>
        <v>43800</v>
      </c>
      <c r="B1658" s="5" t="s">
        <v>167</v>
      </c>
      <c r="C1658" s="5">
        <v>-211780</v>
      </c>
      <c r="D1658" s="5" t="str">
        <f>_xlfn.XLOOKUP(fOrcado[[#This Row],[Conta]],'Plano de Contas'!A:A,'Plano de Contas'!C:C)</f>
        <v>(-) Despesas Gerais</v>
      </c>
      <c r="E1658" s="5" t="str">
        <f>_xlfn.XLOOKUP(fOrcado[[#This Row],[Conta]],'Plano de Contas'!A:A,'Plano de Contas'!D:D)</f>
        <v>07 - Despesas Administrativas</v>
      </c>
    </row>
    <row r="1659" spans="1:5" x14ac:dyDescent="0.25">
      <c r="A1659" s="23">
        <f t="shared" si="24"/>
        <v>43800</v>
      </c>
      <c r="B1659" s="5" t="s">
        <v>168</v>
      </c>
      <c r="C1659" s="5">
        <v>-252396</v>
      </c>
      <c r="D1659" s="5" t="str">
        <f>_xlfn.XLOOKUP(fOrcado[[#This Row],[Conta]],'Plano de Contas'!A:A,'Plano de Contas'!C:C)</f>
        <v>(-) Despesas Gerais</v>
      </c>
      <c r="E1659" s="5" t="str">
        <f>_xlfn.XLOOKUP(fOrcado[[#This Row],[Conta]],'Plano de Contas'!A:A,'Plano de Contas'!D:D)</f>
        <v>07 - Despesas Administrativas</v>
      </c>
    </row>
    <row r="1660" spans="1:5" x14ac:dyDescent="0.25">
      <c r="A1660" s="23">
        <f t="shared" si="24"/>
        <v>43800</v>
      </c>
      <c r="B1660" s="5" t="s">
        <v>169</v>
      </c>
      <c r="C1660" s="5">
        <v>-109146</v>
      </c>
      <c r="D1660" s="5" t="str">
        <f>_xlfn.XLOOKUP(fOrcado[[#This Row],[Conta]],'Plano de Contas'!A:A,'Plano de Contas'!C:C)</f>
        <v>(-) Despesas Gerais</v>
      </c>
      <c r="E1660" s="5" t="str">
        <f>_xlfn.XLOOKUP(fOrcado[[#This Row],[Conta]],'Plano de Contas'!A:A,'Plano de Contas'!D:D)</f>
        <v>07 - Despesas Administrativas</v>
      </c>
    </row>
    <row r="1661" spans="1:5" x14ac:dyDescent="0.25">
      <c r="A1661" s="23">
        <f t="shared" si="24"/>
        <v>43800</v>
      </c>
      <c r="B1661" s="5" t="s">
        <v>170</v>
      </c>
      <c r="C1661" s="5">
        <v>-378933</v>
      </c>
      <c r="D1661" s="5" t="str">
        <f>_xlfn.XLOOKUP(fOrcado[[#This Row],[Conta]],'Plano de Contas'!A:A,'Plano de Contas'!C:C)</f>
        <v>(-) Despesas Gerais</v>
      </c>
      <c r="E1661" s="5" t="str">
        <f>_xlfn.XLOOKUP(fOrcado[[#This Row],[Conta]],'Plano de Contas'!A:A,'Plano de Contas'!D:D)</f>
        <v>07 - Despesas Administrativas</v>
      </c>
    </row>
    <row r="1662" spans="1:5" x14ac:dyDescent="0.25">
      <c r="A1662" s="23">
        <f t="shared" si="24"/>
        <v>43800</v>
      </c>
      <c r="B1662" s="5" t="s">
        <v>171</v>
      </c>
      <c r="C1662" s="5">
        <v>-132393</v>
      </c>
      <c r="D1662" s="5" t="str">
        <f>_xlfn.XLOOKUP(fOrcado[[#This Row],[Conta]],'Plano de Contas'!A:A,'Plano de Contas'!C:C)</f>
        <v>(-) Despesas Gerais</v>
      </c>
      <c r="E1662" s="5" t="str">
        <f>_xlfn.XLOOKUP(fOrcado[[#This Row],[Conta]],'Plano de Contas'!A:A,'Plano de Contas'!D:D)</f>
        <v>07 - Despesas Administrativas</v>
      </c>
    </row>
    <row r="1663" spans="1:5" x14ac:dyDescent="0.25">
      <c r="A1663" s="23">
        <f t="shared" si="24"/>
        <v>43800</v>
      </c>
      <c r="B1663" s="5" t="s">
        <v>172</v>
      </c>
      <c r="C1663" s="5">
        <v>-198059</v>
      </c>
      <c r="D1663" s="5" t="str">
        <f>_xlfn.XLOOKUP(fOrcado[[#This Row],[Conta]],'Plano de Contas'!A:A,'Plano de Contas'!C:C)</f>
        <v>(-) Despesas Gerais</v>
      </c>
      <c r="E1663" s="5" t="str">
        <f>_xlfn.XLOOKUP(fOrcado[[#This Row],[Conta]],'Plano de Contas'!A:A,'Plano de Contas'!D:D)</f>
        <v>07 - Despesas Administrativas</v>
      </c>
    </row>
    <row r="1664" spans="1:5" x14ac:dyDescent="0.25">
      <c r="A1664" s="23">
        <f t="shared" si="24"/>
        <v>43800</v>
      </c>
      <c r="B1664" s="5" t="s">
        <v>173</v>
      </c>
      <c r="C1664" s="5">
        <v>-57593</v>
      </c>
      <c r="D1664" s="5" t="str">
        <f>_xlfn.XLOOKUP(fOrcado[[#This Row],[Conta]],'Plano de Contas'!A:A,'Plano de Contas'!C:C)</f>
        <v>(-) Despesas Gerais</v>
      </c>
      <c r="E1664" s="5" t="str">
        <f>_xlfn.XLOOKUP(fOrcado[[#This Row],[Conta]],'Plano de Contas'!A:A,'Plano de Contas'!D:D)</f>
        <v>08 - Despesas Financeiras</v>
      </c>
    </row>
    <row r="1665" spans="1:5" x14ac:dyDescent="0.25">
      <c r="A1665" s="23">
        <f t="shared" si="24"/>
        <v>43800</v>
      </c>
      <c r="B1665" s="5" t="s">
        <v>174</v>
      </c>
      <c r="C1665" s="5">
        <v>-46144</v>
      </c>
      <c r="D1665" s="5" t="str">
        <f>_xlfn.XLOOKUP(fOrcado[[#This Row],[Conta]],'Plano de Contas'!A:A,'Plano de Contas'!C:C)</f>
        <v>(-) Despesas Gerais</v>
      </c>
      <c r="E1665" s="5" t="str">
        <f>_xlfn.XLOOKUP(fOrcado[[#This Row],[Conta]],'Plano de Contas'!A:A,'Plano de Contas'!D:D)</f>
        <v>08 - Despesas Financeiras</v>
      </c>
    </row>
    <row r="1666" spans="1:5" x14ac:dyDescent="0.25">
      <c r="A1666" s="23">
        <f t="shared" si="24"/>
        <v>43800</v>
      </c>
      <c r="B1666" s="5" t="s">
        <v>175</v>
      </c>
      <c r="C1666" s="5">
        <v>-57283</v>
      </c>
      <c r="D1666" s="5" t="str">
        <f>_xlfn.XLOOKUP(fOrcado[[#This Row],[Conta]],'Plano de Contas'!A:A,'Plano de Contas'!C:C)</f>
        <v>(-) Despesas Gerais</v>
      </c>
      <c r="E1666" s="5" t="str">
        <f>_xlfn.XLOOKUP(fOrcado[[#This Row],[Conta]],'Plano de Contas'!A:A,'Plano de Contas'!D:D)</f>
        <v>08 - Despesas Financeiras</v>
      </c>
    </row>
    <row r="1667" spans="1:5" x14ac:dyDescent="0.25">
      <c r="A1667" s="23">
        <f t="shared" si="24"/>
        <v>43800</v>
      </c>
      <c r="B1667" s="5" t="s">
        <v>176</v>
      </c>
      <c r="C1667" s="5">
        <v>-52640</v>
      </c>
      <c r="D1667" s="5" t="str">
        <f>_xlfn.XLOOKUP(fOrcado[[#This Row],[Conta]],'Plano de Contas'!A:A,'Plano de Contas'!C:C)</f>
        <v>(-) Despesas Gerais</v>
      </c>
      <c r="E1667" s="5" t="str">
        <f>_xlfn.XLOOKUP(fOrcado[[#This Row],[Conta]],'Plano de Contas'!A:A,'Plano de Contas'!D:D)</f>
        <v>08 - Despesas Financeiras</v>
      </c>
    </row>
    <row r="1668" spans="1:5" x14ac:dyDescent="0.25">
      <c r="A1668" s="23">
        <f t="shared" si="24"/>
        <v>43800</v>
      </c>
      <c r="B1668" s="5" t="s">
        <v>177</v>
      </c>
      <c r="C1668" s="5">
        <v>-54741</v>
      </c>
      <c r="D1668" s="5" t="str">
        <f>_xlfn.XLOOKUP(fOrcado[[#This Row],[Conta]],'Plano de Contas'!A:A,'Plano de Contas'!C:C)</f>
        <v>(-) Despesas Gerais</v>
      </c>
      <c r="E1668" s="5" t="str">
        <f>_xlfn.XLOOKUP(fOrcado[[#This Row],[Conta]],'Plano de Contas'!A:A,'Plano de Contas'!D:D)</f>
        <v>08 - Despesas Financeiras</v>
      </c>
    </row>
    <row r="1669" spans="1:5" x14ac:dyDescent="0.25">
      <c r="A1669" s="23">
        <f t="shared" si="24"/>
        <v>43800</v>
      </c>
      <c r="B1669" s="5" t="s">
        <v>178</v>
      </c>
      <c r="C1669" s="5">
        <v>-109633</v>
      </c>
      <c r="D1669" s="5" t="str">
        <f>_xlfn.XLOOKUP(fOrcado[[#This Row],[Conta]],'Plano de Contas'!A:A,'Plano de Contas'!C:C)</f>
        <v>(-) Despesas Gerais</v>
      </c>
      <c r="E1669" s="5" t="str">
        <f>_xlfn.XLOOKUP(fOrcado[[#This Row],[Conta]],'Plano de Contas'!A:A,'Plano de Contas'!D:D)</f>
        <v>09 - Tecnologia da Informação</v>
      </c>
    </row>
    <row r="1670" spans="1:5" x14ac:dyDescent="0.25">
      <c r="A1670" s="23">
        <f t="shared" si="24"/>
        <v>43800</v>
      </c>
      <c r="B1670" s="5" t="s">
        <v>179</v>
      </c>
      <c r="C1670" s="5">
        <v>-187314</v>
      </c>
      <c r="D1670" s="5" t="str">
        <f>_xlfn.XLOOKUP(fOrcado[[#This Row],[Conta]],'Plano de Contas'!A:A,'Plano de Contas'!C:C)</f>
        <v>(-) Despesas Gerais</v>
      </c>
      <c r="E1670" s="5" t="str">
        <f>_xlfn.XLOOKUP(fOrcado[[#This Row],[Conta]],'Plano de Contas'!A:A,'Plano de Contas'!D:D)</f>
        <v>09 - Tecnologia da Informação</v>
      </c>
    </row>
    <row r="1671" spans="1:5" x14ac:dyDescent="0.25">
      <c r="A1671" s="23">
        <f t="shared" si="24"/>
        <v>43800</v>
      </c>
      <c r="B1671" s="5" t="s">
        <v>180</v>
      </c>
      <c r="C1671" s="5">
        <v>-258972</v>
      </c>
      <c r="D1671" s="5" t="str">
        <f>_xlfn.XLOOKUP(fOrcado[[#This Row],[Conta]],'Plano de Contas'!A:A,'Plano de Contas'!C:C)</f>
        <v>(-) Despesas Gerais</v>
      </c>
      <c r="E1671" s="5" t="str">
        <f>_xlfn.XLOOKUP(fOrcado[[#This Row],[Conta]],'Plano de Contas'!A:A,'Plano de Contas'!D:D)</f>
        <v>09 - Tecnologia da Informação</v>
      </c>
    </row>
    <row r="1672" spans="1:5" x14ac:dyDescent="0.25">
      <c r="A1672" s="23">
        <f t="shared" ref="A1672:A1681" si="25">EDATE(A1532,1)</f>
        <v>43800</v>
      </c>
      <c r="B1672" s="5" t="s">
        <v>181</v>
      </c>
      <c r="C1672" s="5">
        <v>-74739</v>
      </c>
      <c r="D1672" s="5" t="str">
        <f>_xlfn.XLOOKUP(fOrcado[[#This Row],[Conta]],'Plano de Contas'!A:A,'Plano de Contas'!C:C)</f>
        <v>(-) Despesas Gerais</v>
      </c>
      <c r="E1672" s="5" t="str">
        <f>_xlfn.XLOOKUP(fOrcado[[#This Row],[Conta]],'Plano de Contas'!A:A,'Plano de Contas'!D:D)</f>
        <v>10 - Recursos Humanos</v>
      </c>
    </row>
    <row r="1673" spans="1:5" x14ac:dyDescent="0.25">
      <c r="A1673" s="23">
        <f t="shared" si="25"/>
        <v>43800</v>
      </c>
      <c r="B1673" s="5" t="s">
        <v>182</v>
      </c>
      <c r="C1673" s="5">
        <v>-71305</v>
      </c>
      <c r="D1673" s="5" t="str">
        <f>_xlfn.XLOOKUP(fOrcado[[#This Row],[Conta]],'Plano de Contas'!A:A,'Plano de Contas'!C:C)</f>
        <v>(-) Despesas Gerais</v>
      </c>
      <c r="E1673" s="5" t="str">
        <f>_xlfn.XLOOKUP(fOrcado[[#This Row],[Conta]],'Plano de Contas'!A:A,'Plano de Contas'!D:D)</f>
        <v>10 - Recursos Humanos</v>
      </c>
    </row>
    <row r="1674" spans="1:5" x14ac:dyDescent="0.25">
      <c r="A1674" s="23">
        <f t="shared" si="25"/>
        <v>43800</v>
      </c>
      <c r="B1674" s="5" t="s">
        <v>183</v>
      </c>
      <c r="C1674" s="5">
        <v>-67028</v>
      </c>
      <c r="D1674" s="5" t="str">
        <f>_xlfn.XLOOKUP(fOrcado[[#This Row],[Conta]],'Plano de Contas'!A:A,'Plano de Contas'!C:C)</f>
        <v>(-) Despesas Gerais</v>
      </c>
      <c r="E1674" s="5" t="str">
        <f>_xlfn.XLOOKUP(fOrcado[[#This Row],[Conta]],'Plano de Contas'!A:A,'Plano de Contas'!D:D)</f>
        <v>10 - Recursos Humanos</v>
      </c>
    </row>
    <row r="1675" spans="1:5" x14ac:dyDescent="0.25">
      <c r="A1675" s="23">
        <f t="shared" si="25"/>
        <v>43800</v>
      </c>
      <c r="B1675" s="5" t="s">
        <v>184</v>
      </c>
      <c r="C1675" s="5">
        <v>-63588</v>
      </c>
      <c r="D1675" s="5" t="str">
        <f>_xlfn.XLOOKUP(fOrcado[[#This Row],[Conta]],'Plano de Contas'!A:A,'Plano de Contas'!C:C)</f>
        <v>(-) Despesas Gerais</v>
      </c>
      <c r="E1675" s="5" t="str">
        <f>_xlfn.XLOOKUP(fOrcado[[#This Row],[Conta]],'Plano de Contas'!A:A,'Plano de Contas'!D:D)</f>
        <v>10 - Recursos Humanos</v>
      </c>
    </row>
    <row r="1676" spans="1:5" x14ac:dyDescent="0.25">
      <c r="A1676" s="23">
        <f t="shared" si="25"/>
        <v>43800</v>
      </c>
      <c r="B1676" s="5" t="s">
        <v>185</v>
      </c>
      <c r="C1676" s="5">
        <v>-81069</v>
      </c>
      <c r="D1676" s="5" t="str">
        <f>_xlfn.XLOOKUP(fOrcado[[#This Row],[Conta]],'Plano de Contas'!A:A,'Plano de Contas'!C:C)</f>
        <v>(-) Despesas Gerais</v>
      </c>
      <c r="E1676" s="5" t="str">
        <f>_xlfn.XLOOKUP(fOrcado[[#This Row],[Conta]],'Plano de Contas'!A:A,'Plano de Contas'!D:D)</f>
        <v>11 - Relacionamento com Cliente</v>
      </c>
    </row>
    <row r="1677" spans="1:5" x14ac:dyDescent="0.25">
      <c r="A1677" s="23">
        <f t="shared" si="25"/>
        <v>43800</v>
      </c>
      <c r="B1677" s="5" t="s">
        <v>186</v>
      </c>
      <c r="C1677" s="5">
        <v>-107657</v>
      </c>
      <c r="D1677" s="5" t="str">
        <f>_xlfn.XLOOKUP(fOrcado[[#This Row],[Conta]],'Plano de Contas'!A:A,'Plano de Contas'!C:C)</f>
        <v>(-) Despesas Gerais</v>
      </c>
      <c r="E1677" s="5" t="str">
        <f>_xlfn.XLOOKUP(fOrcado[[#This Row],[Conta]],'Plano de Contas'!A:A,'Plano de Contas'!D:D)</f>
        <v>11 - Relacionamento com Cliente</v>
      </c>
    </row>
    <row r="1678" spans="1:5" x14ac:dyDescent="0.25">
      <c r="A1678" s="23">
        <f t="shared" si="25"/>
        <v>43800</v>
      </c>
      <c r="B1678" s="5" t="s">
        <v>187</v>
      </c>
      <c r="C1678" s="5">
        <v>-191179</v>
      </c>
      <c r="D1678" s="5" t="str">
        <f>_xlfn.XLOOKUP(fOrcado[[#This Row],[Conta]],'Plano de Contas'!A:A,'Plano de Contas'!C:C)</f>
        <v>(-) Despesas Gerais</v>
      </c>
      <c r="E1678" s="5" t="str">
        <f>_xlfn.XLOOKUP(fOrcado[[#This Row],[Conta]],'Plano de Contas'!A:A,'Plano de Contas'!D:D)</f>
        <v>12 - Marketing e Divulgação</v>
      </c>
    </row>
    <row r="1679" spans="1:5" x14ac:dyDescent="0.25">
      <c r="A1679" s="23">
        <f t="shared" si="25"/>
        <v>43800</v>
      </c>
      <c r="B1679" s="5" t="s">
        <v>188</v>
      </c>
      <c r="C1679" s="5">
        <v>-193655</v>
      </c>
      <c r="D1679" s="5" t="str">
        <f>_xlfn.XLOOKUP(fOrcado[[#This Row],[Conta]],'Plano de Contas'!A:A,'Plano de Contas'!C:C)</f>
        <v>(-) Despesas Gerais</v>
      </c>
      <c r="E1679" s="5" t="str">
        <f>_xlfn.XLOOKUP(fOrcado[[#This Row],[Conta]],'Plano de Contas'!A:A,'Plano de Contas'!D:D)</f>
        <v>12 - Marketing e Divulgação</v>
      </c>
    </row>
    <row r="1680" spans="1:5" x14ac:dyDescent="0.25">
      <c r="A1680" s="23">
        <f t="shared" si="25"/>
        <v>43800</v>
      </c>
      <c r="B1680" s="5" t="s">
        <v>189</v>
      </c>
      <c r="C1680" s="5">
        <v>-10431</v>
      </c>
      <c r="D1680" s="5" t="str">
        <f>_xlfn.XLOOKUP(fOrcado[[#This Row],[Conta]],'Plano de Contas'!A:A,'Plano de Contas'!C:C)</f>
        <v>(-) Impostos</v>
      </c>
      <c r="E1680" s="5" t="str">
        <f>_xlfn.XLOOKUP(fOrcado[[#This Row],[Conta]],'Plano de Contas'!A:A,'Plano de Contas'!D:D)</f>
        <v>13 - Impostos Estaduais</v>
      </c>
    </row>
    <row r="1681" spans="1:5" x14ac:dyDescent="0.25">
      <c r="A1681" s="23">
        <f t="shared" si="25"/>
        <v>43800</v>
      </c>
      <c r="B1681" s="5" t="s">
        <v>190</v>
      </c>
      <c r="C1681" s="5">
        <v>-24098</v>
      </c>
      <c r="D1681" s="5" t="str">
        <f>_xlfn.XLOOKUP(fOrcado[[#This Row],[Conta]],'Plano de Contas'!A:A,'Plano de Contas'!C:C)</f>
        <v>(-) Impostos</v>
      </c>
      <c r="E1681" s="5" t="str">
        <f>_xlfn.XLOOKUP(fOrcado[[#This Row],[Conta]],'Plano de Contas'!A:A,'Plano de Contas'!D:D)</f>
        <v>14 - Impostos Federais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54AE-DA7F-4D9E-AD4C-02B99176D126}">
  <dimension ref="A1:C1681"/>
  <sheetViews>
    <sheetView showGridLines="0" workbookViewId="0">
      <selection activeCell="C2" sqref="C2:C1681"/>
    </sheetView>
  </sheetViews>
  <sheetFormatPr defaultRowHeight="15" x14ac:dyDescent="0.25"/>
  <cols>
    <col min="1" max="1" width="11.42578125" customWidth="1"/>
    <col min="2" max="2" width="10" bestFit="1" customWidth="1"/>
    <col min="3" max="3" width="14.5703125" customWidth="1"/>
  </cols>
  <sheetData>
    <row r="1" spans="1:3" x14ac:dyDescent="0.25">
      <c r="A1" t="s">
        <v>191</v>
      </c>
      <c r="B1" t="s">
        <v>6</v>
      </c>
      <c r="C1" t="s">
        <v>194</v>
      </c>
    </row>
    <row r="2" spans="1:3" x14ac:dyDescent="0.25">
      <c r="A2" s="1">
        <v>43466</v>
      </c>
      <c r="B2" t="s">
        <v>51</v>
      </c>
      <c r="C2">
        <v>810137</v>
      </c>
    </row>
    <row r="3" spans="1:3" x14ac:dyDescent="0.25">
      <c r="A3" s="1">
        <v>43466</v>
      </c>
      <c r="B3" t="s">
        <v>52</v>
      </c>
      <c r="C3">
        <v>850100</v>
      </c>
    </row>
    <row r="4" spans="1:3" x14ac:dyDescent="0.25">
      <c r="A4" s="1">
        <v>43466</v>
      </c>
      <c r="B4" t="s">
        <v>53</v>
      </c>
      <c r="C4">
        <v>299588</v>
      </c>
    </row>
    <row r="5" spans="1:3" x14ac:dyDescent="0.25">
      <c r="A5" s="1">
        <v>43466</v>
      </c>
      <c r="B5" t="s">
        <v>54</v>
      </c>
      <c r="C5">
        <v>506754</v>
      </c>
    </row>
    <row r="6" spans="1:3" x14ac:dyDescent="0.25">
      <c r="A6" s="1">
        <v>43466</v>
      </c>
      <c r="B6" t="s">
        <v>55</v>
      </c>
      <c r="C6">
        <v>586151</v>
      </c>
    </row>
    <row r="7" spans="1:3" x14ac:dyDescent="0.25">
      <c r="A7" s="1">
        <v>43466</v>
      </c>
      <c r="B7" t="s">
        <v>56</v>
      </c>
      <c r="C7">
        <v>554691</v>
      </c>
    </row>
    <row r="8" spans="1:3" x14ac:dyDescent="0.25">
      <c r="A8" s="1">
        <v>43466</v>
      </c>
      <c r="B8" t="s">
        <v>57</v>
      </c>
      <c r="C8">
        <v>954172</v>
      </c>
    </row>
    <row r="9" spans="1:3" x14ac:dyDescent="0.25">
      <c r="A9" s="1">
        <v>43466</v>
      </c>
      <c r="B9" t="s">
        <v>58</v>
      </c>
      <c r="C9">
        <v>431512</v>
      </c>
    </row>
    <row r="10" spans="1:3" x14ac:dyDescent="0.25">
      <c r="A10" s="1">
        <v>43466</v>
      </c>
      <c r="B10" t="s">
        <v>59</v>
      </c>
      <c r="C10">
        <v>500702</v>
      </c>
    </row>
    <row r="11" spans="1:3" x14ac:dyDescent="0.25">
      <c r="A11" s="1">
        <v>43466</v>
      </c>
      <c r="B11" t="s">
        <v>60</v>
      </c>
      <c r="C11">
        <v>980377</v>
      </c>
    </row>
    <row r="12" spans="1:3" x14ac:dyDescent="0.25">
      <c r="A12" s="1">
        <v>43466</v>
      </c>
      <c r="B12" t="s">
        <v>61</v>
      </c>
      <c r="C12">
        <v>449918</v>
      </c>
    </row>
    <row r="13" spans="1:3" x14ac:dyDescent="0.25">
      <c r="A13" s="1">
        <v>43466</v>
      </c>
      <c r="B13" t="s">
        <v>62</v>
      </c>
      <c r="C13">
        <v>607684</v>
      </c>
    </row>
    <row r="14" spans="1:3" x14ac:dyDescent="0.25">
      <c r="A14" s="1">
        <v>43466</v>
      </c>
      <c r="B14" t="s">
        <v>63</v>
      </c>
      <c r="C14">
        <v>709801</v>
      </c>
    </row>
    <row r="15" spans="1:3" x14ac:dyDescent="0.25">
      <c r="A15" s="1">
        <v>43466</v>
      </c>
      <c r="B15" t="s">
        <v>64</v>
      </c>
      <c r="C15">
        <v>563157</v>
      </c>
    </row>
    <row r="16" spans="1:3" x14ac:dyDescent="0.25">
      <c r="A16" s="1">
        <v>43466</v>
      </c>
      <c r="B16" t="s">
        <v>65</v>
      </c>
      <c r="C16">
        <v>899985</v>
      </c>
    </row>
    <row r="17" spans="1:3" x14ac:dyDescent="0.25">
      <c r="A17" s="1">
        <v>43466</v>
      </c>
      <c r="B17" t="s">
        <v>66</v>
      </c>
      <c r="C17">
        <v>660206</v>
      </c>
    </row>
    <row r="18" spans="1:3" x14ac:dyDescent="0.25">
      <c r="A18" s="1">
        <v>43466</v>
      </c>
      <c r="B18" t="s">
        <v>67</v>
      </c>
      <c r="C18">
        <v>573589</v>
      </c>
    </row>
    <row r="19" spans="1:3" x14ac:dyDescent="0.25">
      <c r="A19" s="1">
        <v>43466</v>
      </c>
      <c r="B19" t="s">
        <v>68</v>
      </c>
      <c r="C19">
        <v>485633</v>
      </c>
    </row>
    <row r="20" spans="1:3" x14ac:dyDescent="0.25">
      <c r="A20" s="1">
        <v>43466</v>
      </c>
      <c r="B20" t="s">
        <v>69</v>
      </c>
      <c r="C20">
        <v>720917</v>
      </c>
    </row>
    <row r="21" spans="1:3" x14ac:dyDescent="0.25">
      <c r="A21" s="1">
        <v>43466</v>
      </c>
      <c r="B21" t="s">
        <v>70</v>
      </c>
      <c r="C21">
        <v>461375</v>
      </c>
    </row>
    <row r="22" spans="1:3" x14ac:dyDescent="0.25">
      <c r="A22" s="1">
        <v>43466</v>
      </c>
      <c r="B22" t="s">
        <v>71</v>
      </c>
      <c r="C22">
        <v>736040</v>
      </c>
    </row>
    <row r="23" spans="1:3" x14ac:dyDescent="0.25">
      <c r="A23" s="1">
        <v>43466</v>
      </c>
      <c r="B23" t="s">
        <v>72</v>
      </c>
      <c r="C23">
        <v>718496</v>
      </c>
    </row>
    <row r="24" spans="1:3" x14ac:dyDescent="0.25">
      <c r="A24" s="1">
        <v>43466</v>
      </c>
      <c r="B24" t="s">
        <v>73</v>
      </c>
      <c r="C24">
        <v>60172</v>
      </c>
    </row>
    <row r="25" spans="1:3" x14ac:dyDescent="0.25">
      <c r="A25" s="1">
        <v>43466</v>
      </c>
      <c r="B25" t="s">
        <v>74</v>
      </c>
      <c r="C25">
        <v>242979</v>
      </c>
    </row>
    <row r="26" spans="1:3" x14ac:dyDescent="0.25">
      <c r="A26" s="1">
        <v>43466</v>
      </c>
      <c r="B26" t="s">
        <v>75</v>
      </c>
      <c r="C26">
        <v>90494</v>
      </c>
    </row>
    <row r="27" spans="1:3" x14ac:dyDescent="0.25">
      <c r="A27" s="1">
        <v>43466</v>
      </c>
      <c r="B27" t="s">
        <v>76</v>
      </c>
      <c r="C27">
        <v>274668</v>
      </c>
    </row>
    <row r="28" spans="1:3" x14ac:dyDescent="0.25">
      <c r="A28" s="1">
        <v>43466</v>
      </c>
      <c r="B28" t="s">
        <v>77</v>
      </c>
      <c r="C28">
        <v>295238</v>
      </c>
    </row>
    <row r="29" spans="1:3" x14ac:dyDescent="0.25">
      <c r="A29" s="1">
        <v>43466</v>
      </c>
      <c r="B29" t="s">
        <v>78</v>
      </c>
      <c r="C29">
        <v>282454</v>
      </c>
    </row>
    <row r="30" spans="1:3" x14ac:dyDescent="0.25">
      <c r="A30" s="1">
        <v>43466</v>
      </c>
      <c r="B30" t="s">
        <v>79</v>
      </c>
      <c r="C30">
        <v>58521</v>
      </c>
    </row>
    <row r="31" spans="1:3" x14ac:dyDescent="0.25">
      <c r="A31" s="1">
        <v>43466</v>
      </c>
      <c r="B31" t="s">
        <v>80</v>
      </c>
      <c r="C31">
        <v>124972</v>
      </c>
    </row>
    <row r="32" spans="1:3" x14ac:dyDescent="0.25">
      <c r="A32" s="1">
        <v>43466</v>
      </c>
      <c r="B32" t="s">
        <v>81</v>
      </c>
      <c r="C32">
        <v>118613</v>
      </c>
    </row>
    <row r="33" spans="1:3" x14ac:dyDescent="0.25">
      <c r="A33" s="1">
        <v>43466</v>
      </c>
      <c r="B33" t="s">
        <v>82</v>
      </c>
      <c r="C33">
        <v>112657</v>
      </c>
    </row>
    <row r="34" spans="1:3" x14ac:dyDescent="0.25">
      <c r="A34" s="1">
        <v>43466</v>
      </c>
      <c r="B34" t="s">
        <v>83</v>
      </c>
      <c r="C34">
        <v>276681</v>
      </c>
    </row>
    <row r="35" spans="1:3" x14ac:dyDescent="0.25">
      <c r="A35" s="1">
        <v>43466</v>
      </c>
      <c r="B35" t="s">
        <v>84</v>
      </c>
      <c r="C35">
        <v>82655</v>
      </c>
    </row>
    <row r="36" spans="1:3" x14ac:dyDescent="0.25">
      <c r="A36" s="1">
        <v>43466</v>
      </c>
      <c r="B36" t="s">
        <v>85</v>
      </c>
      <c r="C36">
        <v>96651</v>
      </c>
    </row>
    <row r="37" spans="1:3" x14ac:dyDescent="0.25">
      <c r="A37" s="1">
        <v>43466</v>
      </c>
      <c r="B37" t="s">
        <v>86</v>
      </c>
      <c r="C37">
        <v>118037</v>
      </c>
    </row>
    <row r="38" spans="1:3" x14ac:dyDescent="0.25">
      <c r="A38" s="1">
        <v>43466</v>
      </c>
      <c r="B38" t="s">
        <v>87</v>
      </c>
      <c r="C38">
        <v>112103</v>
      </c>
    </row>
    <row r="39" spans="1:3" x14ac:dyDescent="0.25">
      <c r="A39" s="1">
        <v>43466</v>
      </c>
      <c r="B39" t="s">
        <v>88</v>
      </c>
      <c r="C39">
        <v>226004</v>
      </c>
    </row>
    <row r="40" spans="1:3" x14ac:dyDescent="0.25">
      <c r="A40" s="1">
        <v>43466</v>
      </c>
      <c r="B40" t="s">
        <v>89</v>
      </c>
      <c r="C40">
        <v>181343</v>
      </c>
    </row>
    <row r="41" spans="1:3" x14ac:dyDescent="0.25">
      <c r="A41" s="1">
        <v>43466</v>
      </c>
      <c r="B41" t="s">
        <v>90</v>
      </c>
      <c r="C41">
        <v>213650</v>
      </c>
    </row>
    <row r="42" spans="1:3" x14ac:dyDescent="0.25">
      <c r="A42" s="1">
        <v>43466</v>
      </c>
      <c r="B42" t="s">
        <v>91</v>
      </c>
      <c r="C42">
        <v>234902</v>
      </c>
    </row>
    <row r="43" spans="1:3" x14ac:dyDescent="0.25">
      <c r="A43" s="1">
        <v>43466</v>
      </c>
      <c r="B43" t="s">
        <v>92</v>
      </c>
      <c r="C43">
        <v>279668</v>
      </c>
    </row>
    <row r="44" spans="1:3" x14ac:dyDescent="0.25">
      <c r="A44" s="1">
        <v>43466</v>
      </c>
      <c r="B44" t="s">
        <v>93</v>
      </c>
      <c r="C44">
        <v>59203</v>
      </c>
    </row>
    <row r="45" spans="1:3" x14ac:dyDescent="0.25">
      <c r="A45" s="1">
        <v>43466</v>
      </c>
      <c r="B45" t="s">
        <v>94</v>
      </c>
      <c r="C45">
        <v>175987</v>
      </c>
    </row>
    <row r="46" spans="1:3" x14ac:dyDescent="0.25">
      <c r="A46" s="1">
        <v>43466</v>
      </c>
      <c r="B46" t="s">
        <v>95</v>
      </c>
      <c r="C46">
        <v>128208</v>
      </c>
    </row>
    <row r="47" spans="1:3" x14ac:dyDescent="0.25">
      <c r="A47" s="1">
        <v>43466</v>
      </c>
      <c r="B47" t="s">
        <v>96</v>
      </c>
      <c r="C47">
        <v>66734</v>
      </c>
    </row>
    <row r="48" spans="1:3" x14ac:dyDescent="0.25">
      <c r="A48" s="1">
        <v>43466</v>
      </c>
      <c r="B48" t="s">
        <v>97</v>
      </c>
      <c r="C48">
        <v>223085</v>
      </c>
    </row>
    <row r="49" spans="1:3" x14ac:dyDescent="0.25">
      <c r="A49" s="1">
        <v>43466</v>
      </c>
      <c r="B49" t="s">
        <v>98</v>
      </c>
      <c r="C49">
        <v>85397</v>
      </c>
    </row>
    <row r="50" spans="1:3" x14ac:dyDescent="0.25">
      <c r="A50" s="1">
        <v>43466</v>
      </c>
      <c r="B50" t="s">
        <v>99</v>
      </c>
      <c r="C50">
        <v>138645</v>
      </c>
    </row>
    <row r="51" spans="1:3" x14ac:dyDescent="0.25">
      <c r="A51" s="1">
        <v>43466</v>
      </c>
      <c r="B51" t="s">
        <v>100</v>
      </c>
      <c r="C51">
        <v>89884</v>
      </c>
    </row>
    <row r="52" spans="1:3" x14ac:dyDescent="0.25">
      <c r="A52" s="1">
        <v>43466</v>
      </c>
      <c r="B52" t="s">
        <v>101</v>
      </c>
      <c r="C52">
        <v>167132</v>
      </c>
    </row>
    <row r="53" spans="1:3" x14ac:dyDescent="0.25">
      <c r="A53" s="1">
        <v>43466</v>
      </c>
      <c r="B53" t="s">
        <v>102</v>
      </c>
      <c r="C53">
        <v>125171</v>
      </c>
    </row>
    <row r="54" spans="1:3" x14ac:dyDescent="0.25">
      <c r="A54" s="1">
        <v>43466</v>
      </c>
      <c r="B54" t="s">
        <v>103</v>
      </c>
      <c r="C54">
        <v>87125</v>
      </c>
    </row>
    <row r="55" spans="1:3" x14ac:dyDescent="0.25">
      <c r="A55" s="1">
        <v>43466</v>
      </c>
      <c r="B55" t="s">
        <v>104</v>
      </c>
      <c r="C55">
        <v>173390</v>
      </c>
    </row>
    <row r="56" spans="1:3" x14ac:dyDescent="0.25">
      <c r="A56" s="1">
        <v>43466</v>
      </c>
      <c r="B56" t="s">
        <v>105</v>
      </c>
      <c r="C56">
        <v>258659</v>
      </c>
    </row>
    <row r="57" spans="1:3" x14ac:dyDescent="0.25">
      <c r="A57" s="1">
        <v>43466</v>
      </c>
      <c r="B57" t="s">
        <v>106</v>
      </c>
      <c r="C57">
        <v>199237</v>
      </c>
    </row>
    <row r="58" spans="1:3" x14ac:dyDescent="0.25">
      <c r="A58" s="1">
        <v>43466</v>
      </c>
      <c r="B58" t="s">
        <v>107</v>
      </c>
      <c r="C58">
        <v>160410</v>
      </c>
    </row>
    <row r="59" spans="1:3" x14ac:dyDescent="0.25">
      <c r="A59" s="1">
        <v>43466</v>
      </c>
      <c r="B59" t="s">
        <v>108</v>
      </c>
      <c r="C59">
        <v>282562</v>
      </c>
    </row>
    <row r="60" spans="1:3" x14ac:dyDescent="0.25">
      <c r="A60" s="1">
        <v>43466</v>
      </c>
      <c r="B60" t="s">
        <v>109</v>
      </c>
      <c r="C60">
        <v>86640</v>
      </c>
    </row>
    <row r="61" spans="1:3" x14ac:dyDescent="0.25">
      <c r="A61" s="1">
        <v>43466</v>
      </c>
      <c r="B61" t="s">
        <v>110</v>
      </c>
      <c r="C61">
        <v>-3165</v>
      </c>
    </row>
    <row r="62" spans="1:3" x14ac:dyDescent="0.25">
      <c r="A62" s="1">
        <v>43466</v>
      </c>
      <c r="B62" t="s">
        <v>111</v>
      </c>
      <c r="C62">
        <v>-9079</v>
      </c>
    </row>
    <row r="63" spans="1:3" x14ac:dyDescent="0.25">
      <c r="A63" s="1">
        <v>43466</v>
      </c>
      <c r="B63" t="s">
        <v>112</v>
      </c>
      <c r="C63">
        <v>-5135</v>
      </c>
    </row>
    <row r="64" spans="1:3" x14ac:dyDescent="0.25">
      <c r="A64" s="1">
        <v>43466</v>
      </c>
      <c r="B64" t="s">
        <v>113</v>
      </c>
      <c r="C64">
        <v>-4352</v>
      </c>
    </row>
    <row r="65" spans="1:3" x14ac:dyDescent="0.25">
      <c r="A65" s="1">
        <v>43466</v>
      </c>
      <c r="B65" t="s">
        <v>114</v>
      </c>
      <c r="C65">
        <v>-3466</v>
      </c>
    </row>
    <row r="66" spans="1:3" x14ac:dyDescent="0.25">
      <c r="A66" s="1">
        <v>43466</v>
      </c>
      <c r="B66" t="s">
        <v>115</v>
      </c>
      <c r="C66">
        <v>-7975</v>
      </c>
    </row>
    <row r="67" spans="1:3" x14ac:dyDescent="0.25">
      <c r="A67" s="1">
        <v>43466</v>
      </c>
      <c r="B67" t="s">
        <v>116</v>
      </c>
      <c r="C67">
        <v>-5140</v>
      </c>
    </row>
    <row r="68" spans="1:3" x14ac:dyDescent="0.25">
      <c r="A68" s="1">
        <v>43466</v>
      </c>
      <c r="B68" t="s">
        <v>117</v>
      </c>
      <c r="C68">
        <v>-9692</v>
      </c>
    </row>
    <row r="69" spans="1:3" x14ac:dyDescent="0.25">
      <c r="A69" s="1">
        <v>43466</v>
      </c>
      <c r="B69" t="s">
        <v>118</v>
      </c>
      <c r="C69">
        <v>-3625</v>
      </c>
    </row>
    <row r="70" spans="1:3" x14ac:dyDescent="0.25">
      <c r="A70" s="1">
        <v>43466</v>
      </c>
      <c r="B70" t="s">
        <v>119</v>
      </c>
      <c r="C70">
        <v>-4887</v>
      </c>
    </row>
    <row r="71" spans="1:3" x14ac:dyDescent="0.25">
      <c r="A71" s="1">
        <v>43466</v>
      </c>
      <c r="B71" t="s">
        <v>120</v>
      </c>
      <c r="C71">
        <v>-8452</v>
      </c>
    </row>
    <row r="72" spans="1:3" x14ac:dyDescent="0.25">
      <c r="A72" s="1">
        <v>43466</v>
      </c>
      <c r="B72" t="s">
        <v>121</v>
      </c>
      <c r="C72">
        <v>-6927</v>
      </c>
    </row>
    <row r="73" spans="1:3" x14ac:dyDescent="0.25">
      <c r="A73" s="1">
        <v>43466</v>
      </c>
      <c r="B73" t="s">
        <v>122</v>
      </c>
      <c r="C73">
        <v>-7692</v>
      </c>
    </row>
    <row r="74" spans="1:3" x14ac:dyDescent="0.25">
      <c r="A74" s="1">
        <v>43466</v>
      </c>
      <c r="B74" t="s">
        <v>123</v>
      </c>
      <c r="C74">
        <v>-9663</v>
      </c>
    </row>
    <row r="75" spans="1:3" x14ac:dyDescent="0.25">
      <c r="A75" s="1">
        <v>43466</v>
      </c>
      <c r="B75" t="s">
        <v>124</v>
      </c>
      <c r="C75">
        <v>-7218</v>
      </c>
    </row>
    <row r="76" spans="1:3" x14ac:dyDescent="0.25">
      <c r="A76" s="1">
        <v>43466</v>
      </c>
      <c r="B76" t="s">
        <v>125</v>
      </c>
      <c r="C76">
        <v>-4497</v>
      </c>
    </row>
    <row r="77" spans="1:3" x14ac:dyDescent="0.25">
      <c r="A77" s="1">
        <v>43466</v>
      </c>
      <c r="B77" t="s">
        <v>126</v>
      </c>
      <c r="C77">
        <v>-8269</v>
      </c>
    </row>
    <row r="78" spans="1:3" x14ac:dyDescent="0.25">
      <c r="A78" s="1">
        <v>43466</v>
      </c>
      <c r="B78" t="s">
        <v>127</v>
      </c>
      <c r="C78">
        <v>-6526</v>
      </c>
    </row>
    <row r="79" spans="1:3" x14ac:dyDescent="0.25">
      <c r="A79" s="1">
        <v>43466</v>
      </c>
      <c r="B79" t="s">
        <v>128</v>
      </c>
      <c r="C79">
        <v>-5970</v>
      </c>
    </row>
    <row r="80" spans="1:3" x14ac:dyDescent="0.25">
      <c r="A80" s="1">
        <v>43466</v>
      </c>
      <c r="B80" t="s">
        <v>129</v>
      </c>
      <c r="C80">
        <v>-1885</v>
      </c>
    </row>
    <row r="81" spans="1:3" x14ac:dyDescent="0.25">
      <c r="A81" s="1">
        <v>43466</v>
      </c>
      <c r="B81" t="s">
        <v>130</v>
      </c>
      <c r="C81">
        <v>-3313</v>
      </c>
    </row>
    <row r="82" spans="1:3" x14ac:dyDescent="0.25">
      <c r="A82" s="1">
        <v>43466</v>
      </c>
      <c r="B82" t="s">
        <v>131</v>
      </c>
      <c r="C82">
        <v>-4453</v>
      </c>
    </row>
    <row r="83" spans="1:3" x14ac:dyDescent="0.25">
      <c r="A83" s="1">
        <v>43466</v>
      </c>
      <c r="B83" t="s">
        <v>132</v>
      </c>
      <c r="C83">
        <v>-2925</v>
      </c>
    </row>
    <row r="84" spans="1:3" x14ac:dyDescent="0.25">
      <c r="A84" s="1">
        <v>43466</v>
      </c>
      <c r="B84" t="s">
        <v>133</v>
      </c>
      <c r="C84">
        <v>-7916</v>
      </c>
    </row>
    <row r="85" spans="1:3" x14ac:dyDescent="0.25">
      <c r="A85" s="1">
        <v>43466</v>
      </c>
      <c r="B85" t="s">
        <v>134</v>
      </c>
      <c r="C85">
        <v>-4938</v>
      </c>
    </row>
    <row r="86" spans="1:3" x14ac:dyDescent="0.25">
      <c r="A86" s="1">
        <v>43466</v>
      </c>
      <c r="B86" t="s">
        <v>135</v>
      </c>
      <c r="C86">
        <v>-2234</v>
      </c>
    </row>
    <row r="87" spans="1:3" x14ac:dyDescent="0.25">
      <c r="A87" s="1">
        <v>43466</v>
      </c>
      <c r="B87" t="s">
        <v>136</v>
      </c>
      <c r="C87">
        <v>-7957</v>
      </c>
    </row>
    <row r="88" spans="1:3" x14ac:dyDescent="0.25">
      <c r="A88" s="1">
        <v>43466</v>
      </c>
      <c r="B88" t="s">
        <v>137</v>
      </c>
      <c r="C88">
        <v>-9972</v>
      </c>
    </row>
    <row r="89" spans="1:3" x14ac:dyDescent="0.25">
      <c r="A89" s="1">
        <v>43466</v>
      </c>
      <c r="B89" t="s">
        <v>138</v>
      </c>
      <c r="C89">
        <v>-9416</v>
      </c>
    </row>
    <row r="90" spans="1:3" x14ac:dyDescent="0.25">
      <c r="A90" s="1">
        <v>43466</v>
      </c>
      <c r="B90" t="s">
        <v>139</v>
      </c>
      <c r="C90">
        <v>-8359</v>
      </c>
    </row>
    <row r="91" spans="1:3" x14ac:dyDescent="0.25">
      <c r="A91" s="1">
        <v>43466</v>
      </c>
      <c r="B91" t="s">
        <v>140</v>
      </c>
      <c r="C91">
        <v>-249091</v>
      </c>
    </row>
    <row r="92" spans="1:3" x14ac:dyDescent="0.25">
      <c r="A92" s="1">
        <v>43466</v>
      </c>
      <c r="B92" t="s">
        <v>141</v>
      </c>
      <c r="C92">
        <v>-188373</v>
      </c>
    </row>
    <row r="93" spans="1:3" x14ac:dyDescent="0.25">
      <c r="A93" s="1">
        <v>43466</v>
      </c>
      <c r="B93" t="s">
        <v>142</v>
      </c>
      <c r="C93">
        <v>-194002</v>
      </c>
    </row>
    <row r="94" spans="1:3" x14ac:dyDescent="0.25">
      <c r="A94" s="1">
        <v>43466</v>
      </c>
      <c r="B94" t="s">
        <v>143</v>
      </c>
      <c r="C94">
        <v>-287170</v>
      </c>
    </row>
    <row r="95" spans="1:3" x14ac:dyDescent="0.25">
      <c r="A95" s="1">
        <v>43466</v>
      </c>
      <c r="B95" t="s">
        <v>144</v>
      </c>
      <c r="C95">
        <v>-252509</v>
      </c>
    </row>
    <row r="96" spans="1:3" x14ac:dyDescent="0.25">
      <c r="A96" s="1">
        <v>43466</v>
      </c>
      <c r="B96" t="s">
        <v>145</v>
      </c>
      <c r="C96">
        <v>-152460</v>
      </c>
    </row>
    <row r="97" spans="1:3" x14ac:dyDescent="0.25">
      <c r="A97" s="1">
        <v>43466</v>
      </c>
      <c r="B97" t="s">
        <v>146</v>
      </c>
      <c r="C97">
        <v>-283322</v>
      </c>
    </row>
    <row r="98" spans="1:3" x14ac:dyDescent="0.25">
      <c r="A98" s="1">
        <v>43466</v>
      </c>
      <c r="B98" t="s">
        <v>147</v>
      </c>
      <c r="C98">
        <v>-139733</v>
      </c>
    </row>
    <row r="99" spans="1:3" x14ac:dyDescent="0.25">
      <c r="A99" s="1">
        <v>43466</v>
      </c>
      <c r="B99" t="s">
        <v>148</v>
      </c>
      <c r="C99">
        <v>-210524</v>
      </c>
    </row>
    <row r="100" spans="1:3" x14ac:dyDescent="0.25">
      <c r="A100" s="1">
        <v>43466</v>
      </c>
      <c r="B100" t="s">
        <v>149</v>
      </c>
      <c r="C100">
        <v>-296500</v>
      </c>
    </row>
    <row r="101" spans="1:3" x14ac:dyDescent="0.25">
      <c r="A101" s="1">
        <v>43466</v>
      </c>
      <c r="B101" t="s">
        <v>150</v>
      </c>
      <c r="C101">
        <v>-290142</v>
      </c>
    </row>
    <row r="102" spans="1:3" x14ac:dyDescent="0.25">
      <c r="A102" s="1">
        <v>43466</v>
      </c>
      <c r="B102" t="s">
        <v>151</v>
      </c>
      <c r="C102">
        <v>-156279</v>
      </c>
    </row>
    <row r="103" spans="1:3" x14ac:dyDescent="0.25">
      <c r="A103" s="1">
        <v>43466</v>
      </c>
      <c r="B103" t="s">
        <v>152</v>
      </c>
      <c r="C103">
        <v>-171494</v>
      </c>
    </row>
    <row r="104" spans="1:3" x14ac:dyDescent="0.25">
      <c r="A104" s="1">
        <v>43466</v>
      </c>
      <c r="B104" t="s">
        <v>153</v>
      </c>
      <c r="C104">
        <v>-104454</v>
      </c>
    </row>
    <row r="105" spans="1:3" x14ac:dyDescent="0.25">
      <c r="A105" s="1">
        <v>43466</v>
      </c>
      <c r="B105" t="s">
        <v>154</v>
      </c>
      <c r="C105">
        <v>-241219</v>
      </c>
    </row>
    <row r="106" spans="1:3" x14ac:dyDescent="0.25">
      <c r="A106" s="1">
        <v>43466</v>
      </c>
      <c r="B106" t="s">
        <v>155</v>
      </c>
      <c r="C106">
        <v>-171207</v>
      </c>
    </row>
    <row r="107" spans="1:3" x14ac:dyDescent="0.25">
      <c r="A107" s="1">
        <v>43466</v>
      </c>
      <c r="B107" t="s">
        <v>156</v>
      </c>
      <c r="C107">
        <v>-183362</v>
      </c>
    </row>
    <row r="108" spans="1:3" x14ac:dyDescent="0.25">
      <c r="A108" s="1">
        <v>43466</v>
      </c>
      <c r="B108" t="s">
        <v>157</v>
      </c>
      <c r="C108">
        <v>-117921</v>
      </c>
    </row>
    <row r="109" spans="1:3" x14ac:dyDescent="0.25">
      <c r="A109" s="1">
        <v>43466</v>
      </c>
      <c r="B109" t="s">
        <v>158</v>
      </c>
      <c r="C109">
        <v>-278498</v>
      </c>
    </row>
    <row r="110" spans="1:3" x14ac:dyDescent="0.25">
      <c r="A110" s="1">
        <v>43466</v>
      </c>
      <c r="B110" t="s">
        <v>159</v>
      </c>
      <c r="C110">
        <v>-200030</v>
      </c>
    </row>
    <row r="111" spans="1:3" x14ac:dyDescent="0.25">
      <c r="A111" s="1">
        <v>43466</v>
      </c>
      <c r="B111" t="s">
        <v>160</v>
      </c>
      <c r="C111">
        <v>-156459</v>
      </c>
    </row>
    <row r="112" spans="1:3" x14ac:dyDescent="0.25">
      <c r="A112" s="1">
        <v>43466</v>
      </c>
      <c r="B112" t="s">
        <v>161</v>
      </c>
      <c r="C112">
        <v>-162568</v>
      </c>
    </row>
    <row r="113" spans="1:3" x14ac:dyDescent="0.25">
      <c r="A113" s="1">
        <v>43466</v>
      </c>
      <c r="B113" t="s">
        <v>162</v>
      </c>
      <c r="C113">
        <v>-96006</v>
      </c>
    </row>
    <row r="114" spans="1:3" x14ac:dyDescent="0.25">
      <c r="A114" s="1">
        <v>43466</v>
      </c>
      <c r="B114" t="s">
        <v>163</v>
      </c>
      <c r="C114">
        <v>-103354</v>
      </c>
    </row>
    <row r="115" spans="1:3" x14ac:dyDescent="0.25">
      <c r="A115" s="1">
        <v>43466</v>
      </c>
      <c r="B115" t="s">
        <v>164</v>
      </c>
      <c r="C115">
        <v>-51349</v>
      </c>
    </row>
    <row r="116" spans="1:3" x14ac:dyDescent="0.25">
      <c r="A116" s="1">
        <v>43466</v>
      </c>
      <c r="B116" t="s">
        <v>165</v>
      </c>
      <c r="C116">
        <v>-89404</v>
      </c>
    </row>
    <row r="117" spans="1:3" x14ac:dyDescent="0.25">
      <c r="A117" s="1">
        <v>43466</v>
      </c>
      <c r="B117" t="s">
        <v>166</v>
      </c>
      <c r="C117">
        <v>-88381</v>
      </c>
    </row>
    <row r="118" spans="1:3" x14ac:dyDescent="0.25">
      <c r="A118" s="1">
        <v>43466</v>
      </c>
      <c r="B118" t="s">
        <v>167</v>
      </c>
      <c r="C118">
        <v>-238809</v>
      </c>
    </row>
    <row r="119" spans="1:3" x14ac:dyDescent="0.25">
      <c r="A119" s="1">
        <v>43466</v>
      </c>
      <c r="B119" t="s">
        <v>168</v>
      </c>
      <c r="C119">
        <v>-233837</v>
      </c>
    </row>
    <row r="120" spans="1:3" x14ac:dyDescent="0.25">
      <c r="A120" s="1">
        <v>43466</v>
      </c>
      <c r="B120" t="s">
        <v>169</v>
      </c>
      <c r="C120">
        <v>-140333</v>
      </c>
    </row>
    <row r="121" spans="1:3" x14ac:dyDescent="0.25">
      <c r="A121" s="1">
        <v>43466</v>
      </c>
      <c r="B121" t="s">
        <v>170</v>
      </c>
      <c r="C121">
        <v>-334598</v>
      </c>
    </row>
    <row r="122" spans="1:3" x14ac:dyDescent="0.25">
      <c r="A122" s="1">
        <v>43466</v>
      </c>
      <c r="B122" t="s">
        <v>171</v>
      </c>
      <c r="C122">
        <v>-318666</v>
      </c>
    </row>
    <row r="123" spans="1:3" x14ac:dyDescent="0.25">
      <c r="A123" s="1">
        <v>43466</v>
      </c>
      <c r="B123" t="s">
        <v>172</v>
      </c>
      <c r="C123">
        <v>-381705</v>
      </c>
    </row>
    <row r="124" spans="1:3" x14ac:dyDescent="0.25">
      <c r="A124" s="1">
        <v>43466</v>
      </c>
      <c r="B124" t="s">
        <v>173</v>
      </c>
      <c r="C124">
        <v>-46195</v>
      </c>
    </row>
    <row r="125" spans="1:3" x14ac:dyDescent="0.25">
      <c r="A125" s="1">
        <v>43466</v>
      </c>
      <c r="B125" t="s">
        <v>174</v>
      </c>
      <c r="C125">
        <v>-51785</v>
      </c>
    </row>
    <row r="126" spans="1:3" x14ac:dyDescent="0.25">
      <c r="A126" s="1">
        <v>43466</v>
      </c>
      <c r="B126" t="s">
        <v>175</v>
      </c>
      <c r="C126">
        <v>-45081</v>
      </c>
    </row>
    <row r="127" spans="1:3" x14ac:dyDescent="0.25">
      <c r="A127" s="1">
        <v>43466</v>
      </c>
      <c r="B127" t="s">
        <v>176</v>
      </c>
      <c r="C127">
        <v>-57043</v>
      </c>
    </row>
    <row r="128" spans="1:3" x14ac:dyDescent="0.25">
      <c r="A128" s="1">
        <v>43466</v>
      </c>
      <c r="B128" t="s">
        <v>177</v>
      </c>
      <c r="C128">
        <v>-40489</v>
      </c>
    </row>
    <row r="129" spans="1:3" x14ac:dyDescent="0.25">
      <c r="A129" s="1">
        <v>43466</v>
      </c>
      <c r="B129" t="s">
        <v>178</v>
      </c>
      <c r="C129">
        <v>-183675</v>
      </c>
    </row>
    <row r="130" spans="1:3" x14ac:dyDescent="0.25">
      <c r="A130" s="1">
        <v>43466</v>
      </c>
      <c r="B130" t="s">
        <v>179</v>
      </c>
      <c r="C130">
        <v>-111871</v>
      </c>
    </row>
    <row r="131" spans="1:3" x14ac:dyDescent="0.25">
      <c r="A131" s="1">
        <v>43466</v>
      </c>
      <c r="B131" t="s">
        <v>180</v>
      </c>
      <c r="C131">
        <v>-258661</v>
      </c>
    </row>
    <row r="132" spans="1:3" x14ac:dyDescent="0.25">
      <c r="A132" s="1">
        <v>43466</v>
      </c>
      <c r="B132" t="s">
        <v>181</v>
      </c>
      <c r="C132">
        <v>-79399</v>
      </c>
    </row>
    <row r="133" spans="1:3" x14ac:dyDescent="0.25">
      <c r="A133" s="1">
        <v>43466</v>
      </c>
      <c r="B133" t="s">
        <v>182</v>
      </c>
      <c r="C133">
        <v>-67550</v>
      </c>
    </row>
    <row r="134" spans="1:3" x14ac:dyDescent="0.25">
      <c r="A134" s="1">
        <v>43466</v>
      </c>
      <c r="B134" t="s">
        <v>183</v>
      </c>
      <c r="C134">
        <v>-84235</v>
      </c>
    </row>
    <row r="135" spans="1:3" x14ac:dyDescent="0.25">
      <c r="A135" s="1">
        <v>43466</v>
      </c>
      <c r="B135" t="s">
        <v>184</v>
      </c>
      <c r="C135">
        <v>-68379</v>
      </c>
    </row>
    <row r="136" spans="1:3" x14ac:dyDescent="0.25">
      <c r="A136" s="1">
        <v>43466</v>
      </c>
      <c r="B136" t="s">
        <v>185</v>
      </c>
      <c r="C136">
        <v>-81963</v>
      </c>
    </row>
    <row r="137" spans="1:3" x14ac:dyDescent="0.25">
      <c r="A137" s="1">
        <v>43466</v>
      </c>
      <c r="B137" t="s">
        <v>186</v>
      </c>
      <c r="C137">
        <v>-114471</v>
      </c>
    </row>
    <row r="138" spans="1:3" x14ac:dyDescent="0.25">
      <c r="A138" s="1">
        <v>43466</v>
      </c>
      <c r="B138" t="s">
        <v>187</v>
      </c>
      <c r="C138">
        <v>-159712</v>
      </c>
    </row>
    <row r="139" spans="1:3" x14ac:dyDescent="0.25">
      <c r="A139" s="1">
        <v>43466</v>
      </c>
      <c r="B139" t="s">
        <v>188</v>
      </c>
      <c r="C139">
        <v>-185615</v>
      </c>
    </row>
    <row r="140" spans="1:3" x14ac:dyDescent="0.25">
      <c r="A140" s="1">
        <v>43466</v>
      </c>
      <c r="B140" t="s">
        <v>189</v>
      </c>
      <c r="C140">
        <v>-8252</v>
      </c>
    </row>
    <row r="141" spans="1:3" x14ac:dyDescent="0.25">
      <c r="A141" s="1">
        <v>43466</v>
      </c>
      <c r="B141" t="s">
        <v>190</v>
      </c>
      <c r="C141">
        <v>-16645</v>
      </c>
    </row>
    <row r="142" spans="1:3" x14ac:dyDescent="0.25">
      <c r="A142" s="1">
        <f>EDATE(A2,1)</f>
        <v>43497</v>
      </c>
      <c r="B142" t="s">
        <v>51</v>
      </c>
      <c r="C142">
        <v>936545</v>
      </c>
    </row>
    <row r="143" spans="1:3" x14ac:dyDescent="0.25">
      <c r="A143" s="1">
        <f t="shared" ref="A143:A206" si="0">EDATE(A3,1)</f>
        <v>43497</v>
      </c>
      <c r="B143" t="s">
        <v>52</v>
      </c>
      <c r="C143">
        <v>601203</v>
      </c>
    </row>
    <row r="144" spans="1:3" x14ac:dyDescent="0.25">
      <c r="A144" s="1">
        <f t="shared" si="0"/>
        <v>43497</v>
      </c>
      <c r="B144" t="s">
        <v>53</v>
      </c>
      <c r="C144">
        <v>352326</v>
      </c>
    </row>
    <row r="145" spans="1:3" x14ac:dyDescent="0.25">
      <c r="A145" s="1">
        <f t="shared" si="0"/>
        <v>43497</v>
      </c>
      <c r="B145" t="s">
        <v>54</v>
      </c>
      <c r="C145">
        <v>656492</v>
      </c>
    </row>
    <row r="146" spans="1:3" x14ac:dyDescent="0.25">
      <c r="A146" s="1">
        <f t="shared" si="0"/>
        <v>43497</v>
      </c>
      <c r="B146" t="s">
        <v>55</v>
      </c>
      <c r="C146">
        <v>768775</v>
      </c>
    </row>
    <row r="147" spans="1:3" x14ac:dyDescent="0.25">
      <c r="A147" s="1">
        <f t="shared" si="0"/>
        <v>43497</v>
      </c>
      <c r="B147" t="s">
        <v>56</v>
      </c>
      <c r="C147">
        <v>348586</v>
      </c>
    </row>
    <row r="148" spans="1:3" x14ac:dyDescent="0.25">
      <c r="A148" s="1">
        <f t="shared" si="0"/>
        <v>43497</v>
      </c>
      <c r="B148" t="s">
        <v>57</v>
      </c>
      <c r="C148">
        <v>549470</v>
      </c>
    </row>
    <row r="149" spans="1:3" x14ac:dyDescent="0.25">
      <c r="A149" s="1">
        <f t="shared" si="0"/>
        <v>43497</v>
      </c>
      <c r="B149" t="s">
        <v>58</v>
      </c>
      <c r="C149">
        <v>460414</v>
      </c>
    </row>
    <row r="150" spans="1:3" x14ac:dyDescent="0.25">
      <c r="A150" s="1">
        <f t="shared" si="0"/>
        <v>43497</v>
      </c>
      <c r="B150" t="s">
        <v>59</v>
      </c>
      <c r="C150">
        <v>428915</v>
      </c>
    </row>
    <row r="151" spans="1:3" x14ac:dyDescent="0.25">
      <c r="A151" s="1">
        <f t="shared" si="0"/>
        <v>43497</v>
      </c>
      <c r="B151" t="s">
        <v>60</v>
      </c>
      <c r="C151">
        <v>645323</v>
      </c>
    </row>
    <row r="152" spans="1:3" x14ac:dyDescent="0.25">
      <c r="A152" s="1">
        <f t="shared" si="0"/>
        <v>43497</v>
      </c>
      <c r="B152" t="s">
        <v>61</v>
      </c>
      <c r="C152">
        <v>835561</v>
      </c>
    </row>
    <row r="153" spans="1:3" x14ac:dyDescent="0.25">
      <c r="A153" s="1">
        <f t="shared" si="0"/>
        <v>43497</v>
      </c>
      <c r="B153" t="s">
        <v>62</v>
      </c>
      <c r="C153">
        <v>771550</v>
      </c>
    </row>
    <row r="154" spans="1:3" x14ac:dyDescent="0.25">
      <c r="A154" s="1">
        <f t="shared" si="0"/>
        <v>43497</v>
      </c>
      <c r="B154" t="s">
        <v>63</v>
      </c>
      <c r="C154">
        <v>804363</v>
      </c>
    </row>
    <row r="155" spans="1:3" x14ac:dyDescent="0.25">
      <c r="A155" s="1">
        <f t="shared" si="0"/>
        <v>43497</v>
      </c>
      <c r="B155" t="s">
        <v>64</v>
      </c>
      <c r="C155">
        <v>655865</v>
      </c>
    </row>
    <row r="156" spans="1:3" x14ac:dyDescent="0.25">
      <c r="A156" s="1">
        <f t="shared" si="0"/>
        <v>43497</v>
      </c>
      <c r="B156" t="s">
        <v>65</v>
      </c>
      <c r="C156">
        <v>256379</v>
      </c>
    </row>
    <row r="157" spans="1:3" x14ac:dyDescent="0.25">
      <c r="A157" s="1">
        <f t="shared" si="0"/>
        <v>43497</v>
      </c>
      <c r="B157" t="s">
        <v>66</v>
      </c>
      <c r="C157">
        <v>564107</v>
      </c>
    </row>
    <row r="158" spans="1:3" x14ac:dyDescent="0.25">
      <c r="A158" s="1">
        <f t="shared" si="0"/>
        <v>43497</v>
      </c>
      <c r="B158" t="s">
        <v>67</v>
      </c>
      <c r="C158">
        <v>593478</v>
      </c>
    </row>
    <row r="159" spans="1:3" x14ac:dyDescent="0.25">
      <c r="A159" s="1">
        <f t="shared" si="0"/>
        <v>43497</v>
      </c>
      <c r="B159" t="s">
        <v>68</v>
      </c>
      <c r="C159">
        <v>666959</v>
      </c>
    </row>
    <row r="160" spans="1:3" x14ac:dyDescent="0.25">
      <c r="A160" s="1">
        <f t="shared" si="0"/>
        <v>43497</v>
      </c>
      <c r="B160" t="s">
        <v>69</v>
      </c>
      <c r="C160">
        <v>372712</v>
      </c>
    </row>
    <row r="161" spans="1:3" x14ac:dyDescent="0.25">
      <c r="A161" s="1">
        <f t="shared" si="0"/>
        <v>43497</v>
      </c>
      <c r="B161" t="s">
        <v>70</v>
      </c>
      <c r="C161">
        <v>642801</v>
      </c>
    </row>
    <row r="162" spans="1:3" x14ac:dyDescent="0.25">
      <c r="A162" s="1">
        <f t="shared" si="0"/>
        <v>43497</v>
      </c>
      <c r="B162" t="s">
        <v>71</v>
      </c>
      <c r="C162">
        <v>293975</v>
      </c>
    </row>
    <row r="163" spans="1:3" x14ac:dyDescent="0.25">
      <c r="A163" s="1">
        <f t="shared" si="0"/>
        <v>43497</v>
      </c>
      <c r="B163" t="s">
        <v>72</v>
      </c>
      <c r="C163">
        <v>781798</v>
      </c>
    </row>
    <row r="164" spans="1:3" x14ac:dyDescent="0.25">
      <c r="A164" s="1">
        <f t="shared" si="0"/>
        <v>43497</v>
      </c>
      <c r="B164" t="s">
        <v>73</v>
      </c>
      <c r="C164">
        <v>296555</v>
      </c>
    </row>
    <row r="165" spans="1:3" x14ac:dyDescent="0.25">
      <c r="A165" s="1">
        <f t="shared" si="0"/>
        <v>43497</v>
      </c>
      <c r="B165" t="s">
        <v>74</v>
      </c>
      <c r="C165">
        <v>163373</v>
      </c>
    </row>
    <row r="166" spans="1:3" x14ac:dyDescent="0.25">
      <c r="A166" s="1">
        <f t="shared" si="0"/>
        <v>43497</v>
      </c>
      <c r="B166" t="s">
        <v>75</v>
      </c>
      <c r="C166">
        <v>279013</v>
      </c>
    </row>
    <row r="167" spans="1:3" x14ac:dyDescent="0.25">
      <c r="A167" s="1">
        <f t="shared" si="0"/>
        <v>43497</v>
      </c>
      <c r="B167" t="s">
        <v>76</v>
      </c>
      <c r="C167">
        <v>114628</v>
      </c>
    </row>
    <row r="168" spans="1:3" x14ac:dyDescent="0.25">
      <c r="A168" s="1">
        <f t="shared" si="0"/>
        <v>43497</v>
      </c>
      <c r="B168" t="s">
        <v>77</v>
      </c>
      <c r="C168">
        <v>299204</v>
      </c>
    </row>
    <row r="169" spans="1:3" x14ac:dyDescent="0.25">
      <c r="A169" s="1">
        <f t="shared" si="0"/>
        <v>43497</v>
      </c>
      <c r="B169" t="s">
        <v>78</v>
      </c>
      <c r="C169">
        <v>114928</v>
      </c>
    </row>
    <row r="170" spans="1:3" x14ac:dyDescent="0.25">
      <c r="A170" s="1">
        <f t="shared" si="0"/>
        <v>43497</v>
      </c>
      <c r="B170" t="s">
        <v>79</v>
      </c>
      <c r="C170">
        <v>165011</v>
      </c>
    </row>
    <row r="171" spans="1:3" x14ac:dyDescent="0.25">
      <c r="A171" s="1">
        <f t="shared" si="0"/>
        <v>43497</v>
      </c>
      <c r="B171" t="s">
        <v>80</v>
      </c>
      <c r="C171">
        <v>204198</v>
      </c>
    </row>
    <row r="172" spans="1:3" x14ac:dyDescent="0.25">
      <c r="A172" s="1">
        <f t="shared" si="0"/>
        <v>43497</v>
      </c>
      <c r="B172" t="s">
        <v>81</v>
      </c>
      <c r="C172">
        <v>66681</v>
      </c>
    </row>
    <row r="173" spans="1:3" x14ac:dyDescent="0.25">
      <c r="A173" s="1">
        <f t="shared" si="0"/>
        <v>43497</v>
      </c>
      <c r="B173" t="s">
        <v>82</v>
      </c>
      <c r="C173">
        <v>239197</v>
      </c>
    </row>
    <row r="174" spans="1:3" x14ac:dyDescent="0.25">
      <c r="A174" s="1">
        <f t="shared" si="0"/>
        <v>43497</v>
      </c>
      <c r="B174" t="s">
        <v>83</v>
      </c>
      <c r="C174">
        <v>123647</v>
      </c>
    </row>
    <row r="175" spans="1:3" x14ac:dyDescent="0.25">
      <c r="A175" s="1">
        <f t="shared" si="0"/>
        <v>43497</v>
      </c>
      <c r="B175" t="s">
        <v>84</v>
      </c>
      <c r="C175">
        <v>255519</v>
      </c>
    </row>
    <row r="176" spans="1:3" x14ac:dyDescent="0.25">
      <c r="A176" s="1">
        <f t="shared" si="0"/>
        <v>43497</v>
      </c>
      <c r="B176" t="s">
        <v>85</v>
      </c>
      <c r="C176">
        <v>241600</v>
      </c>
    </row>
    <row r="177" spans="1:3" x14ac:dyDescent="0.25">
      <c r="A177" s="1">
        <f t="shared" si="0"/>
        <v>43497</v>
      </c>
      <c r="B177" t="s">
        <v>86</v>
      </c>
      <c r="C177">
        <v>202179</v>
      </c>
    </row>
    <row r="178" spans="1:3" x14ac:dyDescent="0.25">
      <c r="A178" s="1">
        <f t="shared" si="0"/>
        <v>43497</v>
      </c>
      <c r="B178" t="s">
        <v>87</v>
      </c>
      <c r="C178">
        <v>167170</v>
      </c>
    </row>
    <row r="179" spans="1:3" x14ac:dyDescent="0.25">
      <c r="A179" s="1">
        <f t="shared" si="0"/>
        <v>43497</v>
      </c>
      <c r="B179" t="s">
        <v>88</v>
      </c>
      <c r="C179">
        <v>94517</v>
      </c>
    </row>
    <row r="180" spans="1:3" x14ac:dyDescent="0.25">
      <c r="A180" s="1">
        <f t="shared" si="0"/>
        <v>43497</v>
      </c>
      <c r="B180" t="s">
        <v>89</v>
      </c>
      <c r="C180">
        <v>171489</v>
      </c>
    </row>
    <row r="181" spans="1:3" x14ac:dyDescent="0.25">
      <c r="A181" s="1">
        <f t="shared" si="0"/>
        <v>43497</v>
      </c>
      <c r="B181" t="s">
        <v>90</v>
      </c>
      <c r="C181">
        <v>67295</v>
      </c>
    </row>
    <row r="182" spans="1:3" x14ac:dyDescent="0.25">
      <c r="A182" s="1">
        <f t="shared" si="0"/>
        <v>43497</v>
      </c>
      <c r="B182" t="s">
        <v>91</v>
      </c>
      <c r="C182">
        <v>193352</v>
      </c>
    </row>
    <row r="183" spans="1:3" x14ac:dyDescent="0.25">
      <c r="A183" s="1">
        <f t="shared" si="0"/>
        <v>43497</v>
      </c>
      <c r="B183" t="s">
        <v>92</v>
      </c>
      <c r="C183">
        <v>268916</v>
      </c>
    </row>
    <row r="184" spans="1:3" x14ac:dyDescent="0.25">
      <c r="A184" s="1">
        <f t="shared" si="0"/>
        <v>43497</v>
      </c>
      <c r="B184" t="s">
        <v>93</v>
      </c>
      <c r="C184">
        <v>73654</v>
      </c>
    </row>
    <row r="185" spans="1:3" x14ac:dyDescent="0.25">
      <c r="A185" s="1">
        <f t="shared" si="0"/>
        <v>43497</v>
      </c>
      <c r="B185" t="s">
        <v>94</v>
      </c>
      <c r="C185">
        <v>163330</v>
      </c>
    </row>
    <row r="186" spans="1:3" x14ac:dyDescent="0.25">
      <c r="A186" s="1">
        <f t="shared" si="0"/>
        <v>43497</v>
      </c>
      <c r="B186" t="s">
        <v>95</v>
      </c>
      <c r="C186">
        <v>138611</v>
      </c>
    </row>
    <row r="187" spans="1:3" x14ac:dyDescent="0.25">
      <c r="A187" s="1">
        <f t="shared" si="0"/>
        <v>43497</v>
      </c>
      <c r="B187" t="s">
        <v>96</v>
      </c>
      <c r="C187">
        <v>150892</v>
      </c>
    </row>
    <row r="188" spans="1:3" x14ac:dyDescent="0.25">
      <c r="A188" s="1">
        <f t="shared" si="0"/>
        <v>43497</v>
      </c>
      <c r="B188" t="s">
        <v>97</v>
      </c>
      <c r="C188">
        <v>286877</v>
      </c>
    </row>
    <row r="189" spans="1:3" x14ac:dyDescent="0.25">
      <c r="A189" s="1">
        <f t="shared" si="0"/>
        <v>43497</v>
      </c>
      <c r="B189" t="s">
        <v>98</v>
      </c>
      <c r="C189">
        <v>297535</v>
      </c>
    </row>
    <row r="190" spans="1:3" x14ac:dyDescent="0.25">
      <c r="A190" s="1">
        <f t="shared" si="0"/>
        <v>43497</v>
      </c>
      <c r="B190" t="s">
        <v>99</v>
      </c>
      <c r="C190">
        <v>67107</v>
      </c>
    </row>
    <row r="191" spans="1:3" x14ac:dyDescent="0.25">
      <c r="A191" s="1">
        <f t="shared" si="0"/>
        <v>43497</v>
      </c>
      <c r="B191" t="s">
        <v>100</v>
      </c>
      <c r="C191">
        <v>289162</v>
      </c>
    </row>
    <row r="192" spans="1:3" x14ac:dyDescent="0.25">
      <c r="A192" s="1">
        <f t="shared" si="0"/>
        <v>43497</v>
      </c>
      <c r="B192" t="s">
        <v>101</v>
      </c>
      <c r="C192">
        <v>202247</v>
      </c>
    </row>
    <row r="193" spans="1:3" x14ac:dyDescent="0.25">
      <c r="A193" s="1">
        <f t="shared" si="0"/>
        <v>43497</v>
      </c>
      <c r="B193" t="s">
        <v>102</v>
      </c>
      <c r="C193">
        <v>277975</v>
      </c>
    </row>
    <row r="194" spans="1:3" x14ac:dyDescent="0.25">
      <c r="A194" s="1">
        <f t="shared" si="0"/>
        <v>43497</v>
      </c>
      <c r="B194" t="s">
        <v>103</v>
      </c>
      <c r="C194">
        <v>109609</v>
      </c>
    </row>
    <row r="195" spans="1:3" x14ac:dyDescent="0.25">
      <c r="A195" s="1">
        <f t="shared" si="0"/>
        <v>43497</v>
      </c>
      <c r="B195" t="s">
        <v>104</v>
      </c>
      <c r="C195">
        <v>88512</v>
      </c>
    </row>
    <row r="196" spans="1:3" x14ac:dyDescent="0.25">
      <c r="A196" s="1">
        <f t="shared" si="0"/>
        <v>43497</v>
      </c>
      <c r="B196" t="s">
        <v>105</v>
      </c>
      <c r="C196">
        <v>169344</v>
      </c>
    </row>
    <row r="197" spans="1:3" x14ac:dyDescent="0.25">
      <c r="A197" s="1">
        <f t="shared" si="0"/>
        <v>43497</v>
      </c>
      <c r="B197" t="s">
        <v>106</v>
      </c>
      <c r="C197">
        <v>123928</v>
      </c>
    </row>
    <row r="198" spans="1:3" x14ac:dyDescent="0.25">
      <c r="A198" s="1">
        <f t="shared" si="0"/>
        <v>43497</v>
      </c>
      <c r="B198" t="s">
        <v>107</v>
      </c>
      <c r="C198">
        <v>123715</v>
      </c>
    </row>
    <row r="199" spans="1:3" x14ac:dyDescent="0.25">
      <c r="A199" s="1">
        <f t="shared" si="0"/>
        <v>43497</v>
      </c>
      <c r="B199" t="s">
        <v>108</v>
      </c>
      <c r="C199">
        <v>267080</v>
      </c>
    </row>
    <row r="200" spans="1:3" x14ac:dyDescent="0.25">
      <c r="A200" s="1">
        <f t="shared" si="0"/>
        <v>43497</v>
      </c>
      <c r="B200" t="s">
        <v>109</v>
      </c>
      <c r="C200">
        <v>103168</v>
      </c>
    </row>
    <row r="201" spans="1:3" x14ac:dyDescent="0.25">
      <c r="A201" s="1">
        <f t="shared" si="0"/>
        <v>43497</v>
      </c>
      <c r="B201" t="s">
        <v>110</v>
      </c>
      <c r="C201">
        <v>-8979</v>
      </c>
    </row>
    <row r="202" spans="1:3" x14ac:dyDescent="0.25">
      <c r="A202" s="1">
        <f t="shared" si="0"/>
        <v>43497</v>
      </c>
      <c r="B202" t="s">
        <v>111</v>
      </c>
      <c r="C202">
        <v>-4268</v>
      </c>
    </row>
    <row r="203" spans="1:3" x14ac:dyDescent="0.25">
      <c r="A203" s="1">
        <f t="shared" si="0"/>
        <v>43497</v>
      </c>
      <c r="B203" t="s">
        <v>112</v>
      </c>
      <c r="C203">
        <v>-4672</v>
      </c>
    </row>
    <row r="204" spans="1:3" x14ac:dyDescent="0.25">
      <c r="A204" s="1">
        <f t="shared" si="0"/>
        <v>43497</v>
      </c>
      <c r="B204" t="s">
        <v>113</v>
      </c>
      <c r="C204">
        <v>-4999</v>
      </c>
    </row>
    <row r="205" spans="1:3" x14ac:dyDescent="0.25">
      <c r="A205" s="1">
        <f t="shared" si="0"/>
        <v>43497</v>
      </c>
      <c r="B205" t="s">
        <v>114</v>
      </c>
      <c r="C205">
        <v>-6372</v>
      </c>
    </row>
    <row r="206" spans="1:3" x14ac:dyDescent="0.25">
      <c r="A206" s="1">
        <f t="shared" si="0"/>
        <v>43497</v>
      </c>
      <c r="B206" t="s">
        <v>115</v>
      </c>
      <c r="C206">
        <v>-9784</v>
      </c>
    </row>
    <row r="207" spans="1:3" x14ac:dyDescent="0.25">
      <c r="A207" s="1">
        <f t="shared" ref="A207:A270" si="1">EDATE(A67,1)</f>
        <v>43497</v>
      </c>
      <c r="B207" t="s">
        <v>116</v>
      </c>
      <c r="C207">
        <v>-2413</v>
      </c>
    </row>
    <row r="208" spans="1:3" x14ac:dyDescent="0.25">
      <c r="A208" s="1">
        <f t="shared" si="1"/>
        <v>43497</v>
      </c>
      <c r="B208" t="s">
        <v>117</v>
      </c>
      <c r="C208">
        <v>-6255</v>
      </c>
    </row>
    <row r="209" spans="1:3" x14ac:dyDescent="0.25">
      <c r="A209" s="1">
        <f t="shared" si="1"/>
        <v>43497</v>
      </c>
      <c r="B209" t="s">
        <v>118</v>
      </c>
      <c r="C209">
        <v>-2601</v>
      </c>
    </row>
    <row r="210" spans="1:3" x14ac:dyDescent="0.25">
      <c r="A210" s="1">
        <f t="shared" si="1"/>
        <v>43497</v>
      </c>
      <c r="B210" t="s">
        <v>119</v>
      </c>
      <c r="C210">
        <v>-3399</v>
      </c>
    </row>
    <row r="211" spans="1:3" x14ac:dyDescent="0.25">
      <c r="A211" s="1">
        <f t="shared" si="1"/>
        <v>43497</v>
      </c>
      <c r="B211" t="s">
        <v>120</v>
      </c>
      <c r="C211">
        <v>-2515</v>
      </c>
    </row>
    <row r="212" spans="1:3" x14ac:dyDescent="0.25">
      <c r="A212" s="1">
        <f t="shared" si="1"/>
        <v>43497</v>
      </c>
      <c r="B212" t="s">
        <v>121</v>
      </c>
      <c r="C212">
        <v>-8293</v>
      </c>
    </row>
    <row r="213" spans="1:3" x14ac:dyDescent="0.25">
      <c r="A213" s="1">
        <f t="shared" si="1"/>
        <v>43497</v>
      </c>
      <c r="B213" t="s">
        <v>122</v>
      </c>
      <c r="C213">
        <v>-8893</v>
      </c>
    </row>
    <row r="214" spans="1:3" x14ac:dyDescent="0.25">
      <c r="A214" s="1">
        <f t="shared" si="1"/>
        <v>43497</v>
      </c>
      <c r="B214" t="s">
        <v>123</v>
      </c>
      <c r="C214">
        <v>-1664</v>
      </c>
    </row>
    <row r="215" spans="1:3" x14ac:dyDescent="0.25">
      <c r="A215" s="1">
        <f t="shared" si="1"/>
        <v>43497</v>
      </c>
      <c r="B215" t="s">
        <v>124</v>
      </c>
      <c r="C215">
        <v>-6452</v>
      </c>
    </row>
    <row r="216" spans="1:3" x14ac:dyDescent="0.25">
      <c r="A216" s="1">
        <f t="shared" si="1"/>
        <v>43497</v>
      </c>
      <c r="B216" t="s">
        <v>125</v>
      </c>
      <c r="C216">
        <v>-8358</v>
      </c>
    </row>
    <row r="217" spans="1:3" x14ac:dyDescent="0.25">
      <c r="A217" s="1">
        <f t="shared" si="1"/>
        <v>43497</v>
      </c>
      <c r="B217" t="s">
        <v>126</v>
      </c>
      <c r="C217">
        <v>-5328</v>
      </c>
    </row>
    <row r="218" spans="1:3" x14ac:dyDescent="0.25">
      <c r="A218" s="1">
        <f t="shared" si="1"/>
        <v>43497</v>
      </c>
      <c r="B218" t="s">
        <v>127</v>
      </c>
      <c r="C218">
        <v>-8344</v>
      </c>
    </row>
    <row r="219" spans="1:3" x14ac:dyDescent="0.25">
      <c r="A219" s="1">
        <f t="shared" si="1"/>
        <v>43497</v>
      </c>
      <c r="B219" t="s">
        <v>128</v>
      </c>
      <c r="C219">
        <v>-1724</v>
      </c>
    </row>
    <row r="220" spans="1:3" x14ac:dyDescent="0.25">
      <c r="A220" s="1">
        <f t="shared" si="1"/>
        <v>43497</v>
      </c>
      <c r="B220" t="s">
        <v>129</v>
      </c>
      <c r="C220">
        <v>-4776</v>
      </c>
    </row>
    <row r="221" spans="1:3" x14ac:dyDescent="0.25">
      <c r="A221" s="1">
        <f t="shared" si="1"/>
        <v>43497</v>
      </c>
      <c r="B221" t="s">
        <v>130</v>
      </c>
      <c r="C221">
        <v>-4575</v>
      </c>
    </row>
    <row r="222" spans="1:3" x14ac:dyDescent="0.25">
      <c r="A222" s="1">
        <f t="shared" si="1"/>
        <v>43497</v>
      </c>
      <c r="B222" t="s">
        <v>131</v>
      </c>
      <c r="C222">
        <v>-2784</v>
      </c>
    </row>
    <row r="223" spans="1:3" x14ac:dyDescent="0.25">
      <c r="A223" s="1">
        <f t="shared" si="1"/>
        <v>43497</v>
      </c>
      <c r="B223" t="s">
        <v>132</v>
      </c>
      <c r="C223">
        <v>-4664</v>
      </c>
    </row>
    <row r="224" spans="1:3" x14ac:dyDescent="0.25">
      <c r="A224" s="1">
        <f t="shared" si="1"/>
        <v>43497</v>
      </c>
      <c r="B224" t="s">
        <v>133</v>
      </c>
      <c r="C224">
        <v>-1066</v>
      </c>
    </row>
    <row r="225" spans="1:3" x14ac:dyDescent="0.25">
      <c r="A225" s="1">
        <f t="shared" si="1"/>
        <v>43497</v>
      </c>
      <c r="B225" t="s">
        <v>134</v>
      </c>
      <c r="C225">
        <v>-1891</v>
      </c>
    </row>
    <row r="226" spans="1:3" x14ac:dyDescent="0.25">
      <c r="A226" s="1">
        <f t="shared" si="1"/>
        <v>43497</v>
      </c>
      <c r="B226" t="s">
        <v>135</v>
      </c>
      <c r="C226">
        <v>-9977</v>
      </c>
    </row>
    <row r="227" spans="1:3" x14ac:dyDescent="0.25">
      <c r="A227" s="1">
        <f t="shared" si="1"/>
        <v>43497</v>
      </c>
      <c r="B227" t="s">
        <v>136</v>
      </c>
      <c r="C227">
        <v>-8601</v>
      </c>
    </row>
    <row r="228" spans="1:3" x14ac:dyDescent="0.25">
      <c r="A228" s="1">
        <f t="shared" si="1"/>
        <v>43497</v>
      </c>
      <c r="B228" t="s">
        <v>137</v>
      </c>
      <c r="C228">
        <v>-8992</v>
      </c>
    </row>
    <row r="229" spans="1:3" x14ac:dyDescent="0.25">
      <c r="A229" s="1">
        <f t="shared" si="1"/>
        <v>43497</v>
      </c>
      <c r="B229" t="s">
        <v>138</v>
      </c>
      <c r="C229">
        <v>-6833</v>
      </c>
    </row>
    <row r="230" spans="1:3" x14ac:dyDescent="0.25">
      <c r="A230" s="1">
        <f t="shared" si="1"/>
        <v>43497</v>
      </c>
      <c r="B230" t="s">
        <v>139</v>
      </c>
      <c r="C230">
        <v>-8780</v>
      </c>
    </row>
    <row r="231" spans="1:3" x14ac:dyDescent="0.25">
      <c r="A231" s="1">
        <f t="shared" si="1"/>
        <v>43497</v>
      </c>
      <c r="B231" t="s">
        <v>140</v>
      </c>
      <c r="C231">
        <v>-272757</v>
      </c>
    </row>
    <row r="232" spans="1:3" x14ac:dyDescent="0.25">
      <c r="A232" s="1">
        <f t="shared" si="1"/>
        <v>43497</v>
      </c>
      <c r="B232" t="s">
        <v>141</v>
      </c>
      <c r="C232">
        <v>-87894</v>
      </c>
    </row>
    <row r="233" spans="1:3" x14ac:dyDescent="0.25">
      <c r="A233" s="1">
        <f t="shared" si="1"/>
        <v>43497</v>
      </c>
      <c r="B233" t="s">
        <v>142</v>
      </c>
      <c r="C233">
        <v>-79907</v>
      </c>
    </row>
    <row r="234" spans="1:3" x14ac:dyDescent="0.25">
      <c r="A234" s="1">
        <f t="shared" si="1"/>
        <v>43497</v>
      </c>
      <c r="B234" t="s">
        <v>143</v>
      </c>
      <c r="C234">
        <v>-109953</v>
      </c>
    </row>
    <row r="235" spans="1:3" x14ac:dyDescent="0.25">
      <c r="A235" s="1">
        <f t="shared" si="1"/>
        <v>43497</v>
      </c>
      <c r="B235" t="s">
        <v>144</v>
      </c>
      <c r="C235">
        <v>-227198</v>
      </c>
    </row>
    <row r="236" spans="1:3" x14ac:dyDescent="0.25">
      <c r="A236" s="1">
        <f t="shared" si="1"/>
        <v>43497</v>
      </c>
      <c r="B236" t="s">
        <v>145</v>
      </c>
      <c r="C236">
        <v>-179745</v>
      </c>
    </row>
    <row r="237" spans="1:3" x14ac:dyDescent="0.25">
      <c r="A237" s="1">
        <f t="shared" si="1"/>
        <v>43497</v>
      </c>
      <c r="B237" t="s">
        <v>146</v>
      </c>
      <c r="C237">
        <v>-298230</v>
      </c>
    </row>
    <row r="238" spans="1:3" x14ac:dyDescent="0.25">
      <c r="A238" s="1">
        <f t="shared" si="1"/>
        <v>43497</v>
      </c>
      <c r="B238" t="s">
        <v>147</v>
      </c>
      <c r="C238">
        <v>-208807</v>
      </c>
    </row>
    <row r="239" spans="1:3" x14ac:dyDescent="0.25">
      <c r="A239" s="1">
        <f t="shared" si="1"/>
        <v>43497</v>
      </c>
      <c r="B239" t="s">
        <v>148</v>
      </c>
      <c r="C239">
        <v>-273036</v>
      </c>
    </row>
    <row r="240" spans="1:3" x14ac:dyDescent="0.25">
      <c r="A240" s="1">
        <f t="shared" si="1"/>
        <v>43497</v>
      </c>
      <c r="B240" t="s">
        <v>149</v>
      </c>
      <c r="C240">
        <v>-237736</v>
      </c>
    </row>
    <row r="241" spans="1:3" x14ac:dyDescent="0.25">
      <c r="A241" s="1">
        <f t="shared" si="1"/>
        <v>43497</v>
      </c>
      <c r="B241" t="s">
        <v>150</v>
      </c>
      <c r="C241">
        <v>-207123</v>
      </c>
    </row>
    <row r="242" spans="1:3" x14ac:dyDescent="0.25">
      <c r="A242" s="1">
        <f t="shared" si="1"/>
        <v>43497</v>
      </c>
      <c r="B242" t="s">
        <v>151</v>
      </c>
      <c r="C242">
        <v>-152155</v>
      </c>
    </row>
    <row r="243" spans="1:3" x14ac:dyDescent="0.25">
      <c r="A243" s="1">
        <f t="shared" si="1"/>
        <v>43497</v>
      </c>
      <c r="B243" t="s">
        <v>152</v>
      </c>
      <c r="C243">
        <v>-233235</v>
      </c>
    </row>
    <row r="244" spans="1:3" x14ac:dyDescent="0.25">
      <c r="A244" s="1">
        <f t="shared" si="1"/>
        <v>43497</v>
      </c>
      <c r="B244" t="s">
        <v>153</v>
      </c>
      <c r="C244">
        <v>-142993</v>
      </c>
    </row>
    <row r="245" spans="1:3" x14ac:dyDescent="0.25">
      <c r="A245" s="1">
        <f t="shared" si="1"/>
        <v>43497</v>
      </c>
      <c r="B245" t="s">
        <v>154</v>
      </c>
      <c r="C245">
        <v>-234327</v>
      </c>
    </row>
    <row r="246" spans="1:3" x14ac:dyDescent="0.25">
      <c r="A246" s="1">
        <f t="shared" si="1"/>
        <v>43497</v>
      </c>
      <c r="B246" t="s">
        <v>155</v>
      </c>
      <c r="C246">
        <v>-215262</v>
      </c>
    </row>
    <row r="247" spans="1:3" x14ac:dyDescent="0.25">
      <c r="A247" s="1">
        <f t="shared" si="1"/>
        <v>43497</v>
      </c>
      <c r="B247" t="s">
        <v>156</v>
      </c>
      <c r="C247">
        <v>-263409</v>
      </c>
    </row>
    <row r="248" spans="1:3" x14ac:dyDescent="0.25">
      <c r="A248" s="1">
        <f t="shared" si="1"/>
        <v>43497</v>
      </c>
      <c r="B248" t="s">
        <v>157</v>
      </c>
      <c r="C248">
        <v>-257810</v>
      </c>
    </row>
    <row r="249" spans="1:3" x14ac:dyDescent="0.25">
      <c r="A249" s="1">
        <f t="shared" si="1"/>
        <v>43497</v>
      </c>
      <c r="B249" t="s">
        <v>158</v>
      </c>
      <c r="C249">
        <v>-153147</v>
      </c>
    </row>
    <row r="250" spans="1:3" x14ac:dyDescent="0.25">
      <c r="A250" s="1">
        <f t="shared" si="1"/>
        <v>43497</v>
      </c>
      <c r="B250" t="s">
        <v>159</v>
      </c>
      <c r="C250">
        <v>-216763</v>
      </c>
    </row>
    <row r="251" spans="1:3" x14ac:dyDescent="0.25">
      <c r="A251" s="1">
        <f t="shared" si="1"/>
        <v>43497</v>
      </c>
      <c r="B251" t="s">
        <v>160</v>
      </c>
      <c r="C251">
        <v>-255588</v>
      </c>
    </row>
    <row r="252" spans="1:3" x14ac:dyDescent="0.25">
      <c r="A252" s="1">
        <f t="shared" si="1"/>
        <v>43497</v>
      </c>
      <c r="B252" t="s">
        <v>161</v>
      </c>
      <c r="C252">
        <v>-252266</v>
      </c>
    </row>
    <row r="253" spans="1:3" x14ac:dyDescent="0.25">
      <c r="A253" s="1">
        <f t="shared" si="1"/>
        <v>43497</v>
      </c>
      <c r="B253" t="s">
        <v>162</v>
      </c>
      <c r="C253">
        <v>-193375</v>
      </c>
    </row>
    <row r="254" spans="1:3" x14ac:dyDescent="0.25">
      <c r="A254" s="1">
        <f t="shared" si="1"/>
        <v>43497</v>
      </c>
      <c r="B254" t="s">
        <v>163</v>
      </c>
      <c r="C254">
        <v>-208332</v>
      </c>
    </row>
    <row r="255" spans="1:3" x14ac:dyDescent="0.25">
      <c r="A255" s="1">
        <f t="shared" si="1"/>
        <v>43497</v>
      </c>
      <c r="B255" t="s">
        <v>164</v>
      </c>
      <c r="C255">
        <v>-96454</v>
      </c>
    </row>
    <row r="256" spans="1:3" x14ac:dyDescent="0.25">
      <c r="A256" s="1">
        <f t="shared" si="1"/>
        <v>43497</v>
      </c>
      <c r="B256" t="s">
        <v>165</v>
      </c>
      <c r="C256">
        <v>-95154</v>
      </c>
    </row>
    <row r="257" spans="1:3" x14ac:dyDescent="0.25">
      <c r="A257" s="1">
        <f t="shared" si="1"/>
        <v>43497</v>
      </c>
      <c r="B257" t="s">
        <v>166</v>
      </c>
      <c r="C257">
        <v>-68633</v>
      </c>
    </row>
    <row r="258" spans="1:3" x14ac:dyDescent="0.25">
      <c r="A258" s="1">
        <f t="shared" si="1"/>
        <v>43497</v>
      </c>
      <c r="B258" t="s">
        <v>167</v>
      </c>
      <c r="C258">
        <v>-210437</v>
      </c>
    </row>
    <row r="259" spans="1:3" x14ac:dyDescent="0.25">
      <c r="A259" s="1">
        <f t="shared" si="1"/>
        <v>43497</v>
      </c>
      <c r="B259" t="s">
        <v>168</v>
      </c>
      <c r="C259">
        <v>-393310</v>
      </c>
    </row>
    <row r="260" spans="1:3" x14ac:dyDescent="0.25">
      <c r="A260" s="1">
        <f t="shared" si="1"/>
        <v>43497</v>
      </c>
      <c r="B260" t="s">
        <v>169</v>
      </c>
      <c r="C260">
        <v>-317857</v>
      </c>
    </row>
    <row r="261" spans="1:3" x14ac:dyDescent="0.25">
      <c r="A261" s="1">
        <f t="shared" si="1"/>
        <v>43497</v>
      </c>
      <c r="B261" t="s">
        <v>170</v>
      </c>
      <c r="C261">
        <v>-180739</v>
      </c>
    </row>
    <row r="262" spans="1:3" x14ac:dyDescent="0.25">
      <c r="A262" s="1">
        <f t="shared" si="1"/>
        <v>43497</v>
      </c>
      <c r="B262" t="s">
        <v>171</v>
      </c>
      <c r="C262">
        <v>-220439</v>
      </c>
    </row>
    <row r="263" spans="1:3" x14ac:dyDescent="0.25">
      <c r="A263" s="1">
        <f t="shared" si="1"/>
        <v>43497</v>
      </c>
      <c r="B263" t="s">
        <v>172</v>
      </c>
      <c r="C263">
        <v>-307473</v>
      </c>
    </row>
    <row r="264" spans="1:3" x14ac:dyDescent="0.25">
      <c r="A264" s="1">
        <f t="shared" si="1"/>
        <v>43497</v>
      </c>
      <c r="B264" t="s">
        <v>173</v>
      </c>
      <c r="C264">
        <v>-41175</v>
      </c>
    </row>
    <row r="265" spans="1:3" x14ac:dyDescent="0.25">
      <c r="A265" s="1">
        <f t="shared" si="1"/>
        <v>43497</v>
      </c>
      <c r="B265" t="s">
        <v>174</v>
      </c>
      <c r="C265">
        <v>-46969</v>
      </c>
    </row>
    <row r="266" spans="1:3" x14ac:dyDescent="0.25">
      <c r="A266" s="1">
        <f t="shared" si="1"/>
        <v>43497</v>
      </c>
      <c r="B266" t="s">
        <v>175</v>
      </c>
      <c r="C266">
        <v>-43584</v>
      </c>
    </row>
    <row r="267" spans="1:3" x14ac:dyDescent="0.25">
      <c r="A267" s="1">
        <f t="shared" si="1"/>
        <v>43497</v>
      </c>
      <c r="B267" t="s">
        <v>176</v>
      </c>
      <c r="C267">
        <v>-59674</v>
      </c>
    </row>
    <row r="268" spans="1:3" x14ac:dyDescent="0.25">
      <c r="A268" s="1">
        <f t="shared" si="1"/>
        <v>43497</v>
      </c>
      <c r="B268" t="s">
        <v>177</v>
      </c>
      <c r="C268">
        <v>-59661</v>
      </c>
    </row>
    <row r="269" spans="1:3" x14ac:dyDescent="0.25">
      <c r="A269" s="1">
        <f t="shared" si="1"/>
        <v>43497</v>
      </c>
      <c r="B269" t="s">
        <v>178</v>
      </c>
      <c r="C269">
        <v>-271597</v>
      </c>
    </row>
    <row r="270" spans="1:3" x14ac:dyDescent="0.25">
      <c r="A270" s="1">
        <f t="shared" si="1"/>
        <v>43497</v>
      </c>
      <c r="B270" t="s">
        <v>179</v>
      </c>
      <c r="C270">
        <v>-196003</v>
      </c>
    </row>
    <row r="271" spans="1:3" x14ac:dyDescent="0.25">
      <c r="A271" s="1">
        <f t="shared" ref="A271:A334" si="2">EDATE(A131,1)</f>
        <v>43497</v>
      </c>
      <c r="B271" t="s">
        <v>180</v>
      </c>
      <c r="C271">
        <v>-114820</v>
      </c>
    </row>
    <row r="272" spans="1:3" x14ac:dyDescent="0.25">
      <c r="A272" s="1">
        <f t="shared" si="2"/>
        <v>43497</v>
      </c>
      <c r="B272" t="s">
        <v>181</v>
      </c>
      <c r="C272">
        <v>-73568</v>
      </c>
    </row>
    <row r="273" spans="1:3" x14ac:dyDescent="0.25">
      <c r="A273" s="1">
        <f t="shared" si="2"/>
        <v>43497</v>
      </c>
      <c r="B273" t="s">
        <v>182</v>
      </c>
      <c r="C273">
        <v>-58333</v>
      </c>
    </row>
    <row r="274" spans="1:3" x14ac:dyDescent="0.25">
      <c r="A274" s="1">
        <f t="shared" si="2"/>
        <v>43497</v>
      </c>
      <c r="B274" t="s">
        <v>183</v>
      </c>
      <c r="C274">
        <v>-62969</v>
      </c>
    </row>
    <row r="275" spans="1:3" x14ac:dyDescent="0.25">
      <c r="A275" s="1">
        <f t="shared" si="2"/>
        <v>43497</v>
      </c>
      <c r="B275" t="s">
        <v>184</v>
      </c>
      <c r="C275">
        <v>-69917</v>
      </c>
    </row>
    <row r="276" spans="1:3" x14ac:dyDescent="0.25">
      <c r="A276" s="1">
        <f t="shared" si="2"/>
        <v>43497</v>
      </c>
      <c r="B276" t="s">
        <v>185</v>
      </c>
      <c r="C276">
        <v>-108857</v>
      </c>
    </row>
    <row r="277" spans="1:3" x14ac:dyDescent="0.25">
      <c r="A277" s="1">
        <f t="shared" si="2"/>
        <v>43497</v>
      </c>
      <c r="B277" t="s">
        <v>186</v>
      </c>
      <c r="C277">
        <v>-85224</v>
      </c>
    </row>
    <row r="278" spans="1:3" x14ac:dyDescent="0.25">
      <c r="A278" s="1">
        <f t="shared" si="2"/>
        <v>43497</v>
      </c>
      <c r="B278" t="s">
        <v>187</v>
      </c>
      <c r="C278">
        <v>-124712</v>
      </c>
    </row>
    <row r="279" spans="1:3" x14ac:dyDescent="0.25">
      <c r="A279" s="1">
        <f t="shared" si="2"/>
        <v>43497</v>
      </c>
      <c r="B279" t="s">
        <v>188</v>
      </c>
      <c r="C279">
        <v>-141700</v>
      </c>
    </row>
    <row r="280" spans="1:3" x14ac:dyDescent="0.25">
      <c r="A280" s="1">
        <f t="shared" si="2"/>
        <v>43497</v>
      </c>
      <c r="B280" t="s">
        <v>189</v>
      </c>
      <c r="C280">
        <v>-10517</v>
      </c>
    </row>
    <row r="281" spans="1:3" x14ac:dyDescent="0.25">
      <c r="A281" s="1">
        <f t="shared" si="2"/>
        <v>43497</v>
      </c>
      <c r="B281" t="s">
        <v>190</v>
      </c>
      <c r="C281">
        <v>-28294</v>
      </c>
    </row>
    <row r="282" spans="1:3" x14ac:dyDescent="0.25">
      <c r="A282" s="1">
        <f t="shared" si="2"/>
        <v>43525</v>
      </c>
      <c r="B282" t="s">
        <v>51</v>
      </c>
      <c r="C282">
        <v>261710</v>
      </c>
    </row>
    <row r="283" spans="1:3" x14ac:dyDescent="0.25">
      <c r="A283" s="1">
        <f t="shared" si="2"/>
        <v>43525</v>
      </c>
      <c r="B283" t="s">
        <v>52</v>
      </c>
      <c r="C283">
        <v>467433</v>
      </c>
    </row>
    <row r="284" spans="1:3" x14ac:dyDescent="0.25">
      <c r="A284" s="1">
        <f t="shared" si="2"/>
        <v>43525</v>
      </c>
      <c r="B284" t="s">
        <v>53</v>
      </c>
      <c r="C284">
        <v>818011</v>
      </c>
    </row>
    <row r="285" spans="1:3" x14ac:dyDescent="0.25">
      <c r="A285" s="1">
        <f t="shared" si="2"/>
        <v>43525</v>
      </c>
      <c r="B285" t="s">
        <v>54</v>
      </c>
      <c r="C285">
        <v>926236</v>
      </c>
    </row>
    <row r="286" spans="1:3" x14ac:dyDescent="0.25">
      <c r="A286" s="1">
        <f t="shared" si="2"/>
        <v>43525</v>
      </c>
      <c r="B286" t="s">
        <v>55</v>
      </c>
      <c r="C286">
        <v>857348</v>
      </c>
    </row>
    <row r="287" spans="1:3" x14ac:dyDescent="0.25">
      <c r="A287" s="1">
        <f t="shared" si="2"/>
        <v>43525</v>
      </c>
      <c r="B287" t="s">
        <v>56</v>
      </c>
      <c r="C287">
        <v>704503</v>
      </c>
    </row>
    <row r="288" spans="1:3" x14ac:dyDescent="0.25">
      <c r="A288" s="1">
        <f t="shared" si="2"/>
        <v>43525</v>
      </c>
      <c r="B288" t="s">
        <v>57</v>
      </c>
      <c r="C288">
        <v>605201</v>
      </c>
    </row>
    <row r="289" spans="1:3" x14ac:dyDescent="0.25">
      <c r="A289" s="1">
        <f t="shared" si="2"/>
        <v>43525</v>
      </c>
      <c r="B289" t="s">
        <v>58</v>
      </c>
      <c r="C289">
        <v>885922</v>
      </c>
    </row>
    <row r="290" spans="1:3" x14ac:dyDescent="0.25">
      <c r="A290" s="1">
        <f t="shared" si="2"/>
        <v>43525</v>
      </c>
      <c r="B290" t="s">
        <v>59</v>
      </c>
      <c r="C290">
        <v>822114</v>
      </c>
    </row>
    <row r="291" spans="1:3" x14ac:dyDescent="0.25">
      <c r="A291" s="1">
        <f t="shared" si="2"/>
        <v>43525</v>
      </c>
      <c r="B291" t="s">
        <v>60</v>
      </c>
      <c r="C291">
        <v>604480</v>
      </c>
    </row>
    <row r="292" spans="1:3" x14ac:dyDescent="0.25">
      <c r="A292" s="1">
        <f t="shared" si="2"/>
        <v>43525</v>
      </c>
      <c r="B292" t="s">
        <v>61</v>
      </c>
      <c r="C292">
        <v>825229</v>
      </c>
    </row>
    <row r="293" spans="1:3" x14ac:dyDescent="0.25">
      <c r="A293" s="1">
        <f t="shared" si="2"/>
        <v>43525</v>
      </c>
      <c r="B293" t="s">
        <v>62</v>
      </c>
      <c r="C293">
        <v>459911</v>
      </c>
    </row>
    <row r="294" spans="1:3" x14ac:dyDescent="0.25">
      <c r="A294" s="1">
        <f t="shared" si="2"/>
        <v>43525</v>
      </c>
      <c r="B294" t="s">
        <v>63</v>
      </c>
      <c r="C294">
        <v>415644</v>
      </c>
    </row>
    <row r="295" spans="1:3" x14ac:dyDescent="0.25">
      <c r="A295" s="1">
        <f t="shared" si="2"/>
        <v>43525</v>
      </c>
      <c r="B295" t="s">
        <v>64</v>
      </c>
      <c r="C295">
        <v>410776</v>
      </c>
    </row>
    <row r="296" spans="1:3" x14ac:dyDescent="0.25">
      <c r="A296" s="1">
        <f t="shared" si="2"/>
        <v>43525</v>
      </c>
      <c r="B296" t="s">
        <v>65</v>
      </c>
      <c r="C296">
        <v>590332</v>
      </c>
    </row>
    <row r="297" spans="1:3" x14ac:dyDescent="0.25">
      <c r="A297" s="1">
        <f t="shared" si="2"/>
        <v>43525</v>
      </c>
      <c r="B297" t="s">
        <v>66</v>
      </c>
      <c r="C297">
        <v>711836</v>
      </c>
    </row>
    <row r="298" spans="1:3" x14ac:dyDescent="0.25">
      <c r="A298" s="1">
        <f t="shared" si="2"/>
        <v>43525</v>
      </c>
      <c r="B298" t="s">
        <v>67</v>
      </c>
      <c r="C298">
        <v>973509</v>
      </c>
    </row>
    <row r="299" spans="1:3" x14ac:dyDescent="0.25">
      <c r="A299" s="1">
        <f t="shared" si="2"/>
        <v>43525</v>
      </c>
      <c r="B299" t="s">
        <v>68</v>
      </c>
      <c r="C299">
        <v>939198</v>
      </c>
    </row>
    <row r="300" spans="1:3" x14ac:dyDescent="0.25">
      <c r="A300" s="1">
        <f t="shared" si="2"/>
        <v>43525</v>
      </c>
      <c r="B300" t="s">
        <v>69</v>
      </c>
      <c r="C300">
        <v>665175</v>
      </c>
    </row>
    <row r="301" spans="1:3" x14ac:dyDescent="0.25">
      <c r="A301" s="1">
        <f t="shared" si="2"/>
        <v>43525</v>
      </c>
      <c r="B301" t="s">
        <v>70</v>
      </c>
      <c r="C301">
        <v>866865</v>
      </c>
    </row>
    <row r="302" spans="1:3" x14ac:dyDescent="0.25">
      <c r="A302" s="1">
        <f t="shared" si="2"/>
        <v>43525</v>
      </c>
      <c r="B302" t="s">
        <v>71</v>
      </c>
      <c r="C302">
        <v>235785</v>
      </c>
    </row>
    <row r="303" spans="1:3" x14ac:dyDescent="0.25">
      <c r="A303" s="1">
        <f t="shared" si="2"/>
        <v>43525</v>
      </c>
      <c r="B303" t="s">
        <v>72</v>
      </c>
      <c r="C303">
        <v>676379</v>
      </c>
    </row>
    <row r="304" spans="1:3" x14ac:dyDescent="0.25">
      <c r="A304" s="1">
        <f t="shared" si="2"/>
        <v>43525</v>
      </c>
      <c r="B304" t="s">
        <v>73</v>
      </c>
      <c r="C304">
        <v>199741</v>
      </c>
    </row>
    <row r="305" spans="1:3" x14ac:dyDescent="0.25">
      <c r="A305" s="1">
        <f t="shared" si="2"/>
        <v>43525</v>
      </c>
      <c r="B305" t="s">
        <v>74</v>
      </c>
      <c r="C305">
        <v>170012</v>
      </c>
    </row>
    <row r="306" spans="1:3" x14ac:dyDescent="0.25">
      <c r="A306" s="1">
        <f t="shared" si="2"/>
        <v>43525</v>
      </c>
      <c r="B306" t="s">
        <v>75</v>
      </c>
      <c r="C306">
        <v>245264</v>
      </c>
    </row>
    <row r="307" spans="1:3" x14ac:dyDescent="0.25">
      <c r="A307" s="1">
        <f t="shared" si="2"/>
        <v>43525</v>
      </c>
      <c r="B307" t="s">
        <v>76</v>
      </c>
      <c r="C307">
        <v>264553</v>
      </c>
    </row>
    <row r="308" spans="1:3" x14ac:dyDescent="0.25">
      <c r="A308" s="1">
        <f t="shared" si="2"/>
        <v>43525</v>
      </c>
      <c r="B308" t="s">
        <v>77</v>
      </c>
      <c r="C308">
        <v>226115</v>
      </c>
    </row>
    <row r="309" spans="1:3" x14ac:dyDescent="0.25">
      <c r="A309" s="1">
        <f t="shared" si="2"/>
        <v>43525</v>
      </c>
      <c r="B309" t="s">
        <v>78</v>
      </c>
      <c r="C309">
        <v>231223</v>
      </c>
    </row>
    <row r="310" spans="1:3" x14ac:dyDescent="0.25">
      <c r="A310" s="1">
        <f t="shared" si="2"/>
        <v>43525</v>
      </c>
      <c r="B310" t="s">
        <v>79</v>
      </c>
      <c r="C310">
        <v>180586</v>
      </c>
    </row>
    <row r="311" spans="1:3" x14ac:dyDescent="0.25">
      <c r="A311" s="1">
        <f t="shared" si="2"/>
        <v>43525</v>
      </c>
      <c r="B311" t="s">
        <v>80</v>
      </c>
      <c r="C311">
        <v>226063</v>
      </c>
    </row>
    <row r="312" spans="1:3" x14ac:dyDescent="0.25">
      <c r="A312" s="1">
        <f t="shared" si="2"/>
        <v>43525</v>
      </c>
      <c r="B312" t="s">
        <v>81</v>
      </c>
      <c r="C312">
        <v>121808</v>
      </c>
    </row>
    <row r="313" spans="1:3" x14ac:dyDescent="0.25">
      <c r="A313" s="1">
        <f t="shared" si="2"/>
        <v>43525</v>
      </c>
      <c r="B313" t="s">
        <v>82</v>
      </c>
      <c r="C313">
        <v>241959</v>
      </c>
    </row>
    <row r="314" spans="1:3" x14ac:dyDescent="0.25">
      <c r="A314" s="1">
        <f t="shared" si="2"/>
        <v>43525</v>
      </c>
      <c r="B314" t="s">
        <v>83</v>
      </c>
      <c r="C314">
        <v>133108</v>
      </c>
    </row>
    <row r="315" spans="1:3" x14ac:dyDescent="0.25">
      <c r="A315" s="1">
        <f t="shared" si="2"/>
        <v>43525</v>
      </c>
      <c r="B315" t="s">
        <v>84</v>
      </c>
      <c r="C315">
        <v>222869</v>
      </c>
    </row>
    <row r="316" spans="1:3" x14ac:dyDescent="0.25">
      <c r="A316" s="1">
        <f t="shared" si="2"/>
        <v>43525</v>
      </c>
      <c r="B316" t="s">
        <v>85</v>
      </c>
      <c r="C316">
        <v>144902</v>
      </c>
    </row>
    <row r="317" spans="1:3" x14ac:dyDescent="0.25">
      <c r="A317" s="1">
        <f t="shared" si="2"/>
        <v>43525</v>
      </c>
      <c r="B317" t="s">
        <v>86</v>
      </c>
      <c r="C317">
        <v>60617</v>
      </c>
    </row>
    <row r="318" spans="1:3" x14ac:dyDescent="0.25">
      <c r="A318" s="1">
        <f t="shared" si="2"/>
        <v>43525</v>
      </c>
      <c r="B318" t="s">
        <v>87</v>
      </c>
      <c r="C318">
        <v>62239</v>
      </c>
    </row>
    <row r="319" spans="1:3" x14ac:dyDescent="0.25">
      <c r="A319" s="1">
        <f t="shared" si="2"/>
        <v>43525</v>
      </c>
      <c r="B319" t="s">
        <v>88</v>
      </c>
      <c r="C319">
        <v>161848</v>
      </c>
    </row>
    <row r="320" spans="1:3" x14ac:dyDescent="0.25">
      <c r="A320" s="1">
        <f t="shared" si="2"/>
        <v>43525</v>
      </c>
      <c r="B320" t="s">
        <v>89</v>
      </c>
      <c r="C320">
        <v>196588</v>
      </c>
    </row>
    <row r="321" spans="1:3" x14ac:dyDescent="0.25">
      <c r="A321" s="1">
        <f t="shared" si="2"/>
        <v>43525</v>
      </c>
      <c r="B321" t="s">
        <v>90</v>
      </c>
      <c r="C321">
        <v>157562</v>
      </c>
    </row>
    <row r="322" spans="1:3" x14ac:dyDescent="0.25">
      <c r="A322" s="1">
        <f t="shared" si="2"/>
        <v>43525</v>
      </c>
      <c r="B322" t="s">
        <v>91</v>
      </c>
      <c r="C322">
        <v>200996</v>
      </c>
    </row>
    <row r="323" spans="1:3" x14ac:dyDescent="0.25">
      <c r="A323" s="1">
        <f t="shared" si="2"/>
        <v>43525</v>
      </c>
      <c r="B323" t="s">
        <v>92</v>
      </c>
      <c r="C323">
        <v>218310</v>
      </c>
    </row>
    <row r="324" spans="1:3" x14ac:dyDescent="0.25">
      <c r="A324" s="1">
        <f t="shared" si="2"/>
        <v>43525</v>
      </c>
      <c r="B324" t="s">
        <v>93</v>
      </c>
      <c r="C324">
        <v>122938</v>
      </c>
    </row>
    <row r="325" spans="1:3" x14ac:dyDescent="0.25">
      <c r="A325" s="1">
        <f t="shared" si="2"/>
        <v>43525</v>
      </c>
      <c r="B325" t="s">
        <v>94</v>
      </c>
      <c r="C325">
        <v>109667</v>
      </c>
    </row>
    <row r="326" spans="1:3" x14ac:dyDescent="0.25">
      <c r="A326" s="1">
        <f t="shared" si="2"/>
        <v>43525</v>
      </c>
      <c r="B326" t="s">
        <v>95</v>
      </c>
      <c r="C326">
        <v>136067</v>
      </c>
    </row>
    <row r="327" spans="1:3" x14ac:dyDescent="0.25">
      <c r="A327" s="1">
        <f t="shared" si="2"/>
        <v>43525</v>
      </c>
      <c r="B327" t="s">
        <v>96</v>
      </c>
      <c r="C327">
        <v>232835</v>
      </c>
    </row>
    <row r="328" spans="1:3" x14ac:dyDescent="0.25">
      <c r="A328" s="1">
        <f t="shared" si="2"/>
        <v>43525</v>
      </c>
      <c r="B328" t="s">
        <v>97</v>
      </c>
      <c r="C328">
        <v>187261</v>
      </c>
    </row>
    <row r="329" spans="1:3" x14ac:dyDescent="0.25">
      <c r="A329" s="1">
        <f t="shared" si="2"/>
        <v>43525</v>
      </c>
      <c r="B329" t="s">
        <v>98</v>
      </c>
      <c r="C329">
        <v>205688</v>
      </c>
    </row>
    <row r="330" spans="1:3" x14ac:dyDescent="0.25">
      <c r="A330" s="1">
        <f t="shared" si="2"/>
        <v>43525</v>
      </c>
      <c r="B330" t="s">
        <v>99</v>
      </c>
      <c r="C330">
        <v>121042</v>
      </c>
    </row>
    <row r="331" spans="1:3" x14ac:dyDescent="0.25">
      <c r="A331" s="1">
        <f t="shared" si="2"/>
        <v>43525</v>
      </c>
      <c r="B331" t="s">
        <v>100</v>
      </c>
      <c r="C331">
        <v>99313</v>
      </c>
    </row>
    <row r="332" spans="1:3" x14ac:dyDescent="0.25">
      <c r="A332" s="1">
        <f t="shared" si="2"/>
        <v>43525</v>
      </c>
      <c r="B332" t="s">
        <v>101</v>
      </c>
      <c r="C332">
        <v>149597</v>
      </c>
    </row>
    <row r="333" spans="1:3" x14ac:dyDescent="0.25">
      <c r="A333" s="1">
        <f t="shared" si="2"/>
        <v>43525</v>
      </c>
      <c r="B333" t="s">
        <v>102</v>
      </c>
      <c r="C333">
        <v>194713</v>
      </c>
    </row>
    <row r="334" spans="1:3" x14ac:dyDescent="0.25">
      <c r="A334" s="1">
        <f t="shared" si="2"/>
        <v>43525</v>
      </c>
      <c r="B334" t="s">
        <v>103</v>
      </c>
      <c r="C334">
        <v>147903</v>
      </c>
    </row>
    <row r="335" spans="1:3" x14ac:dyDescent="0.25">
      <c r="A335" s="1">
        <f t="shared" ref="A335:A398" si="3">EDATE(A195,1)</f>
        <v>43525</v>
      </c>
      <c r="B335" t="s">
        <v>104</v>
      </c>
      <c r="C335">
        <v>212193</v>
      </c>
    </row>
    <row r="336" spans="1:3" x14ac:dyDescent="0.25">
      <c r="A336" s="1">
        <f t="shared" si="3"/>
        <v>43525</v>
      </c>
      <c r="B336" t="s">
        <v>105</v>
      </c>
      <c r="C336">
        <v>112185</v>
      </c>
    </row>
    <row r="337" spans="1:3" x14ac:dyDescent="0.25">
      <c r="A337" s="1">
        <f t="shared" si="3"/>
        <v>43525</v>
      </c>
      <c r="B337" t="s">
        <v>106</v>
      </c>
      <c r="C337">
        <v>271842</v>
      </c>
    </row>
    <row r="338" spans="1:3" x14ac:dyDescent="0.25">
      <c r="A338" s="1">
        <f t="shared" si="3"/>
        <v>43525</v>
      </c>
      <c r="B338" t="s">
        <v>107</v>
      </c>
      <c r="C338">
        <v>88767</v>
      </c>
    </row>
    <row r="339" spans="1:3" x14ac:dyDescent="0.25">
      <c r="A339" s="1">
        <f t="shared" si="3"/>
        <v>43525</v>
      </c>
      <c r="B339" t="s">
        <v>108</v>
      </c>
      <c r="C339">
        <v>242847</v>
      </c>
    </row>
    <row r="340" spans="1:3" x14ac:dyDescent="0.25">
      <c r="A340" s="1">
        <f t="shared" si="3"/>
        <v>43525</v>
      </c>
      <c r="B340" t="s">
        <v>109</v>
      </c>
      <c r="C340">
        <v>70534</v>
      </c>
    </row>
    <row r="341" spans="1:3" x14ac:dyDescent="0.25">
      <c r="A341" s="1">
        <f t="shared" si="3"/>
        <v>43525</v>
      </c>
      <c r="B341" t="s">
        <v>110</v>
      </c>
      <c r="C341">
        <v>-1045</v>
      </c>
    </row>
    <row r="342" spans="1:3" x14ac:dyDescent="0.25">
      <c r="A342" s="1">
        <f t="shared" si="3"/>
        <v>43525</v>
      </c>
      <c r="B342" t="s">
        <v>111</v>
      </c>
      <c r="C342">
        <v>-6349</v>
      </c>
    </row>
    <row r="343" spans="1:3" x14ac:dyDescent="0.25">
      <c r="A343" s="1">
        <f t="shared" si="3"/>
        <v>43525</v>
      </c>
      <c r="B343" t="s">
        <v>112</v>
      </c>
      <c r="C343">
        <v>-3973</v>
      </c>
    </row>
    <row r="344" spans="1:3" x14ac:dyDescent="0.25">
      <c r="A344" s="1">
        <f t="shared" si="3"/>
        <v>43525</v>
      </c>
      <c r="B344" t="s">
        <v>113</v>
      </c>
      <c r="C344">
        <v>-2388</v>
      </c>
    </row>
    <row r="345" spans="1:3" x14ac:dyDescent="0.25">
      <c r="A345" s="1">
        <f t="shared" si="3"/>
        <v>43525</v>
      </c>
      <c r="B345" t="s">
        <v>114</v>
      </c>
      <c r="C345">
        <v>-3365</v>
      </c>
    </row>
    <row r="346" spans="1:3" x14ac:dyDescent="0.25">
      <c r="A346" s="1">
        <f t="shared" si="3"/>
        <v>43525</v>
      </c>
      <c r="B346" t="s">
        <v>115</v>
      </c>
      <c r="C346">
        <v>-3417</v>
      </c>
    </row>
    <row r="347" spans="1:3" x14ac:dyDescent="0.25">
      <c r="A347" s="1">
        <f t="shared" si="3"/>
        <v>43525</v>
      </c>
      <c r="B347" t="s">
        <v>116</v>
      </c>
      <c r="C347">
        <v>-5854</v>
      </c>
    </row>
    <row r="348" spans="1:3" x14ac:dyDescent="0.25">
      <c r="A348" s="1">
        <f t="shared" si="3"/>
        <v>43525</v>
      </c>
      <c r="B348" t="s">
        <v>117</v>
      </c>
      <c r="C348">
        <v>-2131</v>
      </c>
    </row>
    <row r="349" spans="1:3" x14ac:dyDescent="0.25">
      <c r="A349" s="1">
        <f t="shared" si="3"/>
        <v>43525</v>
      </c>
      <c r="B349" t="s">
        <v>118</v>
      </c>
      <c r="C349">
        <v>-1768</v>
      </c>
    </row>
    <row r="350" spans="1:3" x14ac:dyDescent="0.25">
      <c r="A350" s="1">
        <f t="shared" si="3"/>
        <v>43525</v>
      </c>
      <c r="B350" t="s">
        <v>119</v>
      </c>
      <c r="C350">
        <v>-8573</v>
      </c>
    </row>
    <row r="351" spans="1:3" x14ac:dyDescent="0.25">
      <c r="A351" s="1">
        <f t="shared" si="3"/>
        <v>43525</v>
      </c>
      <c r="B351" t="s">
        <v>120</v>
      </c>
      <c r="C351">
        <v>-3500</v>
      </c>
    </row>
    <row r="352" spans="1:3" x14ac:dyDescent="0.25">
      <c r="A352" s="1">
        <f t="shared" si="3"/>
        <v>43525</v>
      </c>
      <c r="B352" t="s">
        <v>121</v>
      </c>
      <c r="C352">
        <v>-6284</v>
      </c>
    </row>
    <row r="353" spans="1:3" x14ac:dyDescent="0.25">
      <c r="A353" s="1">
        <f t="shared" si="3"/>
        <v>43525</v>
      </c>
      <c r="B353" t="s">
        <v>122</v>
      </c>
      <c r="C353">
        <v>-4360</v>
      </c>
    </row>
    <row r="354" spans="1:3" x14ac:dyDescent="0.25">
      <c r="A354" s="1">
        <f t="shared" si="3"/>
        <v>43525</v>
      </c>
      <c r="B354" t="s">
        <v>123</v>
      </c>
      <c r="C354">
        <v>-4087</v>
      </c>
    </row>
    <row r="355" spans="1:3" x14ac:dyDescent="0.25">
      <c r="A355" s="1">
        <f t="shared" si="3"/>
        <v>43525</v>
      </c>
      <c r="B355" t="s">
        <v>124</v>
      </c>
      <c r="C355">
        <v>-3701</v>
      </c>
    </row>
    <row r="356" spans="1:3" x14ac:dyDescent="0.25">
      <c r="A356" s="1">
        <f t="shared" si="3"/>
        <v>43525</v>
      </c>
      <c r="B356" t="s">
        <v>125</v>
      </c>
      <c r="C356">
        <v>-2916</v>
      </c>
    </row>
    <row r="357" spans="1:3" x14ac:dyDescent="0.25">
      <c r="A357" s="1">
        <f t="shared" si="3"/>
        <v>43525</v>
      </c>
      <c r="B357" t="s">
        <v>126</v>
      </c>
      <c r="C357">
        <v>-3870</v>
      </c>
    </row>
    <row r="358" spans="1:3" x14ac:dyDescent="0.25">
      <c r="A358" s="1">
        <f t="shared" si="3"/>
        <v>43525</v>
      </c>
      <c r="B358" t="s">
        <v>127</v>
      </c>
      <c r="C358">
        <v>-2023</v>
      </c>
    </row>
    <row r="359" spans="1:3" x14ac:dyDescent="0.25">
      <c r="A359" s="1">
        <f t="shared" si="3"/>
        <v>43525</v>
      </c>
      <c r="B359" t="s">
        <v>128</v>
      </c>
      <c r="C359">
        <v>-4276</v>
      </c>
    </row>
    <row r="360" spans="1:3" x14ac:dyDescent="0.25">
      <c r="A360" s="1">
        <f t="shared" si="3"/>
        <v>43525</v>
      </c>
      <c r="B360" t="s">
        <v>129</v>
      </c>
      <c r="C360">
        <v>-1520</v>
      </c>
    </row>
    <row r="361" spans="1:3" x14ac:dyDescent="0.25">
      <c r="A361" s="1">
        <f t="shared" si="3"/>
        <v>43525</v>
      </c>
      <c r="B361" t="s">
        <v>130</v>
      </c>
      <c r="C361">
        <v>-7351</v>
      </c>
    </row>
    <row r="362" spans="1:3" x14ac:dyDescent="0.25">
      <c r="A362" s="1">
        <f t="shared" si="3"/>
        <v>43525</v>
      </c>
      <c r="B362" t="s">
        <v>131</v>
      </c>
      <c r="C362">
        <v>-6889</v>
      </c>
    </row>
    <row r="363" spans="1:3" x14ac:dyDescent="0.25">
      <c r="A363" s="1">
        <f t="shared" si="3"/>
        <v>43525</v>
      </c>
      <c r="B363" t="s">
        <v>132</v>
      </c>
      <c r="C363">
        <v>-4190</v>
      </c>
    </row>
    <row r="364" spans="1:3" x14ac:dyDescent="0.25">
      <c r="A364" s="1">
        <f t="shared" si="3"/>
        <v>43525</v>
      </c>
      <c r="B364" t="s">
        <v>133</v>
      </c>
      <c r="C364">
        <v>-5324</v>
      </c>
    </row>
    <row r="365" spans="1:3" x14ac:dyDescent="0.25">
      <c r="A365" s="1">
        <f t="shared" si="3"/>
        <v>43525</v>
      </c>
      <c r="B365" t="s">
        <v>134</v>
      </c>
      <c r="C365">
        <v>-5816</v>
      </c>
    </row>
    <row r="366" spans="1:3" x14ac:dyDescent="0.25">
      <c r="A366" s="1">
        <f t="shared" si="3"/>
        <v>43525</v>
      </c>
      <c r="B366" t="s">
        <v>135</v>
      </c>
      <c r="C366">
        <v>-1981</v>
      </c>
    </row>
    <row r="367" spans="1:3" x14ac:dyDescent="0.25">
      <c r="A367" s="1">
        <f t="shared" si="3"/>
        <v>43525</v>
      </c>
      <c r="B367" t="s">
        <v>136</v>
      </c>
      <c r="C367">
        <v>-9895</v>
      </c>
    </row>
    <row r="368" spans="1:3" x14ac:dyDescent="0.25">
      <c r="A368" s="1">
        <f t="shared" si="3"/>
        <v>43525</v>
      </c>
      <c r="B368" t="s">
        <v>137</v>
      </c>
      <c r="C368">
        <v>-9792</v>
      </c>
    </row>
    <row r="369" spans="1:3" x14ac:dyDescent="0.25">
      <c r="A369" s="1">
        <f t="shared" si="3"/>
        <v>43525</v>
      </c>
      <c r="B369" t="s">
        <v>138</v>
      </c>
      <c r="C369">
        <v>-9820</v>
      </c>
    </row>
    <row r="370" spans="1:3" x14ac:dyDescent="0.25">
      <c r="A370" s="1">
        <f t="shared" si="3"/>
        <v>43525</v>
      </c>
      <c r="B370" t="s">
        <v>139</v>
      </c>
      <c r="C370">
        <v>-9452</v>
      </c>
    </row>
    <row r="371" spans="1:3" x14ac:dyDescent="0.25">
      <c r="A371" s="1">
        <f t="shared" si="3"/>
        <v>43525</v>
      </c>
      <c r="B371" t="s">
        <v>140</v>
      </c>
      <c r="C371">
        <v>-282759</v>
      </c>
    </row>
    <row r="372" spans="1:3" x14ac:dyDescent="0.25">
      <c r="A372" s="1">
        <f t="shared" si="3"/>
        <v>43525</v>
      </c>
      <c r="B372" t="s">
        <v>141</v>
      </c>
      <c r="C372">
        <v>-282781</v>
      </c>
    </row>
    <row r="373" spans="1:3" x14ac:dyDescent="0.25">
      <c r="A373" s="1">
        <f t="shared" si="3"/>
        <v>43525</v>
      </c>
      <c r="B373" t="s">
        <v>142</v>
      </c>
      <c r="C373">
        <v>-149243</v>
      </c>
    </row>
    <row r="374" spans="1:3" x14ac:dyDescent="0.25">
      <c r="A374" s="1">
        <f t="shared" si="3"/>
        <v>43525</v>
      </c>
      <c r="B374" t="s">
        <v>143</v>
      </c>
      <c r="C374">
        <v>-183080</v>
      </c>
    </row>
    <row r="375" spans="1:3" x14ac:dyDescent="0.25">
      <c r="A375" s="1">
        <f t="shared" si="3"/>
        <v>43525</v>
      </c>
      <c r="B375" t="s">
        <v>144</v>
      </c>
      <c r="C375">
        <v>-235356</v>
      </c>
    </row>
    <row r="376" spans="1:3" x14ac:dyDescent="0.25">
      <c r="A376" s="1">
        <f t="shared" si="3"/>
        <v>43525</v>
      </c>
      <c r="B376" t="s">
        <v>145</v>
      </c>
      <c r="C376">
        <v>-178139</v>
      </c>
    </row>
    <row r="377" spans="1:3" x14ac:dyDescent="0.25">
      <c r="A377" s="1">
        <f t="shared" si="3"/>
        <v>43525</v>
      </c>
      <c r="B377" t="s">
        <v>146</v>
      </c>
      <c r="C377">
        <v>-269576</v>
      </c>
    </row>
    <row r="378" spans="1:3" x14ac:dyDescent="0.25">
      <c r="A378" s="1">
        <f t="shared" si="3"/>
        <v>43525</v>
      </c>
      <c r="B378" t="s">
        <v>147</v>
      </c>
      <c r="C378">
        <v>-230846</v>
      </c>
    </row>
    <row r="379" spans="1:3" x14ac:dyDescent="0.25">
      <c r="A379" s="1">
        <f t="shared" si="3"/>
        <v>43525</v>
      </c>
      <c r="B379" t="s">
        <v>148</v>
      </c>
      <c r="C379">
        <v>-204134</v>
      </c>
    </row>
    <row r="380" spans="1:3" x14ac:dyDescent="0.25">
      <c r="A380" s="1">
        <f t="shared" si="3"/>
        <v>43525</v>
      </c>
      <c r="B380" t="s">
        <v>149</v>
      </c>
      <c r="C380">
        <v>-281792</v>
      </c>
    </row>
    <row r="381" spans="1:3" x14ac:dyDescent="0.25">
      <c r="A381" s="1">
        <f t="shared" si="3"/>
        <v>43525</v>
      </c>
      <c r="B381" t="s">
        <v>150</v>
      </c>
      <c r="C381">
        <v>-253048</v>
      </c>
    </row>
    <row r="382" spans="1:3" x14ac:dyDescent="0.25">
      <c r="A382" s="1">
        <f t="shared" si="3"/>
        <v>43525</v>
      </c>
      <c r="B382" t="s">
        <v>151</v>
      </c>
      <c r="C382">
        <v>-169939</v>
      </c>
    </row>
    <row r="383" spans="1:3" x14ac:dyDescent="0.25">
      <c r="A383" s="1">
        <f t="shared" si="3"/>
        <v>43525</v>
      </c>
      <c r="B383" t="s">
        <v>152</v>
      </c>
      <c r="C383">
        <v>-238360</v>
      </c>
    </row>
    <row r="384" spans="1:3" x14ac:dyDescent="0.25">
      <c r="A384" s="1">
        <f t="shared" si="3"/>
        <v>43525</v>
      </c>
      <c r="B384" t="s">
        <v>153</v>
      </c>
      <c r="C384">
        <v>-120082</v>
      </c>
    </row>
    <row r="385" spans="1:3" x14ac:dyDescent="0.25">
      <c r="A385" s="1">
        <f t="shared" si="3"/>
        <v>43525</v>
      </c>
      <c r="B385" t="s">
        <v>154</v>
      </c>
      <c r="C385">
        <v>-155660</v>
      </c>
    </row>
    <row r="386" spans="1:3" x14ac:dyDescent="0.25">
      <c r="A386" s="1">
        <f t="shared" si="3"/>
        <v>43525</v>
      </c>
      <c r="B386" t="s">
        <v>155</v>
      </c>
      <c r="C386">
        <v>-107910</v>
      </c>
    </row>
    <row r="387" spans="1:3" x14ac:dyDescent="0.25">
      <c r="A387" s="1">
        <f t="shared" si="3"/>
        <v>43525</v>
      </c>
      <c r="B387" t="s">
        <v>156</v>
      </c>
      <c r="C387">
        <v>-123984</v>
      </c>
    </row>
    <row r="388" spans="1:3" x14ac:dyDescent="0.25">
      <c r="A388" s="1">
        <f t="shared" si="3"/>
        <v>43525</v>
      </c>
      <c r="B388" t="s">
        <v>157</v>
      </c>
      <c r="C388">
        <v>-134564</v>
      </c>
    </row>
    <row r="389" spans="1:3" x14ac:dyDescent="0.25">
      <c r="A389" s="1">
        <f t="shared" si="3"/>
        <v>43525</v>
      </c>
      <c r="B389" t="s">
        <v>158</v>
      </c>
      <c r="C389">
        <v>-213627</v>
      </c>
    </row>
    <row r="390" spans="1:3" x14ac:dyDescent="0.25">
      <c r="A390" s="1">
        <f t="shared" si="3"/>
        <v>43525</v>
      </c>
      <c r="B390" t="s">
        <v>159</v>
      </c>
      <c r="C390">
        <v>-93294</v>
      </c>
    </row>
    <row r="391" spans="1:3" x14ac:dyDescent="0.25">
      <c r="A391" s="1">
        <f t="shared" si="3"/>
        <v>43525</v>
      </c>
      <c r="B391" t="s">
        <v>160</v>
      </c>
      <c r="C391">
        <v>-187113</v>
      </c>
    </row>
    <row r="392" spans="1:3" x14ac:dyDescent="0.25">
      <c r="A392" s="1">
        <f t="shared" si="3"/>
        <v>43525</v>
      </c>
      <c r="B392" t="s">
        <v>161</v>
      </c>
      <c r="C392">
        <v>-121212</v>
      </c>
    </row>
    <row r="393" spans="1:3" x14ac:dyDescent="0.25">
      <c r="A393" s="1">
        <f t="shared" si="3"/>
        <v>43525</v>
      </c>
      <c r="B393" t="s">
        <v>162</v>
      </c>
      <c r="C393">
        <v>-147422</v>
      </c>
    </row>
    <row r="394" spans="1:3" x14ac:dyDescent="0.25">
      <c r="A394" s="1">
        <f t="shared" si="3"/>
        <v>43525</v>
      </c>
      <c r="B394" t="s">
        <v>163</v>
      </c>
      <c r="C394">
        <v>-113460</v>
      </c>
    </row>
    <row r="395" spans="1:3" x14ac:dyDescent="0.25">
      <c r="A395" s="1">
        <f t="shared" si="3"/>
        <v>43525</v>
      </c>
      <c r="B395" t="s">
        <v>164</v>
      </c>
      <c r="C395">
        <v>-97598</v>
      </c>
    </row>
    <row r="396" spans="1:3" x14ac:dyDescent="0.25">
      <c r="A396" s="1">
        <f t="shared" si="3"/>
        <v>43525</v>
      </c>
      <c r="B396" t="s">
        <v>165</v>
      </c>
      <c r="C396">
        <v>-62448</v>
      </c>
    </row>
    <row r="397" spans="1:3" x14ac:dyDescent="0.25">
      <c r="A397" s="1">
        <f t="shared" si="3"/>
        <v>43525</v>
      </c>
      <c r="B397" t="s">
        <v>166</v>
      </c>
      <c r="C397">
        <v>-80666</v>
      </c>
    </row>
    <row r="398" spans="1:3" x14ac:dyDescent="0.25">
      <c r="A398" s="1">
        <f t="shared" si="3"/>
        <v>43525</v>
      </c>
      <c r="B398" t="s">
        <v>167</v>
      </c>
      <c r="C398">
        <v>-325277</v>
      </c>
    </row>
    <row r="399" spans="1:3" x14ac:dyDescent="0.25">
      <c r="A399" s="1">
        <f t="shared" ref="A399:A462" si="4">EDATE(A259,1)</f>
        <v>43525</v>
      </c>
      <c r="B399" t="s">
        <v>168</v>
      </c>
      <c r="C399">
        <v>-304234</v>
      </c>
    </row>
    <row r="400" spans="1:3" x14ac:dyDescent="0.25">
      <c r="A400" s="1">
        <f t="shared" si="4"/>
        <v>43525</v>
      </c>
      <c r="B400" t="s">
        <v>169</v>
      </c>
      <c r="C400">
        <v>-146466</v>
      </c>
    </row>
    <row r="401" spans="1:3" x14ac:dyDescent="0.25">
      <c r="A401" s="1">
        <f t="shared" si="4"/>
        <v>43525</v>
      </c>
      <c r="B401" t="s">
        <v>170</v>
      </c>
      <c r="C401">
        <v>-279746</v>
      </c>
    </row>
    <row r="402" spans="1:3" x14ac:dyDescent="0.25">
      <c r="A402" s="1">
        <f t="shared" si="4"/>
        <v>43525</v>
      </c>
      <c r="B402" t="s">
        <v>171</v>
      </c>
      <c r="C402">
        <v>-274567</v>
      </c>
    </row>
    <row r="403" spans="1:3" x14ac:dyDescent="0.25">
      <c r="A403" s="1">
        <f t="shared" si="4"/>
        <v>43525</v>
      </c>
      <c r="B403" t="s">
        <v>172</v>
      </c>
      <c r="C403">
        <v>-316743</v>
      </c>
    </row>
    <row r="404" spans="1:3" x14ac:dyDescent="0.25">
      <c r="A404" s="1">
        <f t="shared" si="4"/>
        <v>43525</v>
      </c>
      <c r="B404" t="s">
        <v>173</v>
      </c>
      <c r="C404">
        <v>-43388</v>
      </c>
    </row>
    <row r="405" spans="1:3" x14ac:dyDescent="0.25">
      <c r="A405" s="1">
        <f t="shared" si="4"/>
        <v>43525</v>
      </c>
      <c r="B405" t="s">
        <v>174</v>
      </c>
      <c r="C405">
        <v>-58872</v>
      </c>
    </row>
    <row r="406" spans="1:3" x14ac:dyDescent="0.25">
      <c r="A406" s="1">
        <f t="shared" si="4"/>
        <v>43525</v>
      </c>
      <c r="B406" t="s">
        <v>175</v>
      </c>
      <c r="C406">
        <v>-47396</v>
      </c>
    </row>
    <row r="407" spans="1:3" x14ac:dyDescent="0.25">
      <c r="A407" s="1">
        <f t="shared" si="4"/>
        <v>43525</v>
      </c>
      <c r="B407" t="s">
        <v>176</v>
      </c>
      <c r="C407">
        <v>-48761</v>
      </c>
    </row>
    <row r="408" spans="1:3" x14ac:dyDescent="0.25">
      <c r="A408" s="1">
        <f t="shared" si="4"/>
        <v>43525</v>
      </c>
      <c r="B408" t="s">
        <v>177</v>
      </c>
      <c r="C408">
        <v>-46680</v>
      </c>
    </row>
    <row r="409" spans="1:3" x14ac:dyDescent="0.25">
      <c r="A409" s="1">
        <f t="shared" si="4"/>
        <v>43525</v>
      </c>
      <c r="B409" t="s">
        <v>178</v>
      </c>
      <c r="C409">
        <v>-106830</v>
      </c>
    </row>
    <row r="410" spans="1:3" x14ac:dyDescent="0.25">
      <c r="A410" s="1">
        <f t="shared" si="4"/>
        <v>43525</v>
      </c>
      <c r="B410" t="s">
        <v>179</v>
      </c>
      <c r="C410">
        <v>-232986</v>
      </c>
    </row>
    <row r="411" spans="1:3" x14ac:dyDescent="0.25">
      <c r="A411" s="1">
        <f t="shared" si="4"/>
        <v>43525</v>
      </c>
      <c r="B411" t="s">
        <v>180</v>
      </c>
      <c r="C411">
        <v>-244111</v>
      </c>
    </row>
    <row r="412" spans="1:3" x14ac:dyDescent="0.25">
      <c r="A412" s="1">
        <f t="shared" si="4"/>
        <v>43525</v>
      </c>
      <c r="B412" t="s">
        <v>181</v>
      </c>
      <c r="C412">
        <v>-71954</v>
      </c>
    </row>
    <row r="413" spans="1:3" x14ac:dyDescent="0.25">
      <c r="A413" s="1">
        <f t="shared" si="4"/>
        <v>43525</v>
      </c>
      <c r="B413" t="s">
        <v>182</v>
      </c>
      <c r="C413">
        <v>-63280</v>
      </c>
    </row>
    <row r="414" spans="1:3" x14ac:dyDescent="0.25">
      <c r="A414" s="1">
        <f t="shared" si="4"/>
        <v>43525</v>
      </c>
      <c r="B414" t="s">
        <v>183</v>
      </c>
      <c r="C414">
        <v>-56596</v>
      </c>
    </row>
    <row r="415" spans="1:3" x14ac:dyDescent="0.25">
      <c r="A415" s="1">
        <f t="shared" si="4"/>
        <v>43525</v>
      </c>
      <c r="B415" t="s">
        <v>184</v>
      </c>
      <c r="C415">
        <v>-52273</v>
      </c>
    </row>
    <row r="416" spans="1:3" x14ac:dyDescent="0.25">
      <c r="A416" s="1">
        <f t="shared" si="4"/>
        <v>43525</v>
      </c>
      <c r="B416" t="s">
        <v>185</v>
      </c>
      <c r="C416">
        <v>-92808</v>
      </c>
    </row>
    <row r="417" spans="1:3" x14ac:dyDescent="0.25">
      <c r="A417" s="1">
        <f t="shared" si="4"/>
        <v>43525</v>
      </c>
      <c r="B417" t="s">
        <v>186</v>
      </c>
      <c r="C417">
        <v>-91973</v>
      </c>
    </row>
    <row r="418" spans="1:3" x14ac:dyDescent="0.25">
      <c r="A418" s="1">
        <f t="shared" si="4"/>
        <v>43525</v>
      </c>
      <c r="B418" t="s">
        <v>187</v>
      </c>
      <c r="C418">
        <v>-152347</v>
      </c>
    </row>
    <row r="419" spans="1:3" x14ac:dyDescent="0.25">
      <c r="A419" s="1">
        <f t="shared" si="4"/>
        <v>43525</v>
      </c>
      <c r="B419" t="s">
        <v>188</v>
      </c>
      <c r="C419">
        <v>-159873</v>
      </c>
    </row>
    <row r="420" spans="1:3" x14ac:dyDescent="0.25">
      <c r="A420" s="1">
        <f t="shared" si="4"/>
        <v>43525</v>
      </c>
      <c r="B420" t="s">
        <v>189</v>
      </c>
      <c r="C420">
        <v>-11863</v>
      </c>
    </row>
    <row r="421" spans="1:3" x14ac:dyDescent="0.25">
      <c r="A421" s="1">
        <f t="shared" si="4"/>
        <v>43525</v>
      </c>
      <c r="B421" t="s">
        <v>190</v>
      </c>
      <c r="C421">
        <v>-23387</v>
      </c>
    </row>
    <row r="422" spans="1:3" x14ac:dyDescent="0.25">
      <c r="A422" s="1">
        <f t="shared" si="4"/>
        <v>43556</v>
      </c>
      <c r="B422" t="s">
        <v>51</v>
      </c>
      <c r="C422">
        <v>647024</v>
      </c>
    </row>
    <row r="423" spans="1:3" x14ac:dyDescent="0.25">
      <c r="A423" s="1">
        <f t="shared" si="4"/>
        <v>43556</v>
      </c>
      <c r="B423" t="s">
        <v>52</v>
      </c>
      <c r="C423">
        <v>797169</v>
      </c>
    </row>
    <row r="424" spans="1:3" x14ac:dyDescent="0.25">
      <c r="A424" s="1">
        <f t="shared" si="4"/>
        <v>43556</v>
      </c>
      <c r="B424" t="s">
        <v>53</v>
      </c>
      <c r="C424">
        <v>878767</v>
      </c>
    </row>
    <row r="425" spans="1:3" x14ac:dyDescent="0.25">
      <c r="A425" s="1">
        <f t="shared" si="4"/>
        <v>43556</v>
      </c>
      <c r="B425" t="s">
        <v>54</v>
      </c>
      <c r="C425">
        <v>988470</v>
      </c>
    </row>
    <row r="426" spans="1:3" x14ac:dyDescent="0.25">
      <c r="A426" s="1">
        <f t="shared" si="4"/>
        <v>43556</v>
      </c>
      <c r="B426" t="s">
        <v>55</v>
      </c>
      <c r="C426">
        <v>242061</v>
      </c>
    </row>
    <row r="427" spans="1:3" x14ac:dyDescent="0.25">
      <c r="A427" s="1">
        <f t="shared" si="4"/>
        <v>43556</v>
      </c>
      <c r="B427" t="s">
        <v>56</v>
      </c>
      <c r="C427">
        <v>309285</v>
      </c>
    </row>
    <row r="428" spans="1:3" x14ac:dyDescent="0.25">
      <c r="A428" s="1">
        <f t="shared" si="4"/>
        <v>43556</v>
      </c>
      <c r="B428" t="s">
        <v>57</v>
      </c>
      <c r="C428">
        <v>417013</v>
      </c>
    </row>
    <row r="429" spans="1:3" x14ac:dyDescent="0.25">
      <c r="A429" s="1">
        <f t="shared" si="4"/>
        <v>43556</v>
      </c>
      <c r="B429" t="s">
        <v>58</v>
      </c>
      <c r="C429">
        <v>971404</v>
      </c>
    </row>
    <row r="430" spans="1:3" x14ac:dyDescent="0.25">
      <c r="A430" s="1">
        <f t="shared" si="4"/>
        <v>43556</v>
      </c>
      <c r="B430" t="s">
        <v>59</v>
      </c>
      <c r="C430">
        <v>897997</v>
      </c>
    </row>
    <row r="431" spans="1:3" x14ac:dyDescent="0.25">
      <c r="A431" s="1">
        <f t="shared" si="4"/>
        <v>43556</v>
      </c>
      <c r="B431" t="s">
        <v>60</v>
      </c>
      <c r="C431">
        <v>413828</v>
      </c>
    </row>
    <row r="432" spans="1:3" x14ac:dyDescent="0.25">
      <c r="A432" s="1">
        <f t="shared" si="4"/>
        <v>43556</v>
      </c>
      <c r="B432" t="s">
        <v>61</v>
      </c>
      <c r="C432">
        <v>939658</v>
      </c>
    </row>
    <row r="433" spans="1:3" x14ac:dyDescent="0.25">
      <c r="A433" s="1">
        <f t="shared" si="4"/>
        <v>43556</v>
      </c>
      <c r="B433" t="s">
        <v>62</v>
      </c>
      <c r="C433">
        <v>578198</v>
      </c>
    </row>
    <row r="434" spans="1:3" x14ac:dyDescent="0.25">
      <c r="A434" s="1">
        <f t="shared" si="4"/>
        <v>43556</v>
      </c>
      <c r="B434" t="s">
        <v>63</v>
      </c>
      <c r="C434">
        <v>409008</v>
      </c>
    </row>
    <row r="435" spans="1:3" x14ac:dyDescent="0.25">
      <c r="A435" s="1">
        <f t="shared" si="4"/>
        <v>43556</v>
      </c>
      <c r="B435" t="s">
        <v>64</v>
      </c>
      <c r="C435">
        <v>585144</v>
      </c>
    </row>
    <row r="436" spans="1:3" x14ac:dyDescent="0.25">
      <c r="A436" s="1">
        <f t="shared" si="4"/>
        <v>43556</v>
      </c>
      <c r="B436" t="s">
        <v>65</v>
      </c>
      <c r="C436">
        <v>382281</v>
      </c>
    </row>
    <row r="437" spans="1:3" x14ac:dyDescent="0.25">
      <c r="A437" s="1">
        <f t="shared" si="4"/>
        <v>43556</v>
      </c>
      <c r="B437" t="s">
        <v>66</v>
      </c>
      <c r="C437">
        <v>862596</v>
      </c>
    </row>
    <row r="438" spans="1:3" x14ac:dyDescent="0.25">
      <c r="A438" s="1">
        <f t="shared" si="4"/>
        <v>43556</v>
      </c>
      <c r="B438" t="s">
        <v>67</v>
      </c>
      <c r="C438">
        <v>971203</v>
      </c>
    </row>
    <row r="439" spans="1:3" x14ac:dyDescent="0.25">
      <c r="A439" s="1">
        <f t="shared" si="4"/>
        <v>43556</v>
      </c>
      <c r="B439" t="s">
        <v>68</v>
      </c>
      <c r="C439">
        <v>556701</v>
      </c>
    </row>
    <row r="440" spans="1:3" x14ac:dyDescent="0.25">
      <c r="A440" s="1">
        <f t="shared" si="4"/>
        <v>43556</v>
      </c>
      <c r="B440" t="s">
        <v>69</v>
      </c>
      <c r="C440">
        <v>255335</v>
      </c>
    </row>
    <row r="441" spans="1:3" x14ac:dyDescent="0.25">
      <c r="A441" s="1">
        <f t="shared" si="4"/>
        <v>43556</v>
      </c>
      <c r="B441" t="s">
        <v>70</v>
      </c>
      <c r="C441">
        <v>602628</v>
      </c>
    </row>
    <row r="442" spans="1:3" x14ac:dyDescent="0.25">
      <c r="A442" s="1">
        <f t="shared" si="4"/>
        <v>43556</v>
      </c>
      <c r="B442" t="s">
        <v>71</v>
      </c>
      <c r="C442">
        <v>783768</v>
      </c>
    </row>
    <row r="443" spans="1:3" x14ac:dyDescent="0.25">
      <c r="A443" s="1">
        <f t="shared" si="4"/>
        <v>43556</v>
      </c>
      <c r="B443" t="s">
        <v>72</v>
      </c>
      <c r="C443">
        <v>379793</v>
      </c>
    </row>
    <row r="444" spans="1:3" x14ac:dyDescent="0.25">
      <c r="A444" s="1">
        <f t="shared" si="4"/>
        <v>43556</v>
      </c>
      <c r="B444" t="s">
        <v>73</v>
      </c>
      <c r="C444">
        <v>158900</v>
      </c>
    </row>
    <row r="445" spans="1:3" x14ac:dyDescent="0.25">
      <c r="A445" s="1">
        <f t="shared" si="4"/>
        <v>43556</v>
      </c>
      <c r="B445" t="s">
        <v>74</v>
      </c>
      <c r="C445">
        <v>54600</v>
      </c>
    </row>
    <row r="446" spans="1:3" x14ac:dyDescent="0.25">
      <c r="A446" s="1">
        <f t="shared" si="4"/>
        <v>43556</v>
      </c>
      <c r="B446" t="s">
        <v>75</v>
      </c>
      <c r="C446">
        <v>93995</v>
      </c>
    </row>
    <row r="447" spans="1:3" x14ac:dyDescent="0.25">
      <c r="A447" s="1">
        <f t="shared" si="4"/>
        <v>43556</v>
      </c>
      <c r="B447" t="s">
        <v>76</v>
      </c>
      <c r="C447">
        <v>283587</v>
      </c>
    </row>
    <row r="448" spans="1:3" x14ac:dyDescent="0.25">
      <c r="A448" s="1">
        <f t="shared" si="4"/>
        <v>43556</v>
      </c>
      <c r="B448" t="s">
        <v>77</v>
      </c>
      <c r="C448">
        <v>148078</v>
      </c>
    </row>
    <row r="449" spans="1:3" x14ac:dyDescent="0.25">
      <c r="A449" s="1">
        <f t="shared" si="4"/>
        <v>43556</v>
      </c>
      <c r="B449" t="s">
        <v>78</v>
      </c>
      <c r="C449">
        <v>104721</v>
      </c>
    </row>
    <row r="450" spans="1:3" x14ac:dyDescent="0.25">
      <c r="A450" s="1">
        <f t="shared" si="4"/>
        <v>43556</v>
      </c>
      <c r="B450" t="s">
        <v>79</v>
      </c>
      <c r="C450">
        <v>201146</v>
      </c>
    </row>
    <row r="451" spans="1:3" x14ac:dyDescent="0.25">
      <c r="A451" s="1">
        <f t="shared" si="4"/>
        <v>43556</v>
      </c>
      <c r="B451" t="s">
        <v>80</v>
      </c>
      <c r="C451">
        <v>50657</v>
      </c>
    </row>
    <row r="452" spans="1:3" x14ac:dyDescent="0.25">
      <c r="A452" s="1">
        <f t="shared" si="4"/>
        <v>43556</v>
      </c>
      <c r="B452" t="s">
        <v>81</v>
      </c>
      <c r="C452">
        <v>277293</v>
      </c>
    </row>
    <row r="453" spans="1:3" x14ac:dyDescent="0.25">
      <c r="A453" s="1">
        <f t="shared" si="4"/>
        <v>43556</v>
      </c>
      <c r="B453" t="s">
        <v>82</v>
      </c>
      <c r="C453">
        <v>164817</v>
      </c>
    </row>
    <row r="454" spans="1:3" x14ac:dyDescent="0.25">
      <c r="A454" s="1">
        <f t="shared" si="4"/>
        <v>43556</v>
      </c>
      <c r="B454" t="s">
        <v>83</v>
      </c>
      <c r="C454">
        <v>259972</v>
      </c>
    </row>
    <row r="455" spans="1:3" x14ac:dyDescent="0.25">
      <c r="A455" s="1">
        <f t="shared" si="4"/>
        <v>43556</v>
      </c>
      <c r="B455" t="s">
        <v>84</v>
      </c>
      <c r="C455">
        <v>184628</v>
      </c>
    </row>
    <row r="456" spans="1:3" x14ac:dyDescent="0.25">
      <c r="A456" s="1">
        <f t="shared" si="4"/>
        <v>43556</v>
      </c>
      <c r="B456" t="s">
        <v>85</v>
      </c>
      <c r="C456">
        <v>65244</v>
      </c>
    </row>
    <row r="457" spans="1:3" x14ac:dyDescent="0.25">
      <c r="A457" s="1">
        <f t="shared" si="4"/>
        <v>43556</v>
      </c>
      <c r="B457" t="s">
        <v>86</v>
      </c>
      <c r="C457">
        <v>110483</v>
      </c>
    </row>
    <row r="458" spans="1:3" x14ac:dyDescent="0.25">
      <c r="A458" s="1">
        <f t="shared" si="4"/>
        <v>43556</v>
      </c>
      <c r="B458" t="s">
        <v>87</v>
      </c>
      <c r="C458">
        <v>172342</v>
      </c>
    </row>
    <row r="459" spans="1:3" x14ac:dyDescent="0.25">
      <c r="A459" s="1">
        <f t="shared" si="4"/>
        <v>43556</v>
      </c>
      <c r="B459" t="s">
        <v>88</v>
      </c>
      <c r="C459">
        <v>267663</v>
      </c>
    </row>
    <row r="460" spans="1:3" x14ac:dyDescent="0.25">
      <c r="A460" s="1">
        <f t="shared" si="4"/>
        <v>43556</v>
      </c>
      <c r="B460" t="s">
        <v>89</v>
      </c>
      <c r="C460">
        <v>255014</v>
      </c>
    </row>
    <row r="461" spans="1:3" x14ac:dyDescent="0.25">
      <c r="A461" s="1">
        <f t="shared" si="4"/>
        <v>43556</v>
      </c>
      <c r="B461" t="s">
        <v>90</v>
      </c>
      <c r="C461">
        <v>220853</v>
      </c>
    </row>
    <row r="462" spans="1:3" x14ac:dyDescent="0.25">
      <c r="A462" s="1">
        <f t="shared" si="4"/>
        <v>43556</v>
      </c>
      <c r="B462" t="s">
        <v>91</v>
      </c>
      <c r="C462">
        <v>158513</v>
      </c>
    </row>
    <row r="463" spans="1:3" x14ac:dyDescent="0.25">
      <c r="A463" s="1">
        <f t="shared" ref="A463:A526" si="5">EDATE(A323,1)</f>
        <v>43556</v>
      </c>
      <c r="B463" t="s">
        <v>92</v>
      </c>
      <c r="C463">
        <v>296562</v>
      </c>
    </row>
    <row r="464" spans="1:3" x14ac:dyDescent="0.25">
      <c r="A464" s="1">
        <f t="shared" si="5"/>
        <v>43556</v>
      </c>
      <c r="B464" t="s">
        <v>93</v>
      </c>
      <c r="C464">
        <v>94589</v>
      </c>
    </row>
    <row r="465" spans="1:3" x14ac:dyDescent="0.25">
      <c r="A465" s="1">
        <f t="shared" si="5"/>
        <v>43556</v>
      </c>
      <c r="B465" t="s">
        <v>94</v>
      </c>
      <c r="C465">
        <v>147383</v>
      </c>
    </row>
    <row r="466" spans="1:3" x14ac:dyDescent="0.25">
      <c r="A466" s="1">
        <f t="shared" si="5"/>
        <v>43556</v>
      </c>
      <c r="B466" t="s">
        <v>95</v>
      </c>
      <c r="C466">
        <v>297542</v>
      </c>
    </row>
    <row r="467" spans="1:3" x14ac:dyDescent="0.25">
      <c r="A467" s="1">
        <f t="shared" si="5"/>
        <v>43556</v>
      </c>
      <c r="B467" t="s">
        <v>96</v>
      </c>
      <c r="C467">
        <v>56440</v>
      </c>
    </row>
    <row r="468" spans="1:3" x14ac:dyDescent="0.25">
      <c r="A468" s="1">
        <f t="shared" si="5"/>
        <v>43556</v>
      </c>
      <c r="B468" t="s">
        <v>97</v>
      </c>
      <c r="C468">
        <v>102893</v>
      </c>
    </row>
    <row r="469" spans="1:3" x14ac:dyDescent="0.25">
      <c r="A469" s="1">
        <f t="shared" si="5"/>
        <v>43556</v>
      </c>
      <c r="B469" t="s">
        <v>98</v>
      </c>
      <c r="C469">
        <v>160032</v>
      </c>
    </row>
    <row r="470" spans="1:3" x14ac:dyDescent="0.25">
      <c r="A470" s="1">
        <f t="shared" si="5"/>
        <v>43556</v>
      </c>
      <c r="B470" t="s">
        <v>99</v>
      </c>
      <c r="C470">
        <v>87282</v>
      </c>
    </row>
    <row r="471" spans="1:3" x14ac:dyDescent="0.25">
      <c r="A471" s="1">
        <f t="shared" si="5"/>
        <v>43556</v>
      </c>
      <c r="B471" t="s">
        <v>100</v>
      </c>
      <c r="C471">
        <v>89615</v>
      </c>
    </row>
    <row r="472" spans="1:3" x14ac:dyDescent="0.25">
      <c r="A472" s="1">
        <f t="shared" si="5"/>
        <v>43556</v>
      </c>
      <c r="B472" t="s">
        <v>101</v>
      </c>
      <c r="C472">
        <v>219966</v>
      </c>
    </row>
    <row r="473" spans="1:3" x14ac:dyDescent="0.25">
      <c r="A473" s="1">
        <f t="shared" si="5"/>
        <v>43556</v>
      </c>
      <c r="B473" t="s">
        <v>102</v>
      </c>
      <c r="C473">
        <v>66113</v>
      </c>
    </row>
    <row r="474" spans="1:3" x14ac:dyDescent="0.25">
      <c r="A474" s="1">
        <f t="shared" si="5"/>
        <v>43556</v>
      </c>
      <c r="B474" t="s">
        <v>103</v>
      </c>
      <c r="C474">
        <v>147767</v>
      </c>
    </row>
    <row r="475" spans="1:3" x14ac:dyDescent="0.25">
      <c r="A475" s="1">
        <f t="shared" si="5"/>
        <v>43556</v>
      </c>
      <c r="B475" t="s">
        <v>104</v>
      </c>
      <c r="C475">
        <v>104713</v>
      </c>
    </row>
    <row r="476" spans="1:3" x14ac:dyDescent="0.25">
      <c r="A476" s="1">
        <f t="shared" si="5"/>
        <v>43556</v>
      </c>
      <c r="B476" t="s">
        <v>105</v>
      </c>
      <c r="C476">
        <v>208022</v>
      </c>
    </row>
    <row r="477" spans="1:3" x14ac:dyDescent="0.25">
      <c r="A477" s="1">
        <f t="shared" si="5"/>
        <v>43556</v>
      </c>
      <c r="B477" t="s">
        <v>106</v>
      </c>
      <c r="C477">
        <v>106852</v>
      </c>
    </row>
    <row r="478" spans="1:3" x14ac:dyDescent="0.25">
      <c r="A478" s="1">
        <f t="shared" si="5"/>
        <v>43556</v>
      </c>
      <c r="B478" t="s">
        <v>107</v>
      </c>
      <c r="C478">
        <v>176577</v>
      </c>
    </row>
    <row r="479" spans="1:3" x14ac:dyDescent="0.25">
      <c r="A479" s="1">
        <f t="shared" si="5"/>
        <v>43556</v>
      </c>
      <c r="B479" t="s">
        <v>108</v>
      </c>
      <c r="C479">
        <v>269432</v>
      </c>
    </row>
    <row r="480" spans="1:3" x14ac:dyDescent="0.25">
      <c r="A480" s="1">
        <f t="shared" si="5"/>
        <v>43556</v>
      </c>
      <c r="B480" t="s">
        <v>109</v>
      </c>
      <c r="C480">
        <v>203187</v>
      </c>
    </row>
    <row r="481" spans="1:3" x14ac:dyDescent="0.25">
      <c r="A481" s="1">
        <f t="shared" si="5"/>
        <v>43556</v>
      </c>
      <c r="B481" t="s">
        <v>110</v>
      </c>
      <c r="C481">
        <v>-3757</v>
      </c>
    </row>
    <row r="482" spans="1:3" x14ac:dyDescent="0.25">
      <c r="A482" s="1">
        <f t="shared" si="5"/>
        <v>43556</v>
      </c>
      <c r="B482" t="s">
        <v>111</v>
      </c>
      <c r="C482">
        <v>-2732</v>
      </c>
    </row>
    <row r="483" spans="1:3" x14ac:dyDescent="0.25">
      <c r="A483" s="1">
        <f t="shared" si="5"/>
        <v>43556</v>
      </c>
      <c r="B483" t="s">
        <v>112</v>
      </c>
      <c r="C483">
        <v>-5852</v>
      </c>
    </row>
    <row r="484" spans="1:3" x14ac:dyDescent="0.25">
      <c r="A484" s="1">
        <f t="shared" si="5"/>
        <v>43556</v>
      </c>
      <c r="B484" t="s">
        <v>113</v>
      </c>
      <c r="C484">
        <v>-2909</v>
      </c>
    </row>
    <row r="485" spans="1:3" x14ac:dyDescent="0.25">
      <c r="A485" s="1">
        <f t="shared" si="5"/>
        <v>43556</v>
      </c>
      <c r="B485" t="s">
        <v>114</v>
      </c>
      <c r="C485">
        <v>-6954</v>
      </c>
    </row>
    <row r="486" spans="1:3" x14ac:dyDescent="0.25">
      <c r="A486" s="1">
        <f t="shared" si="5"/>
        <v>43556</v>
      </c>
      <c r="B486" t="s">
        <v>115</v>
      </c>
      <c r="C486">
        <v>-3121</v>
      </c>
    </row>
    <row r="487" spans="1:3" x14ac:dyDescent="0.25">
      <c r="A487" s="1">
        <f t="shared" si="5"/>
        <v>43556</v>
      </c>
      <c r="B487" t="s">
        <v>116</v>
      </c>
      <c r="C487">
        <v>-8462</v>
      </c>
    </row>
    <row r="488" spans="1:3" x14ac:dyDescent="0.25">
      <c r="A488" s="1">
        <f t="shared" si="5"/>
        <v>43556</v>
      </c>
      <c r="B488" t="s">
        <v>117</v>
      </c>
      <c r="C488">
        <v>-5030</v>
      </c>
    </row>
    <row r="489" spans="1:3" x14ac:dyDescent="0.25">
      <c r="A489" s="1">
        <f t="shared" si="5"/>
        <v>43556</v>
      </c>
      <c r="B489" t="s">
        <v>118</v>
      </c>
      <c r="C489">
        <v>-1835</v>
      </c>
    </row>
    <row r="490" spans="1:3" x14ac:dyDescent="0.25">
      <c r="A490" s="1">
        <f t="shared" si="5"/>
        <v>43556</v>
      </c>
      <c r="B490" t="s">
        <v>119</v>
      </c>
      <c r="C490">
        <v>-9791</v>
      </c>
    </row>
    <row r="491" spans="1:3" x14ac:dyDescent="0.25">
      <c r="A491" s="1">
        <f t="shared" si="5"/>
        <v>43556</v>
      </c>
      <c r="B491" t="s">
        <v>120</v>
      </c>
      <c r="C491">
        <v>-3560</v>
      </c>
    </row>
    <row r="492" spans="1:3" x14ac:dyDescent="0.25">
      <c r="A492" s="1">
        <f t="shared" si="5"/>
        <v>43556</v>
      </c>
      <c r="B492" t="s">
        <v>121</v>
      </c>
      <c r="C492">
        <v>-4243</v>
      </c>
    </row>
    <row r="493" spans="1:3" x14ac:dyDescent="0.25">
      <c r="A493" s="1">
        <f t="shared" si="5"/>
        <v>43556</v>
      </c>
      <c r="B493" t="s">
        <v>122</v>
      </c>
      <c r="C493">
        <v>-4101</v>
      </c>
    </row>
    <row r="494" spans="1:3" x14ac:dyDescent="0.25">
      <c r="A494" s="1">
        <f t="shared" si="5"/>
        <v>43556</v>
      </c>
      <c r="B494" t="s">
        <v>123</v>
      </c>
      <c r="C494">
        <v>-4028</v>
      </c>
    </row>
    <row r="495" spans="1:3" x14ac:dyDescent="0.25">
      <c r="A495" s="1">
        <f t="shared" si="5"/>
        <v>43556</v>
      </c>
      <c r="B495" t="s">
        <v>124</v>
      </c>
      <c r="C495">
        <v>-1447</v>
      </c>
    </row>
    <row r="496" spans="1:3" x14ac:dyDescent="0.25">
      <c r="A496" s="1">
        <f t="shared" si="5"/>
        <v>43556</v>
      </c>
      <c r="B496" t="s">
        <v>125</v>
      </c>
      <c r="C496">
        <v>-6821</v>
      </c>
    </row>
    <row r="497" spans="1:3" x14ac:dyDescent="0.25">
      <c r="A497" s="1">
        <f t="shared" si="5"/>
        <v>43556</v>
      </c>
      <c r="B497" t="s">
        <v>126</v>
      </c>
      <c r="C497">
        <v>-8063</v>
      </c>
    </row>
    <row r="498" spans="1:3" x14ac:dyDescent="0.25">
      <c r="A498" s="1">
        <f t="shared" si="5"/>
        <v>43556</v>
      </c>
      <c r="B498" t="s">
        <v>127</v>
      </c>
      <c r="C498">
        <v>-6934</v>
      </c>
    </row>
    <row r="499" spans="1:3" x14ac:dyDescent="0.25">
      <c r="A499" s="1">
        <f t="shared" si="5"/>
        <v>43556</v>
      </c>
      <c r="B499" t="s">
        <v>128</v>
      </c>
      <c r="C499">
        <v>-8419</v>
      </c>
    </row>
    <row r="500" spans="1:3" x14ac:dyDescent="0.25">
      <c r="A500" s="1">
        <f t="shared" si="5"/>
        <v>43556</v>
      </c>
      <c r="B500" t="s">
        <v>129</v>
      </c>
      <c r="C500">
        <v>-4546</v>
      </c>
    </row>
    <row r="501" spans="1:3" x14ac:dyDescent="0.25">
      <c r="A501" s="1">
        <f t="shared" si="5"/>
        <v>43556</v>
      </c>
      <c r="B501" t="s">
        <v>130</v>
      </c>
      <c r="C501">
        <v>-2986</v>
      </c>
    </row>
    <row r="502" spans="1:3" x14ac:dyDescent="0.25">
      <c r="A502" s="1">
        <f t="shared" si="5"/>
        <v>43556</v>
      </c>
      <c r="B502" t="s">
        <v>131</v>
      </c>
      <c r="C502">
        <v>-7361</v>
      </c>
    </row>
    <row r="503" spans="1:3" x14ac:dyDescent="0.25">
      <c r="A503" s="1">
        <f t="shared" si="5"/>
        <v>43556</v>
      </c>
      <c r="B503" t="s">
        <v>132</v>
      </c>
      <c r="C503">
        <v>-8755</v>
      </c>
    </row>
    <row r="504" spans="1:3" x14ac:dyDescent="0.25">
      <c r="A504" s="1">
        <f t="shared" si="5"/>
        <v>43556</v>
      </c>
      <c r="B504" t="s">
        <v>133</v>
      </c>
      <c r="C504">
        <v>-3839</v>
      </c>
    </row>
    <row r="505" spans="1:3" x14ac:dyDescent="0.25">
      <c r="A505" s="1">
        <f t="shared" si="5"/>
        <v>43556</v>
      </c>
      <c r="B505" t="s">
        <v>134</v>
      </c>
      <c r="C505">
        <v>-9203</v>
      </c>
    </row>
    <row r="506" spans="1:3" x14ac:dyDescent="0.25">
      <c r="A506" s="1">
        <f t="shared" si="5"/>
        <v>43556</v>
      </c>
      <c r="B506" t="s">
        <v>135</v>
      </c>
      <c r="C506">
        <v>-4660</v>
      </c>
    </row>
    <row r="507" spans="1:3" x14ac:dyDescent="0.25">
      <c r="A507" s="1">
        <f t="shared" si="5"/>
        <v>43556</v>
      </c>
      <c r="B507" t="s">
        <v>136</v>
      </c>
      <c r="C507">
        <v>-7157</v>
      </c>
    </row>
    <row r="508" spans="1:3" x14ac:dyDescent="0.25">
      <c r="A508" s="1">
        <f t="shared" si="5"/>
        <v>43556</v>
      </c>
      <c r="B508" t="s">
        <v>137</v>
      </c>
      <c r="C508">
        <v>-9794</v>
      </c>
    </row>
    <row r="509" spans="1:3" x14ac:dyDescent="0.25">
      <c r="A509" s="1">
        <f t="shared" si="5"/>
        <v>43556</v>
      </c>
      <c r="B509" t="s">
        <v>138</v>
      </c>
      <c r="C509">
        <v>-8007</v>
      </c>
    </row>
    <row r="510" spans="1:3" x14ac:dyDescent="0.25">
      <c r="A510" s="1">
        <f t="shared" si="5"/>
        <v>43556</v>
      </c>
      <c r="B510" t="s">
        <v>139</v>
      </c>
      <c r="C510">
        <v>-9233</v>
      </c>
    </row>
    <row r="511" spans="1:3" x14ac:dyDescent="0.25">
      <c r="A511" s="1">
        <f t="shared" si="5"/>
        <v>43556</v>
      </c>
      <c r="B511" t="s">
        <v>140</v>
      </c>
      <c r="C511">
        <v>-121734</v>
      </c>
    </row>
    <row r="512" spans="1:3" x14ac:dyDescent="0.25">
      <c r="A512" s="1">
        <f t="shared" si="5"/>
        <v>43556</v>
      </c>
      <c r="B512" t="s">
        <v>141</v>
      </c>
      <c r="C512">
        <v>-288202</v>
      </c>
    </row>
    <row r="513" spans="1:3" x14ac:dyDescent="0.25">
      <c r="A513" s="1">
        <f t="shared" si="5"/>
        <v>43556</v>
      </c>
      <c r="B513" t="s">
        <v>142</v>
      </c>
      <c r="C513">
        <v>-268582</v>
      </c>
    </row>
    <row r="514" spans="1:3" x14ac:dyDescent="0.25">
      <c r="A514" s="1">
        <f t="shared" si="5"/>
        <v>43556</v>
      </c>
      <c r="B514" t="s">
        <v>143</v>
      </c>
      <c r="C514">
        <v>-201259</v>
      </c>
    </row>
    <row r="515" spans="1:3" x14ac:dyDescent="0.25">
      <c r="A515" s="1">
        <f t="shared" si="5"/>
        <v>43556</v>
      </c>
      <c r="B515" t="s">
        <v>144</v>
      </c>
      <c r="C515">
        <v>-147142</v>
      </c>
    </row>
    <row r="516" spans="1:3" x14ac:dyDescent="0.25">
      <c r="A516" s="1">
        <f t="shared" si="5"/>
        <v>43556</v>
      </c>
      <c r="B516" t="s">
        <v>145</v>
      </c>
      <c r="C516">
        <v>-100938</v>
      </c>
    </row>
    <row r="517" spans="1:3" x14ac:dyDescent="0.25">
      <c r="A517" s="1">
        <f t="shared" si="5"/>
        <v>43556</v>
      </c>
      <c r="B517" t="s">
        <v>146</v>
      </c>
      <c r="C517">
        <v>-295521</v>
      </c>
    </row>
    <row r="518" spans="1:3" x14ac:dyDescent="0.25">
      <c r="A518" s="1">
        <f t="shared" si="5"/>
        <v>43556</v>
      </c>
      <c r="B518" t="s">
        <v>147</v>
      </c>
      <c r="C518">
        <v>-100777</v>
      </c>
    </row>
    <row r="519" spans="1:3" x14ac:dyDescent="0.25">
      <c r="A519" s="1">
        <f t="shared" si="5"/>
        <v>43556</v>
      </c>
      <c r="B519" t="s">
        <v>148</v>
      </c>
      <c r="C519">
        <v>-155963</v>
      </c>
    </row>
    <row r="520" spans="1:3" x14ac:dyDescent="0.25">
      <c r="A520" s="1">
        <f t="shared" si="5"/>
        <v>43556</v>
      </c>
      <c r="B520" t="s">
        <v>149</v>
      </c>
      <c r="C520">
        <v>-264223</v>
      </c>
    </row>
    <row r="521" spans="1:3" x14ac:dyDescent="0.25">
      <c r="A521" s="1">
        <f t="shared" si="5"/>
        <v>43556</v>
      </c>
      <c r="B521" t="s">
        <v>150</v>
      </c>
      <c r="C521">
        <v>-110684</v>
      </c>
    </row>
    <row r="522" spans="1:3" x14ac:dyDescent="0.25">
      <c r="A522" s="1">
        <f t="shared" si="5"/>
        <v>43556</v>
      </c>
      <c r="B522" t="s">
        <v>151</v>
      </c>
      <c r="C522">
        <v>-82634</v>
      </c>
    </row>
    <row r="523" spans="1:3" x14ac:dyDescent="0.25">
      <c r="A523" s="1">
        <f t="shared" si="5"/>
        <v>43556</v>
      </c>
      <c r="B523" t="s">
        <v>152</v>
      </c>
      <c r="C523">
        <v>-263899</v>
      </c>
    </row>
    <row r="524" spans="1:3" x14ac:dyDescent="0.25">
      <c r="A524" s="1">
        <f t="shared" si="5"/>
        <v>43556</v>
      </c>
      <c r="B524" t="s">
        <v>153</v>
      </c>
      <c r="C524">
        <v>-244275</v>
      </c>
    </row>
    <row r="525" spans="1:3" x14ac:dyDescent="0.25">
      <c r="A525" s="1">
        <f t="shared" si="5"/>
        <v>43556</v>
      </c>
      <c r="B525" t="s">
        <v>154</v>
      </c>
      <c r="C525">
        <v>-91040</v>
      </c>
    </row>
    <row r="526" spans="1:3" x14ac:dyDescent="0.25">
      <c r="A526" s="1">
        <f t="shared" si="5"/>
        <v>43556</v>
      </c>
      <c r="B526" t="s">
        <v>155</v>
      </c>
      <c r="C526">
        <v>-262361</v>
      </c>
    </row>
    <row r="527" spans="1:3" x14ac:dyDescent="0.25">
      <c r="A527" s="1">
        <f t="shared" ref="A527:A590" si="6">EDATE(A387,1)</f>
        <v>43556</v>
      </c>
      <c r="B527" t="s">
        <v>156</v>
      </c>
      <c r="C527">
        <v>-149616</v>
      </c>
    </row>
    <row r="528" spans="1:3" x14ac:dyDescent="0.25">
      <c r="A528" s="1">
        <f t="shared" si="6"/>
        <v>43556</v>
      </c>
      <c r="B528" t="s">
        <v>157</v>
      </c>
      <c r="C528">
        <v>-170134</v>
      </c>
    </row>
    <row r="529" spans="1:3" x14ac:dyDescent="0.25">
      <c r="A529" s="1">
        <f t="shared" si="6"/>
        <v>43556</v>
      </c>
      <c r="B529" t="s">
        <v>158</v>
      </c>
      <c r="C529">
        <v>-244552</v>
      </c>
    </row>
    <row r="530" spans="1:3" x14ac:dyDescent="0.25">
      <c r="A530" s="1">
        <f t="shared" si="6"/>
        <v>43556</v>
      </c>
      <c r="B530" t="s">
        <v>159</v>
      </c>
      <c r="C530">
        <v>-98903</v>
      </c>
    </row>
    <row r="531" spans="1:3" x14ac:dyDescent="0.25">
      <c r="A531" s="1">
        <f t="shared" si="6"/>
        <v>43556</v>
      </c>
      <c r="B531" t="s">
        <v>160</v>
      </c>
      <c r="C531">
        <v>-116187</v>
      </c>
    </row>
    <row r="532" spans="1:3" x14ac:dyDescent="0.25">
      <c r="A532" s="1">
        <f t="shared" si="6"/>
        <v>43556</v>
      </c>
      <c r="B532" t="s">
        <v>161</v>
      </c>
      <c r="C532">
        <v>-283714</v>
      </c>
    </row>
    <row r="533" spans="1:3" x14ac:dyDescent="0.25">
      <c r="A533" s="1">
        <f t="shared" si="6"/>
        <v>43556</v>
      </c>
      <c r="B533" t="s">
        <v>162</v>
      </c>
      <c r="C533">
        <v>-164591</v>
      </c>
    </row>
    <row r="534" spans="1:3" x14ac:dyDescent="0.25">
      <c r="A534" s="1">
        <f t="shared" si="6"/>
        <v>43556</v>
      </c>
      <c r="B534" t="s">
        <v>163</v>
      </c>
      <c r="C534">
        <v>-139356</v>
      </c>
    </row>
    <row r="535" spans="1:3" x14ac:dyDescent="0.25">
      <c r="A535" s="1">
        <f t="shared" si="6"/>
        <v>43556</v>
      </c>
      <c r="B535" t="s">
        <v>164</v>
      </c>
      <c r="C535">
        <v>-66111</v>
      </c>
    </row>
    <row r="536" spans="1:3" x14ac:dyDescent="0.25">
      <c r="A536" s="1">
        <f t="shared" si="6"/>
        <v>43556</v>
      </c>
      <c r="B536" t="s">
        <v>165</v>
      </c>
      <c r="C536">
        <v>-61848</v>
      </c>
    </row>
    <row r="537" spans="1:3" x14ac:dyDescent="0.25">
      <c r="A537" s="1">
        <f t="shared" si="6"/>
        <v>43556</v>
      </c>
      <c r="B537" t="s">
        <v>166</v>
      </c>
      <c r="C537">
        <v>-85897</v>
      </c>
    </row>
    <row r="538" spans="1:3" x14ac:dyDescent="0.25">
      <c r="A538" s="1">
        <f t="shared" si="6"/>
        <v>43556</v>
      </c>
      <c r="B538" t="s">
        <v>167</v>
      </c>
      <c r="C538">
        <v>-112372</v>
      </c>
    </row>
    <row r="539" spans="1:3" x14ac:dyDescent="0.25">
      <c r="A539" s="1">
        <f t="shared" si="6"/>
        <v>43556</v>
      </c>
      <c r="B539" t="s">
        <v>168</v>
      </c>
      <c r="C539">
        <v>-96143</v>
      </c>
    </row>
    <row r="540" spans="1:3" x14ac:dyDescent="0.25">
      <c r="A540" s="1">
        <f t="shared" si="6"/>
        <v>43556</v>
      </c>
      <c r="B540" t="s">
        <v>169</v>
      </c>
      <c r="C540">
        <v>-113460</v>
      </c>
    </row>
    <row r="541" spans="1:3" x14ac:dyDescent="0.25">
      <c r="A541" s="1">
        <f t="shared" si="6"/>
        <v>43556</v>
      </c>
      <c r="B541" t="s">
        <v>170</v>
      </c>
      <c r="C541">
        <v>-209195</v>
      </c>
    </row>
    <row r="542" spans="1:3" x14ac:dyDescent="0.25">
      <c r="A542" s="1">
        <f t="shared" si="6"/>
        <v>43556</v>
      </c>
      <c r="B542" t="s">
        <v>171</v>
      </c>
      <c r="C542">
        <v>-253088</v>
      </c>
    </row>
    <row r="543" spans="1:3" x14ac:dyDescent="0.25">
      <c r="A543" s="1">
        <f t="shared" si="6"/>
        <v>43556</v>
      </c>
      <c r="B543" t="s">
        <v>172</v>
      </c>
      <c r="C543">
        <v>-233619</v>
      </c>
    </row>
    <row r="544" spans="1:3" x14ac:dyDescent="0.25">
      <c r="A544" s="1">
        <f t="shared" si="6"/>
        <v>43556</v>
      </c>
      <c r="B544" t="s">
        <v>173</v>
      </c>
      <c r="C544">
        <v>-57073</v>
      </c>
    </row>
    <row r="545" spans="1:3" x14ac:dyDescent="0.25">
      <c r="A545" s="1">
        <f t="shared" si="6"/>
        <v>43556</v>
      </c>
      <c r="B545" t="s">
        <v>174</v>
      </c>
      <c r="C545">
        <v>-55167</v>
      </c>
    </row>
    <row r="546" spans="1:3" x14ac:dyDescent="0.25">
      <c r="A546" s="1">
        <f t="shared" si="6"/>
        <v>43556</v>
      </c>
      <c r="B546" t="s">
        <v>175</v>
      </c>
      <c r="C546">
        <v>-50302</v>
      </c>
    </row>
    <row r="547" spans="1:3" x14ac:dyDescent="0.25">
      <c r="A547" s="1">
        <f t="shared" si="6"/>
        <v>43556</v>
      </c>
      <c r="B547" t="s">
        <v>176</v>
      </c>
      <c r="C547">
        <v>-48655</v>
      </c>
    </row>
    <row r="548" spans="1:3" x14ac:dyDescent="0.25">
      <c r="A548" s="1">
        <f t="shared" si="6"/>
        <v>43556</v>
      </c>
      <c r="B548" t="s">
        <v>177</v>
      </c>
      <c r="C548">
        <v>-42307</v>
      </c>
    </row>
    <row r="549" spans="1:3" x14ac:dyDescent="0.25">
      <c r="A549" s="1">
        <f t="shared" si="6"/>
        <v>43556</v>
      </c>
      <c r="B549" t="s">
        <v>178</v>
      </c>
      <c r="C549">
        <v>-124144</v>
      </c>
    </row>
    <row r="550" spans="1:3" x14ac:dyDescent="0.25">
      <c r="A550" s="1">
        <f t="shared" si="6"/>
        <v>43556</v>
      </c>
      <c r="B550" t="s">
        <v>179</v>
      </c>
      <c r="C550">
        <v>-153587</v>
      </c>
    </row>
    <row r="551" spans="1:3" x14ac:dyDescent="0.25">
      <c r="A551" s="1">
        <f t="shared" si="6"/>
        <v>43556</v>
      </c>
      <c r="B551" t="s">
        <v>180</v>
      </c>
      <c r="C551">
        <v>-230489</v>
      </c>
    </row>
    <row r="552" spans="1:3" x14ac:dyDescent="0.25">
      <c r="A552" s="1">
        <f t="shared" si="6"/>
        <v>43556</v>
      </c>
      <c r="B552" t="s">
        <v>181</v>
      </c>
      <c r="C552">
        <v>-51267</v>
      </c>
    </row>
    <row r="553" spans="1:3" x14ac:dyDescent="0.25">
      <c r="A553" s="1">
        <f t="shared" si="6"/>
        <v>43556</v>
      </c>
      <c r="B553" t="s">
        <v>182</v>
      </c>
      <c r="C553">
        <v>-71998</v>
      </c>
    </row>
    <row r="554" spans="1:3" x14ac:dyDescent="0.25">
      <c r="A554" s="1">
        <f t="shared" si="6"/>
        <v>43556</v>
      </c>
      <c r="B554" t="s">
        <v>183</v>
      </c>
      <c r="C554">
        <v>-56764</v>
      </c>
    </row>
    <row r="555" spans="1:3" x14ac:dyDescent="0.25">
      <c r="A555" s="1">
        <f t="shared" si="6"/>
        <v>43556</v>
      </c>
      <c r="B555" t="s">
        <v>184</v>
      </c>
      <c r="C555">
        <v>-80490</v>
      </c>
    </row>
    <row r="556" spans="1:3" x14ac:dyDescent="0.25">
      <c r="A556" s="1">
        <f t="shared" si="6"/>
        <v>43556</v>
      </c>
      <c r="B556" t="s">
        <v>185</v>
      </c>
      <c r="C556">
        <v>-89264</v>
      </c>
    </row>
    <row r="557" spans="1:3" x14ac:dyDescent="0.25">
      <c r="A557" s="1">
        <f t="shared" si="6"/>
        <v>43556</v>
      </c>
      <c r="B557" t="s">
        <v>186</v>
      </c>
      <c r="C557">
        <v>-111175</v>
      </c>
    </row>
    <row r="558" spans="1:3" x14ac:dyDescent="0.25">
      <c r="A558" s="1">
        <f t="shared" si="6"/>
        <v>43556</v>
      </c>
      <c r="B558" t="s">
        <v>187</v>
      </c>
      <c r="C558">
        <v>-134932</v>
      </c>
    </row>
    <row r="559" spans="1:3" x14ac:dyDescent="0.25">
      <c r="A559" s="1">
        <f t="shared" si="6"/>
        <v>43556</v>
      </c>
      <c r="B559" t="s">
        <v>188</v>
      </c>
      <c r="C559">
        <v>-186104</v>
      </c>
    </row>
    <row r="560" spans="1:3" x14ac:dyDescent="0.25">
      <c r="A560" s="1">
        <f t="shared" si="6"/>
        <v>43556</v>
      </c>
      <c r="B560" t="s">
        <v>189</v>
      </c>
      <c r="C560">
        <v>-10214</v>
      </c>
    </row>
    <row r="561" spans="1:3" x14ac:dyDescent="0.25">
      <c r="A561" s="1">
        <f t="shared" si="6"/>
        <v>43556</v>
      </c>
      <c r="B561" t="s">
        <v>190</v>
      </c>
      <c r="C561">
        <v>-21875</v>
      </c>
    </row>
    <row r="562" spans="1:3" x14ac:dyDescent="0.25">
      <c r="A562" s="1">
        <f t="shared" si="6"/>
        <v>43586</v>
      </c>
      <c r="B562" t="s">
        <v>51</v>
      </c>
      <c r="C562">
        <v>905852</v>
      </c>
    </row>
    <row r="563" spans="1:3" x14ac:dyDescent="0.25">
      <c r="A563" s="1">
        <f t="shared" si="6"/>
        <v>43586</v>
      </c>
      <c r="B563" t="s">
        <v>52</v>
      </c>
      <c r="C563">
        <v>652532</v>
      </c>
    </row>
    <row r="564" spans="1:3" x14ac:dyDescent="0.25">
      <c r="A564" s="1">
        <f t="shared" si="6"/>
        <v>43586</v>
      </c>
      <c r="B564" t="s">
        <v>53</v>
      </c>
      <c r="C564">
        <v>370177</v>
      </c>
    </row>
    <row r="565" spans="1:3" x14ac:dyDescent="0.25">
      <c r="A565" s="1">
        <f t="shared" si="6"/>
        <v>43586</v>
      </c>
      <c r="B565" t="s">
        <v>54</v>
      </c>
      <c r="C565">
        <v>938509</v>
      </c>
    </row>
    <row r="566" spans="1:3" x14ac:dyDescent="0.25">
      <c r="A566" s="1">
        <f t="shared" si="6"/>
        <v>43586</v>
      </c>
      <c r="B566" t="s">
        <v>55</v>
      </c>
      <c r="C566">
        <v>587529</v>
      </c>
    </row>
    <row r="567" spans="1:3" x14ac:dyDescent="0.25">
      <c r="A567" s="1">
        <f t="shared" si="6"/>
        <v>43586</v>
      </c>
      <c r="B567" t="s">
        <v>56</v>
      </c>
      <c r="C567">
        <v>479764</v>
      </c>
    </row>
    <row r="568" spans="1:3" x14ac:dyDescent="0.25">
      <c r="A568" s="1">
        <f t="shared" si="6"/>
        <v>43586</v>
      </c>
      <c r="B568" t="s">
        <v>57</v>
      </c>
      <c r="C568">
        <v>393813</v>
      </c>
    </row>
    <row r="569" spans="1:3" x14ac:dyDescent="0.25">
      <c r="A569" s="1">
        <f t="shared" si="6"/>
        <v>43586</v>
      </c>
      <c r="B569" t="s">
        <v>58</v>
      </c>
      <c r="C569">
        <v>519573</v>
      </c>
    </row>
    <row r="570" spans="1:3" x14ac:dyDescent="0.25">
      <c r="A570" s="1">
        <f t="shared" si="6"/>
        <v>43586</v>
      </c>
      <c r="B570" t="s">
        <v>59</v>
      </c>
      <c r="C570">
        <v>289961</v>
      </c>
    </row>
    <row r="571" spans="1:3" x14ac:dyDescent="0.25">
      <c r="A571" s="1">
        <f t="shared" si="6"/>
        <v>43586</v>
      </c>
      <c r="B571" t="s">
        <v>60</v>
      </c>
      <c r="C571">
        <v>543890</v>
      </c>
    </row>
    <row r="572" spans="1:3" x14ac:dyDescent="0.25">
      <c r="A572" s="1">
        <f t="shared" si="6"/>
        <v>43586</v>
      </c>
      <c r="B572" t="s">
        <v>61</v>
      </c>
      <c r="C572">
        <v>249143</v>
      </c>
    </row>
    <row r="573" spans="1:3" x14ac:dyDescent="0.25">
      <c r="A573" s="1">
        <f t="shared" si="6"/>
        <v>43586</v>
      </c>
      <c r="B573" t="s">
        <v>62</v>
      </c>
      <c r="C573">
        <v>291888</v>
      </c>
    </row>
    <row r="574" spans="1:3" x14ac:dyDescent="0.25">
      <c r="A574" s="1">
        <f t="shared" si="6"/>
        <v>43586</v>
      </c>
      <c r="B574" t="s">
        <v>63</v>
      </c>
      <c r="C574">
        <v>519720</v>
      </c>
    </row>
    <row r="575" spans="1:3" x14ac:dyDescent="0.25">
      <c r="A575" s="1">
        <f t="shared" si="6"/>
        <v>43586</v>
      </c>
      <c r="B575" t="s">
        <v>64</v>
      </c>
      <c r="C575">
        <v>583280</v>
      </c>
    </row>
    <row r="576" spans="1:3" x14ac:dyDescent="0.25">
      <c r="A576" s="1">
        <f t="shared" si="6"/>
        <v>43586</v>
      </c>
      <c r="B576" t="s">
        <v>65</v>
      </c>
      <c r="C576">
        <v>203171</v>
      </c>
    </row>
    <row r="577" spans="1:3" x14ac:dyDescent="0.25">
      <c r="A577" s="1">
        <f t="shared" si="6"/>
        <v>43586</v>
      </c>
      <c r="B577" t="s">
        <v>66</v>
      </c>
      <c r="C577">
        <v>846390</v>
      </c>
    </row>
    <row r="578" spans="1:3" x14ac:dyDescent="0.25">
      <c r="A578" s="1">
        <f t="shared" si="6"/>
        <v>43586</v>
      </c>
      <c r="B578" t="s">
        <v>67</v>
      </c>
      <c r="C578">
        <v>605587</v>
      </c>
    </row>
    <row r="579" spans="1:3" x14ac:dyDescent="0.25">
      <c r="A579" s="1">
        <f t="shared" si="6"/>
        <v>43586</v>
      </c>
      <c r="B579" t="s">
        <v>68</v>
      </c>
      <c r="C579">
        <v>314224</v>
      </c>
    </row>
    <row r="580" spans="1:3" x14ac:dyDescent="0.25">
      <c r="A580" s="1">
        <f t="shared" si="6"/>
        <v>43586</v>
      </c>
      <c r="B580" t="s">
        <v>69</v>
      </c>
      <c r="C580">
        <v>227475</v>
      </c>
    </row>
    <row r="581" spans="1:3" x14ac:dyDescent="0.25">
      <c r="A581" s="1">
        <f t="shared" si="6"/>
        <v>43586</v>
      </c>
      <c r="B581" t="s">
        <v>70</v>
      </c>
      <c r="C581">
        <v>867242</v>
      </c>
    </row>
    <row r="582" spans="1:3" x14ac:dyDescent="0.25">
      <c r="A582" s="1">
        <f t="shared" si="6"/>
        <v>43586</v>
      </c>
      <c r="B582" t="s">
        <v>71</v>
      </c>
      <c r="C582">
        <v>321235</v>
      </c>
    </row>
    <row r="583" spans="1:3" x14ac:dyDescent="0.25">
      <c r="A583" s="1">
        <f t="shared" si="6"/>
        <v>43586</v>
      </c>
      <c r="B583" t="s">
        <v>72</v>
      </c>
      <c r="C583">
        <v>237617</v>
      </c>
    </row>
    <row r="584" spans="1:3" x14ac:dyDescent="0.25">
      <c r="A584" s="1">
        <f t="shared" si="6"/>
        <v>43586</v>
      </c>
      <c r="B584" t="s">
        <v>73</v>
      </c>
      <c r="C584">
        <v>99150</v>
      </c>
    </row>
    <row r="585" spans="1:3" x14ac:dyDescent="0.25">
      <c r="A585" s="1">
        <f t="shared" si="6"/>
        <v>43586</v>
      </c>
      <c r="B585" t="s">
        <v>74</v>
      </c>
      <c r="C585">
        <v>72852</v>
      </c>
    </row>
    <row r="586" spans="1:3" x14ac:dyDescent="0.25">
      <c r="A586" s="1">
        <f t="shared" si="6"/>
        <v>43586</v>
      </c>
      <c r="B586" t="s">
        <v>75</v>
      </c>
      <c r="C586">
        <v>229924</v>
      </c>
    </row>
    <row r="587" spans="1:3" x14ac:dyDescent="0.25">
      <c r="A587" s="1">
        <f t="shared" si="6"/>
        <v>43586</v>
      </c>
      <c r="B587" t="s">
        <v>76</v>
      </c>
      <c r="C587">
        <v>271363</v>
      </c>
    </row>
    <row r="588" spans="1:3" x14ac:dyDescent="0.25">
      <c r="A588" s="1">
        <f t="shared" si="6"/>
        <v>43586</v>
      </c>
      <c r="B588" t="s">
        <v>77</v>
      </c>
      <c r="C588">
        <v>211238</v>
      </c>
    </row>
    <row r="589" spans="1:3" x14ac:dyDescent="0.25">
      <c r="A589" s="1">
        <f t="shared" si="6"/>
        <v>43586</v>
      </c>
      <c r="B589" t="s">
        <v>78</v>
      </c>
      <c r="C589">
        <v>186211</v>
      </c>
    </row>
    <row r="590" spans="1:3" x14ac:dyDescent="0.25">
      <c r="A590" s="1">
        <f t="shared" si="6"/>
        <v>43586</v>
      </c>
      <c r="B590" t="s">
        <v>79</v>
      </c>
      <c r="C590">
        <v>224835</v>
      </c>
    </row>
    <row r="591" spans="1:3" x14ac:dyDescent="0.25">
      <c r="A591" s="1">
        <f t="shared" ref="A591:A654" si="7">EDATE(A451,1)</f>
        <v>43586</v>
      </c>
      <c r="B591" t="s">
        <v>80</v>
      </c>
      <c r="C591">
        <v>90204</v>
      </c>
    </row>
    <row r="592" spans="1:3" x14ac:dyDescent="0.25">
      <c r="A592" s="1">
        <f t="shared" si="7"/>
        <v>43586</v>
      </c>
      <c r="B592" t="s">
        <v>81</v>
      </c>
      <c r="C592">
        <v>121086</v>
      </c>
    </row>
    <row r="593" spans="1:3" x14ac:dyDescent="0.25">
      <c r="A593" s="1">
        <f t="shared" si="7"/>
        <v>43586</v>
      </c>
      <c r="B593" t="s">
        <v>82</v>
      </c>
      <c r="C593">
        <v>299150</v>
      </c>
    </row>
    <row r="594" spans="1:3" x14ac:dyDescent="0.25">
      <c r="A594" s="1">
        <f t="shared" si="7"/>
        <v>43586</v>
      </c>
      <c r="B594" t="s">
        <v>83</v>
      </c>
      <c r="C594">
        <v>81624</v>
      </c>
    </row>
    <row r="595" spans="1:3" x14ac:dyDescent="0.25">
      <c r="A595" s="1">
        <f t="shared" si="7"/>
        <v>43586</v>
      </c>
      <c r="B595" t="s">
        <v>84</v>
      </c>
      <c r="C595">
        <v>220024</v>
      </c>
    </row>
    <row r="596" spans="1:3" x14ac:dyDescent="0.25">
      <c r="A596" s="1">
        <f t="shared" si="7"/>
        <v>43586</v>
      </c>
      <c r="B596" t="s">
        <v>85</v>
      </c>
      <c r="C596">
        <v>154950</v>
      </c>
    </row>
    <row r="597" spans="1:3" x14ac:dyDescent="0.25">
      <c r="A597" s="1">
        <f t="shared" si="7"/>
        <v>43586</v>
      </c>
      <c r="B597" t="s">
        <v>86</v>
      </c>
      <c r="C597">
        <v>120669</v>
      </c>
    </row>
    <row r="598" spans="1:3" x14ac:dyDescent="0.25">
      <c r="A598" s="1">
        <f t="shared" si="7"/>
        <v>43586</v>
      </c>
      <c r="B598" t="s">
        <v>87</v>
      </c>
      <c r="C598">
        <v>95201</v>
      </c>
    </row>
    <row r="599" spans="1:3" x14ac:dyDescent="0.25">
      <c r="A599" s="1">
        <f t="shared" si="7"/>
        <v>43586</v>
      </c>
      <c r="B599" t="s">
        <v>88</v>
      </c>
      <c r="C599">
        <v>289609</v>
      </c>
    </row>
    <row r="600" spans="1:3" x14ac:dyDescent="0.25">
      <c r="A600" s="1">
        <f t="shared" si="7"/>
        <v>43586</v>
      </c>
      <c r="B600" t="s">
        <v>89</v>
      </c>
      <c r="C600">
        <v>272229</v>
      </c>
    </row>
    <row r="601" spans="1:3" x14ac:dyDescent="0.25">
      <c r="A601" s="1">
        <f t="shared" si="7"/>
        <v>43586</v>
      </c>
      <c r="B601" t="s">
        <v>90</v>
      </c>
      <c r="C601">
        <v>298312</v>
      </c>
    </row>
    <row r="602" spans="1:3" x14ac:dyDescent="0.25">
      <c r="A602" s="1">
        <f t="shared" si="7"/>
        <v>43586</v>
      </c>
      <c r="B602" t="s">
        <v>91</v>
      </c>
      <c r="C602">
        <v>290179</v>
      </c>
    </row>
    <row r="603" spans="1:3" x14ac:dyDescent="0.25">
      <c r="A603" s="1">
        <f t="shared" si="7"/>
        <v>43586</v>
      </c>
      <c r="B603" t="s">
        <v>92</v>
      </c>
      <c r="C603">
        <v>67675</v>
      </c>
    </row>
    <row r="604" spans="1:3" x14ac:dyDescent="0.25">
      <c r="A604" s="1">
        <f t="shared" si="7"/>
        <v>43586</v>
      </c>
      <c r="B604" t="s">
        <v>93</v>
      </c>
      <c r="C604">
        <v>294460</v>
      </c>
    </row>
    <row r="605" spans="1:3" x14ac:dyDescent="0.25">
      <c r="A605" s="1">
        <f t="shared" si="7"/>
        <v>43586</v>
      </c>
      <c r="B605" t="s">
        <v>94</v>
      </c>
      <c r="C605">
        <v>136926</v>
      </c>
    </row>
    <row r="606" spans="1:3" x14ac:dyDescent="0.25">
      <c r="A606" s="1">
        <f t="shared" si="7"/>
        <v>43586</v>
      </c>
      <c r="B606" t="s">
        <v>95</v>
      </c>
      <c r="C606">
        <v>198463</v>
      </c>
    </row>
    <row r="607" spans="1:3" x14ac:dyDescent="0.25">
      <c r="A607" s="1">
        <f t="shared" si="7"/>
        <v>43586</v>
      </c>
      <c r="B607" t="s">
        <v>96</v>
      </c>
      <c r="C607">
        <v>287214</v>
      </c>
    </row>
    <row r="608" spans="1:3" x14ac:dyDescent="0.25">
      <c r="A608" s="1">
        <f t="shared" si="7"/>
        <v>43586</v>
      </c>
      <c r="B608" t="s">
        <v>97</v>
      </c>
      <c r="C608">
        <v>284888</v>
      </c>
    </row>
    <row r="609" spans="1:3" x14ac:dyDescent="0.25">
      <c r="A609" s="1">
        <f t="shared" si="7"/>
        <v>43586</v>
      </c>
      <c r="B609" t="s">
        <v>98</v>
      </c>
      <c r="C609">
        <v>180695</v>
      </c>
    </row>
    <row r="610" spans="1:3" x14ac:dyDescent="0.25">
      <c r="A610" s="1">
        <f t="shared" si="7"/>
        <v>43586</v>
      </c>
      <c r="B610" t="s">
        <v>99</v>
      </c>
      <c r="C610">
        <v>68070</v>
      </c>
    </row>
    <row r="611" spans="1:3" x14ac:dyDescent="0.25">
      <c r="A611" s="1">
        <f t="shared" si="7"/>
        <v>43586</v>
      </c>
      <c r="B611" t="s">
        <v>100</v>
      </c>
      <c r="C611">
        <v>117000</v>
      </c>
    </row>
    <row r="612" spans="1:3" x14ac:dyDescent="0.25">
      <c r="A612" s="1">
        <f t="shared" si="7"/>
        <v>43586</v>
      </c>
      <c r="B612" t="s">
        <v>101</v>
      </c>
      <c r="C612">
        <v>198904</v>
      </c>
    </row>
    <row r="613" spans="1:3" x14ac:dyDescent="0.25">
      <c r="A613" s="1">
        <f t="shared" si="7"/>
        <v>43586</v>
      </c>
      <c r="B613" t="s">
        <v>102</v>
      </c>
      <c r="C613">
        <v>137286</v>
      </c>
    </row>
    <row r="614" spans="1:3" x14ac:dyDescent="0.25">
      <c r="A614" s="1">
        <f t="shared" si="7"/>
        <v>43586</v>
      </c>
      <c r="B614" t="s">
        <v>103</v>
      </c>
      <c r="C614">
        <v>250355</v>
      </c>
    </row>
    <row r="615" spans="1:3" x14ac:dyDescent="0.25">
      <c r="A615" s="1">
        <f t="shared" si="7"/>
        <v>43586</v>
      </c>
      <c r="B615" t="s">
        <v>104</v>
      </c>
      <c r="C615">
        <v>79141</v>
      </c>
    </row>
    <row r="616" spans="1:3" x14ac:dyDescent="0.25">
      <c r="A616" s="1">
        <f t="shared" si="7"/>
        <v>43586</v>
      </c>
      <c r="B616" t="s">
        <v>105</v>
      </c>
      <c r="C616">
        <v>188381</v>
      </c>
    </row>
    <row r="617" spans="1:3" x14ac:dyDescent="0.25">
      <c r="A617" s="1">
        <f t="shared" si="7"/>
        <v>43586</v>
      </c>
      <c r="B617" t="s">
        <v>106</v>
      </c>
      <c r="C617">
        <v>65971</v>
      </c>
    </row>
    <row r="618" spans="1:3" x14ac:dyDescent="0.25">
      <c r="A618" s="1">
        <f t="shared" si="7"/>
        <v>43586</v>
      </c>
      <c r="B618" t="s">
        <v>107</v>
      </c>
      <c r="C618">
        <v>105843</v>
      </c>
    </row>
    <row r="619" spans="1:3" x14ac:dyDescent="0.25">
      <c r="A619" s="1">
        <f t="shared" si="7"/>
        <v>43586</v>
      </c>
      <c r="B619" t="s">
        <v>108</v>
      </c>
      <c r="C619">
        <v>156876</v>
      </c>
    </row>
    <row r="620" spans="1:3" x14ac:dyDescent="0.25">
      <c r="A620" s="1">
        <f t="shared" si="7"/>
        <v>43586</v>
      </c>
      <c r="B620" t="s">
        <v>109</v>
      </c>
      <c r="C620">
        <v>66944</v>
      </c>
    </row>
    <row r="621" spans="1:3" x14ac:dyDescent="0.25">
      <c r="A621" s="1">
        <f t="shared" si="7"/>
        <v>43586</v>
      </c>
      <c r="B621" t="s">
        <v>110</v>
      </c>
      <c r="C621">
        <v>-7143</v>
      </c>
    </row>
    <row r="622" spans="1:3" x14ac:dyDescent="0.25">
      <c r="A622" s="1">
        <f t="shared" si="7"/>
        <v>43586</v>
      </c>
      <c r="B622" t="s">
        <v>111</v>
      </c>
      <c r="C622">
        <v>-1962</v>
      </c>
    </row>
    <row r="623" spans="1:3" x14ac:dyDescent="0.25">
      <c r="A623" s="1">
        <f t="shared" si="7"/>
        <v>43586</v>
      </c>
      <c r="B623" t="s">
        <v>112</v>
      </c>
      <c r="C623">
        <v>-8941</v>
      </c>
    </row>
    <row r="624" spans="1:3" x14ac:dyDescent="0.25">
      <c r="A624" s="1">
        <f t="shared" si="7"/>
        <v>43586</v>
      </c>
      <c r="B624" t="s">
        <v>113</v>
      </c>
      <c r="C624">
        <v>-2923</v>
      </c>
    </row>
    <row r="625" spans="1:3" x14ac:dyDescent="0.25">
      <c r="A625" s="1">
        <f t="shared" si="7"/>
        <v>43586</v>
      </c>
      <c r="B625" t="s">
        <v>114</v>
      </c>
      <c r="C625">
        <v>-3946</v>
      </c>
    </row>
    <row r="626" spans="1:3" x14ac:dyDescent="0.25">
      <c r="A626" s="1">
        <f t="shared" si="7"/>
        <v>43586</v>
      </c>
      <c r="B626" t="s">
        <v>115</v>
      </c>
      <c r="C626">
        <v>-7772</v>
      </c>
    </row>
    <row r="627" spans="1:3" x14ac:dyDescent="0.25">
      <c r="A627" s="1">
        <f t="shared" si="7"/>
        <v>43586</v>
      </c>
      <c r="B627" t="s">
        <v>116</v>
      </c>
      <c r="C627">
        <v>-7204</v>
      </c>
    </row>
    <row r="628" spans="1:3" x14ac:dyDescent="0.25">
      <c r="A628" s="1">
        <f t="shared" si="7"/>
        <v>43586</v>
      </c>
      <c r="B628" t="s">
        <v>117</v>
      </c>
      <c r="C628">
        <v>-7269</v>
      </c>
    </row>
    <row r="629" spans="1:3" x14ac:dyDescent="0.25">
      <c r="A629" s="1">
        <f t="shared" si="7"/>
        <v>43586</v>
      </c>
      <c r="B629" t="s">
        <v>118</v>
      </c>
      <c r="C629">
        <v>-5721</v>
      </c>
    </row>
    <row r="630" spans="1:3" x14ac:dyDescent="0.25">
      <c r="A630" s="1">
        <f t="shared" si="7"/>
        <v>43586</v>
      </c>
      <c r="B630" t="s">
        <v>119</v>
      </c>
      <c r="C630">
        <v>-8121</v>
      </c>
    </row>
    <row r="631" spans="1:3" x14ac:dyDescent="0.25">
      <c r="A631" s="1">
        <f t="shared" si="7"/>
        <v>43586</v>
      </c>
      <c r="B631" t="s">
        <v>120</v>
      </c>
      <c r="C631">
        <v>-4321</v>
      </c>
    </row>
    <row r="632" spans="1:3" x14ac:dyDescent="0.25">
      <c r="A632" s="1">
        <f t="shared" si="7"/>
        <v>43586</v>
      </c>
      <c r="B632" t="s">
        <v>121</v>
      </c>
      <c r="C632">
        <v>-4473</v>
      </c>
    </row>
    <row r="633" spans="1:3" x14ac:dyDescent="0.25">
      <c r="A633" s="1">
        <f t="shared" si="7"/>
        <v>43586</v>
      </c>
      <c r="B633" t="s">
        <v>122</v>
      </c>
      <c r="C633">
        <v>-6117</v>
      </c>
    </row>
    <row r="634" spans="1:3" x14ac:dyDescent="0.25">
      <c r="A634" s="1">
        <f t="shared" si="7"/>
        <v>43586</v>
      </c>
      <c r="B634" t="s">
        <v>123</v>
      </c>
      <c r="C634">
        <v>-6504</v>
      </c>
    </row>
    <row r="635" spans="1:3" x14ac:dyDescent="0.25">
      <c r="A635" s="1">
        <f t="shared" si="7"/>
        <v>43586</v>
      </c>
      <c r="B635" t="s">
        <v>124</v>
      </c>
      <c r="C635">
        <v>-3290</v>
      </c>
    </row>
    <row r="636" spans="1:3" x14ac:dyDescent="0.25">
      <c r="A636" s="1">
        <f t="shared" si="7"/>
        <v>43586</v>
      </c>
      <c r="B636" t="s">
        <v>125</v>
      </c>
      <c r="C636">
        <v>-3018</v>
      </c>
    </row>
    <row r="637" spans="1:3" x14ac:dyDescent="0.25">
      <c r="A637" s="1">
        <f t="shared" si="7"/>
        <v>43586</v>
      </c>
      <c r="B637" t="s">
        <v>126</v>
      </c>
      <c r="C637">
        <v>-2496</v>
      </c>
    </row>
    <row r="638" spans="1:3" x14ac:dyDescent="0.25">
      <c r="A638" s="1">
        <f t="shared" si="7"/>
        <v>43586</v>
      </c>
      <c r="B638" t="s">
        <v>127</v>
      </c>
      <c r="C638">
        <v>-1515</v>
      </c>
    </row>
    <row r="639" spans="1:3" x14ac:dyDescent="0.25">
      <c r="A639" s="1">
        <f t="shared" si="7"/>
        <v>43586</v>
      </c>
      <c r="B639" t="s">
        <v>128</v>
      </c>
      <c r="C639">
        <v>-7241</v>
      </c>
    </row>
    <row r="640" spans="1:3" x14ac:dyDescent="0.25">
      <c r="A640" s="1">
        <f t="shared" si="7"/>
        <v>43586</v>
      </c>
      <c r="B640" t="s">
        <v>129</v>
      </c>
      <c r="C640">
        <v>-3468</v>
      </c>
    </row>
    <row r="641" spans="1:3" x14ac:dyDescent="0.25">
      <c r="A641" s="1">
        <f t="shared" si="7"/>
        <v>43586</v>
      </c>
      <c r="B641" t="s">
        <v>130</v>
      </c>
      <c r="C641">
        <v>-8688</v>
      </c>
    </row>
    <row r="642" spans="1:3" x14ac:dyDescent="0.25">
      <c r="A642" s="1">
        <f t="shared" si="7"/>
        <v>43586</v>
      </c>
      <c r="B642" t="s">
        <v>131</v>
      </c>
      <c r="C642">
        <v>-3683</v>
      </c>
    </row>
    <row r="643" spans="1:3" x14ac:dyDescent="0.25">
      <c r="A643" s="1">
        <f t="shared" si="7"/>
        <v>43586</v>
      </c>
      <c r="B643" t="s">
        <v>132</v>
      </c>
      <c r="C643">
        <v>-3405</v>
      </c>
    </row>
    <row r="644" spans="1:3" x14ac:dyDescent="0.25">
      <c r="A644" s="1">
        <f t="shared" si="7"/>
        <v>43586</v>
      </c>
      <c r="B644" t="s">
        <v>133</v>
      </c>
      <c r="C644">
        <v>-1628</v>
      </c>
    </row>
    <row r="645" spans="1:3" x14ac:dyDescent="0.25">
      <c r="A645" s="1">
        <f t="shared" si="7"/>
        <v>43586</v>
      </c>
      <c r="B645" t="s">
        <v>134</v>
      </c>
      <c r="C645">
        <v>-9829</v>
      </c>
    </row>
    <row r="646" spans="1:3" x14ac:dyDescent="0.25">
      <c r="A646" s="1">
        <f t="shared" si="7"/>
        <v>43586</v>
      </c>
      <c r="B646" t="s">
        <v>135</v>
      </c>
      <c r="C646">
        <v>-4629</v>
      </c>
    </row>
    <row r="647" spans="1:3" x14ac:dyDescent="0.25">
      <c r="A647" s="1">
        <f t="shared" si="7"/>
        <v>43586</v>
      </c>
      <c r="B647" t="s">
        <v>136</v>
      </c>
      <c r="C647">
        <v>-8204</v>
      </c>
    </row>
    <row r="648" spans="1:3" x14ac:dyDescent="0.25">
      <c r="A648" s="1">
        <f t="shared" si="7"/>
        <v>43586</v>
      </c>
      <c r="B648" t="s">
        <v>137</v>
      </c>
      <c r="C648">
        <v>-9698</v>
      </c>
    </row>
    <row r="649" spans="1:3" x14ac:dyDescent="0.25">
      <c r="A649" s="1">
        <f t="shared" si="7"/>
        <v>43586</v>
      </c>
      <c r="B649" t="s">
        <v>138</v>
      </c>
      <c r="C649">
        <v>-6770</v>
      </c>
    </row>
    <row r="650" spans="1:3" x14ac:dyDescent="0.25">
      <c r="A650" s="1">
        <f t="shared" si="7"/>
        <v>43586</v>
      </c>
      <c r="B650" t="s">
        <v>139</v>
      </c>
      <c r="C650">
        <v>-6013</v>
      </c>
    </row>
    <row r="651" spans="1:3" x14ac:dyDescent="0.25">
      <c r="A651" s="1">
        <f t="shared" si="7"/>
        <v>43586</v>
      </c>
      <c r="B651" t="s">
        <v>140</v>
      </c>
      <c r="C651">
        <v>-81947</v>
      </c>
    </row>
    <row r="652" spans="1:3" x14ac:dyDescent="0.25">
      <c r="A652" s="1">
        <f t="shared" si="7"/>
        <v>43586</v>
      </c>
      <c r="B652" t="s">
        <v>141</v>
      </c>
      <c r="C652">
        <v>-171131</v>
      </c>
    </row>
    <row r="653" spans="1:3" x14ac:dyDescent="0.25">
      <c r="A653" s="1">
        <f t="shared" si="7"/>
        <v>43586</v>
      </c>
      <c r="B653" t="s">
        <v>142</v>
      </c>
      <c r="C653">
        <v>-114891</v>
      </c>
    </row>
    <row r="654" spans="1:3" x14ac:dyDescent="0.25">
      <c r="A654" s="1">
        <f t="shared" si="7"/>
        <v>43586</v>
      </c>
      <c r="B654" t="s">
        <v>143</v>
      </c>
      <c r="C654">
        <v>-292293</v>
      </c>
    </row>
    <row r="655" spans="1:3" x14ac:dyDescent="0.25">
      <c r="A655" s="1">
        <f t="shared" ref="A655:A718" si="8">EDATE(A515,1)</f>
        <v>43586</v>
      </c>
      <c r="B655" t="s">
        <v>144</v>
      </c>
      <c r="C655">
        <v>-157642</v>
      </c>
    </row>
    <row r="656" spans="1:3" x14ac:dyDescent="0.25">
      <c r="A656" s="1">
        <f t="shared" si="8"/>
        <v>43586</v>
      </c>
      <c r="B656" t="s">
        <v>145</v>
      </c>
      <c r="C656">
        <v>-119480</v>
      </c>
    </row>
    <row r="657" spans="1:3" x14ac:dyDescent="0.25">
      <c r="A657" s="1">
        <f t="shared" si="8"/>
        <v>43586</v>
      </c>
      <c r="B657" t="s">
        <v>146</v>
      </c>
      <c r="C657">
        <v>-92764</v>
      </c>
    </row>
    <row r="658" spans="1:3" x14ac:dyDescent="0.25">
      <c r="A658" s="1">
        <f t="shared" si="8"/>
        <v>43586</v>
      </c>
      <c r="B658" t="s">
        <v>147</v>
      </c>
      <c r="C658">
        <v>-196114</v>
      </c>
    </row>
    <row r="659" spans="1:3" x14ac:dyDescent="0.25">
      <c r="A659" s="1">
        <f t="shared" si="8"/>
        <v>43586</v>
      </c>
      <c r="B659" t="s">
        <v>148</v>
      </c>
      <c r="C659">
        <v>-177746</v>
      </c>
    </row>
    <row r="660" spans="1:3" x14ac:dyDescent="0.25">
      <c r="A660" s="1">
        <f t="shared" si="8"/>
        <v>43586</v>
      </c>
      <c r="B660" t="s">
        <v>149</v>
      </c>
      <c r="C660">
        <v>-266794</v>
      </c>
    </row>
    <row r="661" spans="1:3" x14ac:dyDescent="0.25">
      <c r="A661" s="1">
        <f t="shared" si="8"/>
        <v>43586</v>
      </c>
      <c r="B661" t="s">
        <v>150</v>
      </c>
      <c r="C661">
        <v>-286974</v>
      </c>
    </row>
    <row r="662" spans="1:3" x14ac:dyDescent="0.25">
      <c r="A662" s="1">
        <f t="shared" si="8"/>
        <v>43586</v>
      </c>
      <c r="B662" t="s">
        <v>151</v>
      </c>
      <c r="C662">
        <v>-196795</v>
      </c>
    </row>
    <row r="663" spans="1:3" x14ac:dyDescent="0.25">
      <c r="A663" s="1">
        <f t="shared" si="8"/>
        <v>43586</v>
      </c>
      <c r="B663" t="s">
        <v>152</v>
      </c>
      <c r="C663">
        <v>-198854</v>
      </c>
    </row>
    <row r="664" spans="1:3" x14ac:dyDescent="0.25">
      <c r="A664" s="1">
        <f t="shared" si="8"/>
        <v>43586</v>
      </c>
      <c r="B664" t="s">
        <v>153</v>
      </c>
      <c r="C664">
        <v>-268699</v>
      </c>
    </row>
    <row r="665" spans="1:3" x14ac:dyDescent="0.25">
      <c r="A665" s="1">
        <f t="shared" si="8"/>
        <v>43586</v>
      </c>
      <c r="B665" t="s">
        <v>154</v>
      </c>
      <c r="C665">
        <v>-287149</v>
      </c>
    </row>
    <row r="666" spans="1:3" x14ac:dyDescent="0.25">
      <c r="A666" s="1">
        <f t="shared" si="8"/>
        <v>43586</v>
      </c>
      <c r="B666" t="s">
        <v>155</v>
      </c>
      <c r="C666">
        <v>-155213</v>
      </c>
    </row>
    <row r="667" spans="1:3" x14ac:dyDescent="0.25">
      <c r="A667" s="1">
        <f t="shared" si="8"/>
        <v>43586</v>
      </c>
      <c r="B667" t="s">
        <v>156</v>
      </c>
      <c r="C667">
        <v>-255712</v>
      </c>
    </row>
    <row r="668" spans="1:3" x14ac:dyDescent="0.25">
      <c r="A668" s="1">
        <f t="shared" si="8"/>
        <v>43586</v>
      </c>
      <c r="B668" t="s">
        <v>157</v>
      </c>
      <c r="C668">
        <v>-229827</v>
      </c>
    </row>
    <row r="669" spans="1:3" x14ac:dyDescent="0.25">
      <c r="A669" s="1">
        <f t="shared" si="8"/>
        <v>43586</v>
      </c>
      <c r="B669" t="s">
        <v>158</v>
      </c>
      <c r="C669">
        <v>-255711</v>
      </c>
    </row>
    <row r="670" spans="1:3" x14ac:dyDescent="0.25">
      <c r="A670" s="1">
        <f t="shared" si="8"/>
        <v>43586</v>
      </c>
      <c r="B670" t="s">
        <v>159</v>
      </c>
      <c r="C670">
        <v>-267017</v>
      </c>
    </row>
    <row r="671" spans="1:3" x14ac:dyDescent="0.25">
      <c r="A671" s="1">
        <f t="shared" si="8"/>
        <v>43586</v>
      </c>
      <c r="B671" t="s">
        <v>160</v>
      </c>
      <c r="C671">
        <v>-125467</v>
      </c>
    </row>
    <row r="672" spans="1:3" x14ac:dyDescent="0.25">
      <c r="A672" s="1">
        <f t="shared" si="8"/>
        <v>43586</v>
      </c>
      <c r="B672" t="s">
        <v>161</v>
      </c>
      <c r="C672">
        <v>-251330</v>
      </c>
    </row>
    <row r="673" spans="1:3" x14ac:dyDescent="0.25">
      <c r="A673" s="1">
        <f t="shared" si="8"/>
        <v>43586</v>
      </c>
      <c r="B673" t="s">
        <v>162</v>
      </c>
      <c r="C673">
        <v>-219114</v>
      </c>
    </row>
    <row r="674" spans="1:3" x14ac:dyDescent="0.25">
      <c r="A674" s="1">
        <f t="shared" si="8"/>
        <v>43586</v>
      </c>
      <c r="B674" t="s">
        <v>163</v>
      </c>
      <c r="C674">
        <v>-263919</v>
      </c>
    </row>
    <row r="675" spans="1:3" x14ac:dyDescent="0.25">
      <c r="A675" s="1">
        <f t="shared" si="8"/>
        <v>43586</v>
      </c>
      <c r="B675" t="s">
        <v>164</v>
      </c>
      <c r="C675">
        <v>-85720</v>
      </c>
    </row>
    <row r="676" spans="1:3" x14ac:dyDescent="0.25">
      <c r="A676" s="1">
        <f t="shared" si="8"/>
        <v>43586</v>
      </c>
      <c r="B676" t="s">
        <v>165</v>
      </c>
      <c r="C676">
        <v>-62835</v>
      </c>
    </row>
    <row r="677" spans="1:3" x14ac:dyDescent="0.25">
      <c r="A677" s="1">
        <f t="shared" si="8"/>
        <v>43586</v>
      </c>
      <c r="B677" t="s">
        <v>166</v>
      </c>
      <c r="C677">
        <v>-58976</v>
      </c>
    </row>
    <row r="678" spans="1:3" x14ac:dyDescent="0.25">
      <c r="A678" s="1">
        <f t="shared" si="8"/>
        <v>43586</v>
      </c>
      <c r="B678" t="s">
        <v>167</v>
      </c>
      <c r="C678">
        <v>-314269</v>
      </c>
    </row>
    <row r="679" spans="1:3" x14ac:dyDescent="0.25">
      <c r="A679" s="1">
        <f t="shared" si="8"/>
        <v>43586</v>
      </c>
      <c r="B679" t="s">
        <v>168</v>
      </c>
      <c r="C679">
        <v>-324711</v>
      </c>
    </row>
    <row r="680" spans="1:3" x14ac:dyDescent="0.25">
      <c r="A680" s="1">
        <f t="shared" si="8"/>
        <v>43586</v>
      </c>
      <c r="B680" t="s">
        <v>169</v>
      </c>
      <c r="C680">
        <v>-286255</v>
      </c>
    </row>
    <row r="681" spans="1:3" x14ac:dyDescent="0.25">
      <c r="A681" s="1">
        <f t="shared" si="8"/>
        <v>43586</v>
      </c>
      <c r="B681" t="s">
        <v>170</v>
      </c>
      <c r="C681">
        <v>-387692</v>
      </c>
    </row>
    <row r="682" spans="1:3" x14ac:dyDescent="0.25">
      <c r="A682" s="1">
        <f t="shared" si="8"/>
        <v>43586</v>
      </c>
      <c r="B682" t="s">
        <v>171</v>
      </c>
      <c r="C682">
        <v>-286677</v>
      </c>
    </row>
    <row r="683" spans="1:3" x14ac:dyDescent="0.25">
      <c r="A683" s="1">
        <f t="shared" si="8"/>
        <v>43586</v>
      </c>
      <c r="B683" t="s">
        <v>172</v>
      </c>
      <c r="C683">
        <v>-303594</v>
      </c>
    </row>
    <row r="684" spans="1:3" x14ac:dyDescent="0.25">
      <c r="A684" s="1">
        <f t="shared" si="8"/>
        <v>43586</v>
      </c>
      <c r="B684" t="s">
        <v>173</v>
      </c>
      <c r="C684">
        <v>-49455</v>
      </c>
    </row>
    <row r="685" spans="1:3" x14ac:dyDescent="0.25">
      <c r="A685" s="1">
        <f t="shared" si="8"/>
        <v>43586</v>
      </c>
      <c r="B685" t="s">
        <v>174</v>
      </c>
      <c r="C685">
        <v>-56338</v>
      </c>
    </row>
    <row r="686" spans="1:3" x14ac:dyDescent="0.25">
      <c r="A686" s="1">
        <f t="shared" si="8"/>
        <v>43586</v>
      </c>
      <c r="B686" t="s">
        <v>175</v>
      </c>
      <c r="C686">
        <v>-44877</v>
      </c>
    </row>
    <row r="687" spans="1:3" x14ac:dyDescent="0.25">
      <c r="A687" s="1">
        <f t="shared" si="8"/>
        <v>43586</v>
      </c>
      <c r="B687" t="s">
        <v>176</v>
      </c>
      <c r="C687">
        <v>-50198</v>
      </c>
    </row>
    <row r="688" spans="1:3" x14ac:dyDescent="0.25">
      <c r="A688" s="1">
        <f t="shared" si="8"/>
        <v>43586</v>
      </c>
      <c r="B688" t="s">
        <v>177</v>
      </c>
      <c r="C688">
        <v>-56652</v>
      </c>
    </row>
    <row r="689" spans="1:3" x14ac:dyDescent="0.25">
      <c r="A689" s="1">
        <f t="shared" si="8"/>
        <v>43586</v>
      </c>
      <c r="B689" t="s">
        <v>178</v>
      </c>
      <c r="C689">
        <v>-201405</v>
      </c>
    </row>
    <row r="690" spans="1:3" x14ac:dyDescent="0.25">
      <c r="A690" s="1">
        <f t="shared" si="8"/>
        <v>43586</v>
      </c>
      <c r="B690" t="s">
        <v>179</v>
      </c>
      <c r="C690">
        <v>-187763</v>
      </c>
    </row>
    <row r="691" spans="1:3" x14ac:dyDescent="0.25">
      <c r="A691" s="1">
        <f t="shared" si="8"/>
        <v>43586</v>
      </c>
      <c r="B691" t="s">
        <v>180</v>
      </c>
      <c r="C691">
        <v>-207849</v>
      </c>
    </row>
    <row r="692" spans="1:3" x14ac:dyDescent="0.25">
      <c r="A692" s="1">
        <f t="shared" si="8"/>
        <v>43586</v>
      </c>
      <c r="B692" t="s">
        <v>181</v>
      </c>
      <c r="C692">
        <v>-79411</v>
      </c>
    </row>
    <row r="693" spans="1:3" x14ac:dyDescent="0.25">
      <c r="A693" s="1">
        <f t="shared" si="8"/>
        <v>43586</v>
      </c>
      <c r="B693" t="s">
        <v>182</v>
      </c>
      <c r="C693">
        <v>-66860</v>
      </c>
    </row>
    <row r="694" spans="1:3" x14ac:dyDescent="0.25">
      <c r="A694" s="1">
        <f t="shared" si="8"/>
        <v>43586</v>
      </c>
      <c r="B694" t="s">
        <v>183</v>
      </c>
      <c r="C694">
        <v>-54229</v>
      </c>
    </row>
    <row r="695" spans="1:3" x14ac:dyDescent="0.25">
      <c r="A695" s="1">
        <f t="shared" si="8"/>
        <v>43586</v>
      </c>
      <c r="B695" t="s">
        <v>184</v>
      </c>
      <c r="C695">
        <v>-73145</v>
      </c>
    </row>
    <row r="696" spans="1:3" x14ac:dyDescent="0.25">
      <c r="A696" s="1">
        <f t="shared" si="8"/>
        <v>43586</v>
      </c>
      <c r="B696" t="s">
        <v>185</v>
      </c>
      <c r="C696">
        <v>-95443</v>
      </c>
    </row>
    <row r="697" spans="1:3" x14ac:dyDescent="0.25">
      <c r="A697" s="1">
        <f t="shared" si="8"/>
        <v>43586</v>
      </c>
      <c r="B697" t="s">
        <v>186</v>
      </c>
      <c r="C697">
        <v>-101801</v>
      </c>
    </row>
    <row r="698" spans="1:3" x14ac:dyDescent="0.25">
      <c r="A698" s="1">
        <f t="shared" si="8"/>
        <v>43586</v>
      </c>
      <c r="B698" t="s">
        <v>187</v>
      </c>
      <c r="C698">
        <v>-183392</v>
      </c>
    </row>
    <row r="699" spans="1:3" x14ac:dyDescent="0.25">
      <c r="A699" s="1">
        <f t="shared" si="8"/>
        <v>43586</v>
      </c>
      <c r="B699" t="s">
        <v>188</v>
      </c>
      <c r="C699">
        <v>-202228</v>
      </c>
    </row>
    <row r="700" spans="1:3" x14ac:dyDescent="0.25">
      <c r="A700" s="1">
        <f t="shared" si="8"/>
        <v>43586</v>
      </c>
      <c r="B700" t="s">
        <v>189</v>
      </c>
      <c r="C700">
        <v>-11842</v>
      </c>
    </row>
    <row r="701" spans="1:3" x14ac:dyDescent="0.25">
      <c r="A701" s="1">
        <f t="shared" si="8"/>
        <v>43586</v>
      </c>
      <c r="B701" t="s">
        <v>190</v>
      </c>
      <c r="C701">
        <v>-21129</v>
      </c>
    </row>
    <row r="702" spans="1:3" x14ac:dyDescent="0.25">
      <c r="A702" s="1">
        <f t="shared" si="8"/>
        <v>43617</v>
      </c>
      <c r="B702" t="s">
        <v>51</v>
      </c>
      <c r="C702">
        <v>300237</v>
      </c>
    </row>
    <row r="703" spans="1:3" x14ac:dyDescent="0.25">
      <c r="A703" s="1">
        <f t="shared" si="8"/>
        <v>43617</v>
      </c>
      <c r="B703" t="s">
        <v>52</v>
      </c>
      <c r="C703">
        <v>997112</v>
      </c>
    </row>
    <row r="704" spans="1:3" x14ac:dyDescent="0.25">
      <c r="A704" s="1">
        <f t="shared" si="8"/>
        <v>43617</v>
      </c>
      <c r="B704" t="s">
        <v>53</v>
      </c>
      <c r="C704">
        <v>203790</v>
      </c>
    </row>
    <row r="705" spans="1:3" x14ac:dyDescent="0.25">
      <c r="A705" s="1">
        <f t="shared" si="8"/>
        <v>43617</v>
      </c>
      <c r="B705" t="s">
        <v>54</v>
      </c>
      <c r="C705">
        <v>389233</v>
      </c>
    </row>
    <row r="706" spans="1:3" x14ac:dyDescent="0.25">
      <c r="A706" s="1">
        <f t="shared" si="8"/>
        <v>43617</v>
      </c>
      <c r="B706" t="s">
        <v>55</v>
      </c>
      <c r="C706">
        <v>904866</v>
      </c>
    </row>
    <row r="707" spans="1:3" x14ac:dyDescent="0.25">
      <c r="A707" s="1">
        <f t="shared" si="8"/>
        <v>43617</v>
      </c>
      <c r="B707" t="s">
        <v>56</v>
      </c>
      <c r="C707">
        <v>325638</v>
      </c>
    </row>
    <row r="708" spans="1:3" x14ac:dyDescent="0.25">
      <c r="A708" s="1">
        <f t="shared" si="8"/>
        <v>43617</v>
      </c>
      <c r="B708" t="s">
        <v>57</v>
      </c>
      <c r="C708">
        <v>961076</v>
      </c>
    </row>
    <row r="709" spans="1:3" x14ac:dyDescent="0.25">
      <c r="A709" s="1">
        <f t="shared" si="8"/>
        <v>43617</v>
      </c>
      <c r="B709" t="s">
        <v>58</v>
      </c>
      <c r="C709">
        <v>637371</v>
      </c>
    </row>
    <row r="710" spans="1:3" x14ac:dyDescent="0.25">
      <c r="A710" s="1">
        <f t="shared" si="8"/>
        <v>43617</v>
      </c>
      <c r="B710" t="s">
        <v>59</v>
      </c>
      <c r="C710">
        <v>934845</v>
      </c>
    </row>
    <row r="711" spans="1:3" x14ac:dyDescent="0.25">
      <c r="A711" s="1">
        <f t="shared" si="8"/>
        <v>43617</v>
      </c>
      <c r="B711" t="s">
        <v>60</v>
      </c>
      <c r="C711">
        <v>331834</v>
      </c>
    </row>
    <row r="712" spans="1:3" x14ac:dyDescent="0.25">
      <c r="A712" s="1">
        <f t="shared" si="8"/>
        <v>43617</v>
      </c>
      <c r="B712" t="s">
        <v>61</v>
      </c>
      <c r="C712">
        <v>566766</v>
      </c>
    </row>
    <row r="713" spans="1:3" x14ac:dyDescent="0.25">
      <c r="A713" s="1">
        <f t="shared" si="8"/>
        <v>43617</v>
      </c>
      <c r="B713" t="s">
        <v>62</v>
      </c>
      <c r="C713">
        <v>347337</v>
      </c>
    </row>
    <row r="714" spans="1:3" x14ac:dyDescent="0.25">
      <c r="A714" s="1">
        <f t="shared" si="8"/>
        <v>43617</v>
      </c>
      <c r="B714" t="s">
        <v>63</v>
      </c>
      <c r="C714">
        <v>921242</v>
      </c>
    </row>
    <row r="715" spans="1:3" x14ac:dyDescent="0.25">
      <c r="A715" s="1">
        <f t="shared" si="8"/>
        <v>43617</v>
      </c>
      <c r="B715" t="s">
        <v>64</v>
      </c>
      <c r="C715">
        <v>426937</v>
      </c>
    </row>
    <row r="716" spans="1:3" x14ac:dyDescent="0.25">
      <c r="A716" s="1">
        <f t="shared" si="8"/>
        <v>43617</v>
      </c>
      <c r="B716" t="s">
        <v>65</v>
      </c>
      <c r="C716">
        <v>869937</v>
      </c>
    </row>
    <row r="717" spans="1:3" x14ac:dyDescent="0.25">
      <c r="A717" s="1">
        <f t="shared" si="8"/>
        <v>43617</v>
      </c>
      <c r="B717" t="s">
        <v>66</v>
      </c>
      <c r="C717">
        <v>423536</v>
      </c>
    </row>
    <row r="718" spans="1:3" x14ac:dyDescent="0.25">
      <c r="A718" s="1">
        <f t="shared" si="8"/>
        <v>43617</v>
      </c>
      <c r="B718" t="s">
        <v>67</v>
      </c>
      <c r="C718">
        <v>760022</v>
      </c>
    </row>
    <row r="719" spans="1:3" x14ac:dyDescent="0.25">
      <c r="A719" s="1">
        <f t="shared" ref="A719:A782" si="9">EDATE(A579,1)</f>
        <v>43617</v>
      </c>
      <c r="B719" t="s">
        <v>68</v>
      </c>
      <c r="C719">
        <v>283908</v>
      </c>
    </row>
    <row r="720" spans="1:3" x14ac:dyDescent="0.25">
      <c r="A720" s="1">
        <f t="shared" si="9"/>
        <v>43617</v>
      </c>
      <c r="B720" t="s">
        <v>69</v>
      </c>
      <c r="C720">
        <v>747215</v>
      </c>
    </row>
    <row r="721" spans="1:3" x14ac:dyDescent="0.25">
      <c r="A721" s="1">
        <f t="shared" si="9"/>
        <v>43617</v>
      </c>
      <c r="B721" t="s">
        <v>70</v>
      </c>
      <c r="C721">
        <v>321972</v>
      </c>
    </row>
    <row r="722" spans="1:3" x14ac:dyDescent="0.25">
      <c r="A722" s="1">
        <f t="shared" si="9"/>
        <v>43617</v>
      </c>
      <c r="B722" t="s">
        <v>71</v>
      </c>
      <c r="C722">
        <v>722793</v>
      </c>
    </row>
    <row r="723" spans="1:3" x14ac:dyDescent="0.25">
      <c r="A723" s="1">
        <f t="shared" si="9"/>
        <v>43617</v>
      </c>
      <c r="B723" t="s">
        <v>72</v>
      </c>
      <c r="C723">
        <v>582138</v>
      </c>
    </row>
    <row r="724" spans="1:3" x14ac:dyDescent="0.25">
      <c r="A724" s="1">
        <f t="shared" si="9"/>
        <v>43617</v>
      </c>
      <c r="B724" t="s">
        <v>73</v>
      </c>
      <c r="C724">
        <v>121183</v>
      </c>
    </row>
    <row r="725" spans="1:3" x14ac:dyDescent="0.25">
      <c r="A725" s="1">
        <f t="shared" si="9"/>
        <v>43617</v>
      </c>
      <c r="B725" t="s">
        <v>74</v>
      </c>
      <c r="C725">
        <v>280768</v>
      </c>
    </row>
    <row r="726" spans="1:3" x14ac:dyDescent="0.25">
      <c r="A726" s="1">
        <f t="shared" si="9"/>
        <v>43617</v>
      </c>
      <c r="B726" t="s">
        <v>75</v>
      </c>
      <c r="C726">
        <v>277497</v>
      </c>
    </row>
    <row r="727" spans="1:3" x14ac:dyDescent="0.25">
      <c r="A727" s="1">
        <f t="shared" si="9"/>
        <v>43617</v>
      </c>
      <c r="B727" t="s">
        <v>76</v>
      </c>
      <c r="C727">
        <v>141366</v>
      </c>
    </row>
    <row r="728" spans="1:3" x14ac:dyDescent="0.25">
      <c r="A728" s="1">
        <f t="shared" si="9"/>
        <v>43617</v>
      </c>
      <c r="B728" t="s">
        <v>77</v>
      </c>
      <c r="C728">
        <v>236147</v>
      </c>
    </row>
    <row r="729" spans="1:3" x14ac:dyDescent="0.25">
      <c r="A729" s="1">
        <f t="shared" si="9"/>
        <v>43617</v>
      </c>
      <c r="B729" t="s">
        <v>78</v>
      </c>
      <c r="C729">
        <v>194753</v>
      </c>
    </row>
    <row r="730" spans="1:3" x14ac:dyDescent="0.25">
      <c r="A730" s="1">
        <f t="shared" si="9"/>
        <v>43617</v>
      </c>
      <c r="B730" t="s">
        <v>79</v>
      </c>
      <c r="C730">
        <v>247226</v>
      </c>
    </row>
    <row r="731" spans="1:3" x14ac:dyDescent="0.25">
      <c r="A731" s="1">
        <f t="shared" si="9"/>
        <v>43617</v>
      </c>
      <c r="B731" t="s">
        <v>80</v>
      </c>
      <c r="C731">
        <v>239550</v>
      </c>
    </row>
    <row r="732" spans="1:3" x14ac:dyDescent="0.25">
      <c r="A732" s="1">
        <f t="shared" si="9"/>
        <v>43617</v>
      </c>
      <c r="B732" t="s">
        <v>81</v>
      </c>
      <c r="C732">
        <v>168590</v>
      </c>
    </row>
    <row r="733" spans="1:3" x14ac:dyDescent="0.25">
      <c r="A733" s="1">
        <f t="shared" si="9"/>
        <v>43617</v>
      </c>
      <c r="B733" t="s">
        <v>82</v>
      </c>
      <c r="C733">
        <v>191683</v>
      </c>
    </row>
    <row r="734" spans="1:3" x14ac:dyDescent="0.25">
      <c r="A734" s="1">
        <f t="shared" si="9"/>
        <v>43617</v>
      </c>
      <c r="B734" t="s">
        <v>83</v>
      </c>
      <c r="C734">
        <v>179101</v>
      </c>
    </row>
    <row r="735" spans="1:3" x14ac:dyDescent="0.25">
      <c r="A735" s="1">
        <f t="shared" si="9"/>
        <v>43617</v>
      </c>
      <c r="B735" t="s">
        <v>84</v>
      </c>
      <c r="C735">
        <v>164179</v>
      </c>
    </row>
    <row r="736" spans="1:3" x14ac:dyDescent="0.25">
      <c r="A736" s="1">
        <f t="shared" si="9"/>
        <v>43617</v>
      </c>
      <c r="B736" t="s">
        <v>85</v>
      </c>
      <c r="C736">
        <v>211029</v>
      </c>
    </row>
    <row r="737" spans="1:3" x14ac:dyDescent="0.25">
      <c r="A737" s="1">
        <f t="shared" si="9"/>
        <v>43617</v>
      </c>
      <c r="B737" t="s">
        <v>86</v>
      </c>
      <c r="C737">
        <v>161668</v>
      </c>
    </row>
    <row r="738" spans="1:3" x14ac:dyDescent="0.25">
      <c r="A738" s="1">
        <f t="shared" si="9"/>
        <v>43617</v>
      </c>
      <c r="B738" t="s">
        <v>87</v>
      </c>
      <c r="C738">
        <v>140769</v>
      </c>
    </row>
    <row r="739" spans="1:3" x14ac:dyDescent="0.25">
      <c r="A739" s="1">
        <f t="shared" si="9"/>
        <v>43617</v>
      </c>
      <c r="B739" t="s">
        <v>88</v>
      </c>
      <c r="C739">
        <v>168572</v>
      </c>
    </row>
    <row r="740" spans="1:3" x14ac:dyDescent="0.25">
      <c r="A740" s="1">
        <f t="shared" si="9"/>
        <v>43617</v>
      </c>
      <c r="B740" t="s">
        <v>89</v>
      </c>
      <c r="C740">
        <v>156970</v>
      </c>
    </row>
    <row r="741" spans="1:3" x14ac:dyDescent="0.25">
      <c r="A741" s="1">
        <f t="shared" si="9"/>
        <v>43617</v>
      </c>
      <c r="B741" t="s">
        <v>90</v>
      </c>
      <c r="C741">
        <v>58096</v>
      </c>
    </row>
    <row r="742" spans="1:3" x14ac:dyDescent="0.25">
      <c r="A742" s="1">
        <f t="shared" si="9"/>
        <v>43617</v>
      </c>
      <c r="B742" t="s">
        <v>91</v>
      </c>
      <c r="C742">
        <v>285495</v>
      </c>
    </row>
    <row r="743" spans="1:3" x14ac:dyDescent="0.25">
      <c r="A743" s="1">
        <f t="shared" si="9"/>
        <v>43617</v>
      </c>
      <c r="B743" t="s">
        <v>92</v>
      </c>
      <c r="C743">
        <v>219284</v>
      </c>
    </row>
    <row r="744" spans="1:3" x14ac:dyDescent="0.25">
      <c r="A744" s="1">
        <f t="shared" si="9"/>
        <v>43617</v>
      </c>
      <c r="B744" t="s">
        <v>93</v>
      </c>
      <c r="C744">
        <v>73294</v>
      </c>
    </row>
    <row r="745" spans="1:3" x14ac:dyDescent="0.25">
      <c r="A745" s="1">
        <f t="shared" si="9"/>
        <v>43617</v>
      </c>
      <c r="B745" t="s">
        <v>94</v>
      </c>
      <c r="C745">
        <v>245306</v>
      </c>
    </row>
    <row r="746" spans="1:3" x14ac:dyDescent="0.25">
      <c r="A746" s="1">
        <f t="shared" si="9"/>
        <v>43617</v>
      </c>
      <c r="B746" t="s">
        <v>95</v>
      </c>
      <c r="C746">
        <v>226726</v>
      </c>
    </row>
    <row r="747" spans="1:3" x14ac:dyDescent="0.25">
      <c r="A747" s="1">
        <f t="shared" si="9"/>
        <v>43617</v>
      </c>
      <c r="B747" t="s">
        <v>96</v>
      </c>
      <c r="C747">
        <v>168444</v>
      </c>
    </row>
    <row r="748" spans="1:3" x14ac:dyDescent="0.25">
      <c r="A748" s="1">
        <f t="shared" si="9"/>
        <v>43617</v>
      </c>
      <c r="B748" t="s">
        <v>97</v>
      </c>
      <c r="C748">
        <v>115747</v>
      </c>
    </row>
    <row r="749" spans="1:3" x14ac:dyDescent="0.25">
      <c r="A749" s="1">
        <f t="shared" si="9"/>
        <v>43617</v>
      </c>
      <c r="B749" t="s">
        <v>98</v>
      </c>
      <c r="C749">
        <v>219379</v>
      </c>
    </row>
    <row r="750" spans="1:3" x14ac:dyDescent="0.25">
      <c r="A750" s="1">
        <f t="shared" si="9"/>
        <v>43617</v>
      </c>
      <c r="B750" t="s">
        <v>99</v>
      </c>
      <c r="C750">
        <v>214486</v>
      </c>
    </row>
    <row r="751" spans="1:3" x14ac:dyDescent="0.25">
      <c r="A751" s="1">
        <f t="shared" si="9"/>
        <v>43617</v>
      </c>
      <c r="B751" t="s">
        <v>100</v>
      </c>
      <c r="C751">
        <v>50084</v>
      </c>
    </row>
    <row r="752" spans="1:3" x14ac:dyDescent="0.25">
      <c r="A752" s="1">
        <f t="shared" si="9"/>
        <v>43617</v>
      </c>
      <c r="B752" t="s">
        <v>101</v>
      </c>
      <c r="C752">
        <v>73248</v>
      </c>
    </row>
    <row r="753" spans="1:3" x14ac:dyDescent="0.25">
      <c r="A753" s="1">
        <f t="shared" si="9"/>
        <v>43617</v>
      </c>
      <c r="B753" t="s">
        <v>102</v>
      </c>
      <c r="C753">
        <v>177523</v>
      </c>
    </row>
    <row r="754" spans="1:3" x14ac:dyDescent="0.25">
      <c r="A754" s="1">
        <f t="shared" si="9"/>
        <v>43617</v>
      </c>
      <c r="B754" t="s">
        <v>103</v>
      </c>
      <c r="C754">
        <v>127503</v>
      </c>
    </row>
    <row r="755" spans="1:3" x14ac:dyDescent="0.25">
      <c r="A755" s="1">
        <f t="shared" si="9"/>
        <v>43617</v>
      </c>
      <c r="B755" t="s">
        <v>104</v>
      </c>
      <c r="C755">
        <v>228954</v>
      </c>
    </row>
    <row r="756" spans="1:3" x14ac:dyDescent="0.25">
      <c r="A756" s="1">
        <f t="shared" si="9"/>
        <v>43617</v>
      </c>
      <c r="B756" t="s">
        <v>105</v>
      </c>
      <c r="C756">
        <v>150720</v>
      </c>
    </row>
    <row r="757" spans="1:3" x14ac:dyDescent="0.25">
      <c r="A757" s="1">
        <f t="shared" si="9"/>
        <v>43617</v>
      </c>
      <c r="B757" t="s">
        <v>106</v>
      </c>
      <c r="C757">
        <v>271225</v>
      </c>
    </row>
    <row r="758" spans="1:3" x14ac:dyDescent="0.25">
      <c r="A758" s="1">
        <f t="shared" si="9"/>
        <v>43617</v>
      </c>
      <c r="B758" t="s">
        <v>107</v>
      </c>
      <c r="C758">
        <v>220671</v>
      </c>
    </row>
    <row r="759" spans="1:3" x14ac:dyDescent="0.25">
      <c r="A759" s="1">
        <f t="shared" si="9"/>
        <v>43617</v>
      </c>
      <c r="B759" t="s">
        <v>108</v>
      </c>
      <c r="C759">
        <v>217502</v>
      </c>
    </row>
    <row r="760" spans="1:3" x14ac:dyDescent="0.25">
      <c r="A760" s="1">
        <f t="shared" si="9"/>
        <v>43617</v>
      </c>
      <c r="B760" t="s">
        <v>109</v>
      </c>
      <c r="C760">
        <v>202171</v>
      </c>
    </row>
    <row r="761" spans="1:3" x14ac:dyDescent="0.25">
      <c r="A761" s="1">
        <f t="shared" si="9"/>
        <v>43617</v>
      </c>
      <c r="B761" t="s">
        <v>110</v>
      </c>
      <c r="C761">
        <v>-3309</v>
      </c>
    </row>
    <row r="762" spans="1:3" x14ac:dyDescent="0.25">
      <c r="A762" s="1">
        <f t="shared" si="9"/>
        <v>43617</v>
      </c>
      <c r="B762" t="s">
        <v>111</v>
      </c>
      <c r="C762">
        <v>-5007</v>
      </c>
    </row>
    <row r="763" spans="1:3" x14ac:dyDescent="0.25">
      <c r="A763" s="1">
        <f t="shared" si="9"/>
        <v>43617</v>
      </c>
      <c r="B763" t="s">
        <v>112</v>
      </c>
      <c r="C763">
        <v>-8067</v>
      </c>
    </row>
    <row r="764" spans="1:3" x14ac:dyDescent="0.25">
      <c r="A764" s="1">
        <f t="shared" si="9"/>
        <v>43617</v>
      </c>
      <c r="B764" t="s">
        <v>113</v>
      </c>
      <c r="C764">
        <v>-1853</v>
      </c>
    </row>
    <row r="765" spans="1:3" x14ac:dyDescent="0.25">
      <c r="A765" s="1">
        <f t="shared" si="9"/>
        <v>43617</v>
      </c>
      <c r="B765" t="s">
        <v>114</v>
      </c>
      <c r="C765">
        <v>-6832</v>
      </c>
    </row>
    <row r="766" spans="1:3" x14ac:dyDescent="0.25">
      <c r="A766" s="1">
        <f t="shared" si="9"/>
        <v>43617</v>
      </c>
      <c r="B766" t="s">
        <v>115</v>
      </c>
      <c r="C766">
        <v>-2799</v>
      </c>
    </row>
    <row r="767" spans="1:3" x14ac:dyDescent="0.25">
      <c r="A767" s="1">
        <f t="shared" si="9"/>
        <v>43617</v>
      </c>
      <c r="B767" t="s">
        <v>116</v>
      </c>
      <c r="C767">
        <v>-6898</v>
      </c>
    </row>
    <row r="768" spans="1:3" x14ac:dyDescent="0.25">
      <c r="A768" s="1">
        <f t="shared" si="9"/>
        <v>43617</v>
      </c>
      <c r="B768" t="s">
        <v>117</v>
      </c>
      <c r="C768">
        <v>-2222</v>
      </c>
    </row>
    <row r="769" spans="1:3" x14ac:dyDescent="0.25">
      <c r="A769" s="1">
        <f t="shared" si="9"/>
        <v>43617</v>
      </c>
      <c r="B769" t="s">
        <v>118</v>
      </c>
      <c r="C769">
        <v>-1546</v>
      </c>
    </row>
    <row r="770" spans="1:3" x14ac:dyDescent="0.25">
      <c r="A770" s="1">
        <f t="shared" si="9"/>
        <v>43617</v>
      </c>
      <c r="B770" t="s">
        <v>119</v>
      </c>
      <c r="C770">
        <v>-6545</v>
      </c>
    </row>
    <row r="771" spans="1:3" x14ac:dyDescent="0.25">
      <c r="A771" s="1">
        <f t="shared" si="9"/>
        <v>43617</v>
      </c>
      <c r="B771" t="s">
        <v>120</v>
      </c>
      <c r="C771">
        <v>-4240</v>
      </c>
    </row>
    <row r="772" spans="1:3" x14ac:dyDescent="0.25">
      <c r="A772" s="1">
        <f t="shared" si="9"/>
        <v>43617</v>
      </c>
      <c r="B772" t="s">
        <v>121</v>
      </c>
      <c r="C772">
        <v>-2961</v>
      </c>
    </row>
    <row r="773" spans="1:3" x14ac:dyDescent="0.25">
      <c r="A773" s="1">
        <f t="shared" si="9"/>
        <v>43617</v>
      </c>
      <c r="B773" t="s">
        <v>122</v>
      </c>
      <c r="C773">
        <v>-8426</v>
      </c>
    </row>
    <row r="774" spans="1:3" x14ac:dyDescent="0.25">
      <c r="A774" s="1">
        <f t="shared" si="9"/>
        <v>43617</v>
      </c>
      <c r="B774" t="s">
        <v>123</v>
      </c>
      <c r="C774">
        <v>-8460</v>
      </c>
    </row>
    <row r="775" spans="1:3" x14ac:dyDescent="0.25">
      <c r="A775" s="1">
        <f t="shared" si="9"/>
        <v>43617</v>
      </c>
      <c r="B775" t="s">
        <v>124</v>
      </c>
      <c r="C775">
        <v>-1624</v>
      </c>
    </row>
    <row r="776" spans="1:3" x14ac:dyDescent="0.25">
      <c r="A776" s="1">
        <f t="shared" si="9"/>
        <v>43617</v>
      </c>
      <c r="B776" t="s">
        <v>125</v>
      </c>
      <c r="C776">
        <v>-6480</v>
      </c>
    </row>
    <row r="777" spans="1:3" x14ac:dyDescent="0.25">
      <c r="A777" s="1">
        <f t="shared" si="9"/>
        <v>43617</v>
      </c>
      <c r="B777" t="s">
        <v>126</v>
      </c>
      <c r="C777">
        <v>-2742</v>
      </c>
    </row>
    <row r="778" spans="1:3" x14ac:dyDescent="0.25">
      <c r="A778" s="1">
        <f t="shared" si="9"/>
        <v>43617</v>
      </c>
      <c r="B778" t="s">
        <v>127</v>
      </c>
      <c r="C778">
        <v>-5956</v>
      </c>
    </row>
    <row r="779" spans="1:3" x14ac:dyDescent="0.25">
      <c r="A779" s="1">
        <f t="shared" si="9"/>
        <v>43617</v>
      </c>
      <c r="B779" t="s">
        <v>128</v>
      </c>
      <c r="C779">
        <v>-6585</v>
      </c>
    </row>
    <row r="780" spans="1:3" x14ac:dyDescent="0.25">
      <c r="A780" s="1">
        <f t="shared" si="9"/>
        <v>43617</v>
      </c>
      <c r="B780" t="s">
        <v>129</v>
      </c>
      <c r="C780">
        <v>-8170</v>
      </c>
    </row>
    <row r="781" spans="1:3" x14ac:dyDescent="0.25">
      <c r="A781" s="1">
        <f t="shared" si="9"/>
        <v>43617</v>
      </c>
      <c r="B781" t="s">
        <v>130</v>
      </c>
      <c r="C781">
        <v>-8243</v>
      </c>
    </row>
    <row r="782" spans="1:3" x14ac:dyDescent="0.25">
      <c r="A782" s="1">
        <f t="shared" si="9"/>
        <v>43617</v>
      </c>
      <c r="B782" t="s">
        <v>131</v>
      </c>
      <c r="C782">
        <v>-1309</v>
      </c>
    </row>
    <row r="783" spans="1:3" x14ac:dyDescent="0.25">
      <c r="A783" s="1">
        <f t="shared" ref="A783:A846" si="10">EDATE(A643,1)</f>
        <v>43617</v>
      </c>
      <c r="B783" t="s">
        <v>132</v>
      </c>
      <c r="C783">
        <v>-2521</v>
      </c>
    </row>
    <row r="784" spans="1:3" x14ac:dyDescent="0.25">
      <c r="A784" s="1">
        <f t="shared" si="10"/>
        <v>43617</v>
      </c>
      <c r="B784" t="s">
        <v>133</v>
      </c>
      <c r="C784">
        <v>-4377</v>
      </c>
    </row>
    <row r="785" spans="1:3" x14ac:dyDescent="0.25">
      <c r="A785" s="1">
        <f t="shared" si="10"/>
        <v>43617</v>
      </c>
      <c r="B785" t="s">
        <v>134</v>
      </c>
      <c r="C785">
        <v>-9151</v>
      </c>
    </row>
    <row r="786" spans="1:3" x14ac:dyDescent="0.25">
      <c r="A786" s="1">
        <f t="shared" si="10"/>
        <v>43617</v>
      </c>
      <c r="B786" t="s">
        <v>135</v>
      </c>
      <c r="C786">
        <v>-6223</v>
      </c>
    </row>
    <row r="787" spans="1:3" x14ac:dyDescent="0.25">
      <c r="A787" s="1">
        <f t="shared" si="10"/>
        <v>43617</v>
      </c>
      <c r="B787" t="s">
        <v>136</v>
      </c>
      <c r="C787">
        <v>-6756</v>
      </c>
    </row>
    <row r="788" spans="1:3" x14ac:dyDescent="0.25">
      <c r="A788" s="1">
        <f t="shared" si="10"/>
        <v>43617</v>
      </c>
      <c r="B788" t="s">
        <v>137</v>
      </c>
      <c r="C788">
        <v>-8389</v>
      </c>
    </row>
    <row r="789" spans="1:3" x14ac:dyDescent="0.25">
      <c r="A789" s="1">
        <f t="shared" si="10"/>
        <v>43617</v>
      </c>
      <c r="B789" t="s">
        <v>138</v>
      </c>
      <c r="C789">
        <v>-5666</v>
      </c>
    </row>
    <row r="790" spans="1:3" x14ac:dyDescent="0.25">
      <c r="A790" s="1">
        <f t="shared" si="10"/>
        <v>43617</v>
      </c>
      <c r="B790" t="s">
        <v>139</v>
      </c>
      <c r="C790">
        <v>-5676</v>
      </c>
    </row>
    <row r="791" spans="1:3" x14ac:dyDescent="0.25">
      <c r="A791" s="1">
        <f t="shared" si="10"/>
        <v>43617</v>
      </c>
      <c r="B791" t="s">
        <v>140</v>
      </c>
      <c r="C791">
        <v>-238385</v>
      </c>
    </row>
    <row r="792" spans="1:3" x14ac:dyDescent="0.25">
      <c r="A792" s="1">
        <f t="shared" si="10"/>
        <v>43617</v>
      </c>
      <c r="B792" t="s">
        <v>141</v>
      </c>
      <c r="C792">
        <v>-262641</v>
      </c>
    </row>
    <row r="793" spans="1:3" x14ac:dyDescent="0.25">
      <c r="A793" s="1">
        <f t="shared" si="10"/>
        <v>43617</v>
      </c>
      <c r="B793" t="s">
        <v>142</v>
      </c>
      <c r="C793">
        <v>-270515</v>
      </c>
    </row>
    <row r="794" spans="1:3" x14ac:dyDescent="0.25">
      <c r="A794" s="1">
        <f t="shared" si="10"/>
        <v>43617</v>
      </c>
      <c r="B794" t="s">
        <v>143</v>
      </c>
      <c r="C794">
        <v>-138605</v>
      </c>
    </row>
    <row r="795" spans="1:3" x14ac:dyDescent="0.25">
      <c r="A795" s="1">
        <f t="shared" si="10"/>
        <v>43617</v>
      </c>
      <c r="B795" t="s">
        <v>144</v>
      </c>
      <c r="C795">
        <v>-299558</v>
      </c>
    </row>
    <row r="796" spans="1:3" x14ac:dyDescent="0.25">
      <c r="A796" s="1">
        <f t="shared" si="10"/>
        <v>43617</v>
      </c>
      <c r="B796" t="s">
        <v>145</v>
      </c>
      <c r="C796">
        <v>-113717</v>
      </c>
    </row>
    <row r="797" spans="1:3" x14ac:dyDescent="0.25">
      <c r="A797" s="1">
        <f t="shared" si="10"/>
        <v>43617</v>
      </c>
      <c r="B797" t="s">
        <v>146</v>
      </c>
      <c r="C797">
        <v>-173924</v>
      </c>
    </row>
    <row r="798" spans="1:3" x14ac:dyDescent="0.25">
      <c r="A798" s="1">
        <f t="shared" si="10"/>
        <v>43617</v>
      </c>
      <c r="B798" t="s">
        <v>147</v>
      </c>
      <c r="C798">
        <v>-257586</v>
      </c>
    </row>
    <row r="799" spans="1:3" x14ac:dyDescent="0.25">
      <c r="A799" s="1">
        <f t="shared" si="10"/>
        <v>43617</v>
      </c>
      <c r="B799" t="s">
        <v>148</v>
      </c>
      <c r="C799">
        <v>-232424</v>
      </c>
    </row>
    <row r="800" spans="1:3" x14ac:dyDescent="0.25">
      <c r="A800" s="1">
        <f t="shared" si="10"/>
        <v>43617</v>
      </c>
      <c r="B800" t="s">
        <v>149</v>
      </c>
      <c r="C800">
        <v>-282636</v>
      </c>
    </row>
    <row r="801" spans="1:3" x14ac:dyDescent="0.25">
      <c r="A801" s="1">
        <f t="shared" si="10"/>
        <v>43617</v>
      </c>
      <c r="B801" t="s">
        <v>150</v>
      </c>
      <c r="C801">
        <v>-198576</v>
      </c>
    </row>
    <row r="802" spans="1:3" x14ac:dyDescent="0.25">
      <c r="A802" s="1">
        <f t="shared" si="10"/>
        <v>43617</v>
      </c>
      <c r="B802" t="s">
        <v>151</v>
      </c>
      <c r="C802">
        <v>-123594</v>
      </c>
    </row>
    <row r="803" spans="1:3" x14ac:dyDescent="0.25">
      <c r="A803" s="1">
        <f t="shared" si="10"/>
        <v>43617</v>
      </c>
      <c r="B803" t="s">
        <v>152</v>
      </c>
      <c r="C803">
        <v>-122456</v>
      </c>
    </row>
    <row r="804" spans="1:3" x14ac:dyDescent="0.25">
      <c r="A804" s="1">
        <f t="shared" si="10"/>
        <v>43617</v>
      </c>
      <c r="B804" t="s">
        <v>153</v>
      </c>
      <c r="C804">
        <v>-152617</v>
      </c>
    </row>
    <row r="805" spans="1:3" x14ac:dyDescent="0.25">
      <c r="A805" s="1">
        <f t="shared" si="10"/>
        <v>43617</v>
      </c>
      <c r="B805" t="s">
        <v>154</v>
      </c>
      <c r="C805">
        <v>-192767</v>
      </c>
    </row>
    <row r="806" spans="1:3" x14ac:dyDescent="0.25">
      <c r="A806" s="1">
        <f t="shared" si="10"/>
        <v>43617</v>
      </c>
      <c r="B806" t="s">
        <v>155</v>
      </c>
      <c r="C806">
        <v>-145948</v>
      </c>
    </row>
    <row r="807" spans="1:3" x14ac:dyDescent="0.25">
      <c r="A807" s="1">
        <f t="shared" si="10"/>
        <v>43617</v>
      </c>
      <c r="B807" t="s">
        <v>156</v>
      </c>
      <c r="C807">
        <v>-157881</v>
      </c>
    </row>
    <row r="808" spans="1:3" x14ac:dyDescent="0.25">
      <c r="A808" s="1">
        <f t="shared" si="10"/>
        <v>43617</v>
      </c>
      <c r="B808" t="s">
        <v>157</v>
      </c>
      <c r="C808">
        <v>-75953</v>
      </c>
    </row>
    <row r="809" spans="1:3" x14ac:dyDescent="0.25">
      <c r="A809" s="1">
        <f t="shared" si="10"/>
        <v>43617</v>
      </c>
      <c r="B809" t="s">
        <v>158</v>
      </c>
      <c r="C809">
        <v>-97831</v>
      </c>
    </row>
    <row r="810" spans="1:3" x14ac:dyDescent="0.25">
      <c r="A810" s="1">
        <f t="shared" si="10"/>
        <v>43617</v>
      </c>
      <c r="B810" t="s">
        <v>159</v>
      </c>
      <c r="C810">
        <v>-289631</v>
      </c>
    </row>
    <row r="811" spans="1:3" x14ac:dyDescent="0.25">
      <c r="A811" s="1">
        <f t="shared" si="10"/>
        <v>43617</v>
      </c>
      <c r="B811" t="s">
        <v>160</v>
      </c>
      <c r="C811">
        <v>-281814</v>
      </c>
    </row>
    <row r="812" spans="1:3" x14ac:dyDescent="0.25">
      <c r="A812" s="1">
        <f t="shared" si="10"/>
        <v>43617</v>
      </c>
      <c r="B812" t="s">
        <v>161</v>
      </c>
      <c r="C812">
        <v>-148560</v>
      </c>
    </row>
    <row r="813" spans="1:3" x14ac:dyDescent="0.25">
      <c r="A813" s="1">
        <f t="shared" si="10"/>
        <v>43617</v>
      </c>
      <c r="B813" t="s">
        <v>162</v>
      </c>
      <c r="C813">
        <v>-280010</v>
      </c>
    </row>
    <row r="814" spans="1:3" x14ac:dyDescent="0.25">
      <c r="A814" s="1">
        <f t="shared" si="10"/>
        <v>43617</v>
      </c>
      <c r="B814" t="s">
        <v>163</v>
      </c>
      <c r="C814">
        <v>-137039</v>
      </c>
    </row>
    <row r="815" spans="1:3" x14ac:dyDescent="0.25">
      <c r="A815" s="1">
        <f t="shared" si="10"/>
        <v>43617</v>
      </c>
      <c r="B815" t="s">
        <v>164</v>
      </c>
      <c r="C815">
        <v>-79682</v>
      </c>
    </row>
    <row r="816" spans="1:3" x14ac:dyDescent="0.25">
      <c r="A816" s="1">
        <f t="shared" si="10"/>
        <v>43617</v>
      </c>
      <c r="B816" t="s">
        <v>165</v>
      </c>
      <c r="C816">
        <v>-75285</v>
      </c>
    </row>
    <row r="817" spans="1:3" x14ac:dyDescent="0.25">
      <c r="A817" s="1">
        <f t="shared" si="10"/>
        <v>43617</v>
      </c>
      <c r="B817" t="s">
        <v>166</v>
      </c>
      <c r="C817">
        <v>-59908</v>
      </c>
    </row>
    <row r="818" spans="1:3" x14ac:dyDescent="0.25">
      <c r="A818" s="1">
        <f t="shared" si="10"/>
        <v>43617</v>
      </c>
      <c r="B818" t="s">
        <v>167</v>
      </c>
      <c r="C818">
        <v>-245430</v>
      </c>
    </row>
    <row r="819" spans="1:3" x14ac:dyDescent="0.25">
      <c r="A819" s="1">
        <f t="shared" si="10"/>
        <v>43617</v>
      </c>
      <c r="B819" t="s">
        <v>168</v>
      </c>
      <c r="C819">
        <v>-111344</v>
      </c>
    </row>
    <row r="820" spans="1:3" x14ac:dyDescent="0.25">
      <c r="A820" s="1">
        <f t="shared" si="10"/>
        <v>43617</v>
      </c>
      <c r="B820" t="s">
        <v>169</v>
      </c>
      <c r="C820">
        <v>-221996</v>
      </c>
    </row>
    <row r="821" spans="1:3" x14ac:dyDescent="0.25">
      <c r="A821" s="1">
        <f t="shared" si="10"/>
        <v>43617</v>
      </c>
      <c r="B821" t="s">
        <v>170</v>
      </c>
      <c r="C821">
        <v>-319692</v>
      </c>
    </row>
    <row r="822" spans="1:3" x14ac:dyDescent="0.25">
      <c r="A822" s="1">
        <f t="shared" si="10"/>
        <v>43617</v>
      </c>
      <c r="B822" t="s">
        <v>171</v>
      </c>
      <c r="C822">
        <v>-373860</v>
      </c>
    </row>
    <row r="823" spans="1:3" x14ac:dyDescent="0.25">
      <c r="A823" s="1">
        <f t="shared" si="10"/>
        <v>43617</v>
      </c>
      <c r="B823" t="s">
        <v>172</v>
      </c>
      <c r="C823">
        <v>-362395</v>
      </c>
    </row>
    <row r="824" spans="1:3" x14ac:dyDescent="0.25">
      <c r="A824" s="1">
        <f t="shared" si="10"/>
        <v>43617</v>
      </c>
      <c r="B824" t="s">
        <v>173</v>
      </c>
      <c r="C824">
        <v>-58427</v>
      </c>
    </row>
    <row r="825" spans="1:3" x14ac:dyDescent="0.25">
      <c r="A825" s="1">
        <f t="shared" si="10"/>
        <v>43617</v>
      </c>
      <c r="B825" t="s">
        <v>174</v>
      </c>
      <c r="C825">
        <v>-47933</v>
      </c>
    </row>
    <row r="826" spans="1:3" x14ac:dyDescent="0.25">
      <c r="A826" s="1">
        <f t="shared" si="10"/>
        <v>43617</v>
      </c>
      <c r="B826" t="s">
        <v>175</v>
      </c>
      <c r="C826">
        <v>-46518</v>
      </c>
    </row>
    <row r="827" spans="1:3" x14ac:dyDescent="0.25">
      <c r="A827" s="1">
        <f t="shared" si="10"/>
        <v>43617</v>
      </c>
      <c r="B827" t="s">
        <v>176</v>
      </c>
      <c r="C827">
        <v>-51509</v>
      </c>
    </row>
    <row r="828" spans="1:3" x14ac:dyDescent="0.25">
      <c r="A828" s="1">
        <f t="shared" si="10"/>
        <v>43617</v>
      </c>
      <c r="B828" t="s">
        <v>177</v>
      </c>
      <c r="C828">
        <v>-42984</v>
      </c>
    </row>
    <row r="829" spans="1:3" x14ac:dyDescent="0.25">
      <c r="A829" s="1">
        <f t="shared" si="10"/>
        <v>43617</v>
      </c>
      <c r="B829" t="s">
        <v>178</v>
      </c>
      <c r="C829">
        <v>-195371</v>
      </c>
    </row>
    <row r="830" spans="1:3" x14ac:dyDescent="0.25">
      <c r="A830" s="1">
        <f t="shared" si="10"/>
        <v>43617</v>
      </c>
      <c r="B830" t="s">
        <v>179</v>
      </c>
      <c r="C830">
        <v>-163286</v>
      </c>
    </row>
    <row r="831" spans="1:3" x14ac:dyDescent="0.25">
      <c r="A831" s="1">
        <f t="shared" si="10"/>
        <v>43617</v>
      </c>
      <c r="B831" t="s">
        <v>180</v>
      </c>
      <c r="C831">
        <v>-146633</v>
      </c>
    </row>
    <row r="832" spans="1:3" x14ac:dyDescent="0.25">
      <c r="A832" s="1">
        <f t="shared" si="10"/>
        <v>43617</v>
      </c>
      <c r="B832" t="s">
        <v>181</v>
      </c>
      <c r="C832">
        <v>-75818</v>
      </c>
    </row>
    <row r="833" spans="1:3" x14ac:dyDescent="0.25">
      <c r="A833" s="1">
        <f t="shared" si="10"/>
        <v>43617</v>
      </c>
      <c r="B833" t="s">
        <v>182</v>
      </c>
      <c r="C833">
        <v>-82712</v>
      </c>
    </row>
    <row r="834" spans="1:3" x14ac:dyDescent="0.25">
      <c r="A834" s="1">
        <f t="shared" si="10"/>
        <v>43617</v>
      </c>
      <c r="B834" t="s">
        <v>183</v>
      </c>
      <c r="C834">
        <v>-56516</v>
      </c>
    </row>
    <row r="835" spans="1:3" x14ac:dyDescent="0.25">
      <c r="A835" s="1">
        <f t="shared" si="10"/>
        <v>43617</v>
      </c>
      <c r="B835" t="s">
        <v>184</v>
      </c>
      <c r="C835">
        <v>-59688</v>
      </c>
    </row>
    <row r="836" spans="1:3" x14ac:dyDescent="0.25">
      <c r="A836" s="1">
        <f t="shared" si="10"/>
        <v>43617</v>
      </c>
      <c r="B836" t="s">
        <v>185</v>
      </c>
      <c r="C836">
        <v>-114383</v>
      </c>
    </row>
    <row r="837" spans="1:3" x14ac:dyDescent="0.25">
      <c r="A837" s="1">
        <f t="shared" si="10"/>
        <v>43617</v>
      </c>
      <c r="B837" t="s">
        <v>186</v>
      </c>
      <c r="C837">
        <v>-98544</v>
      </c>
    </row>
    <row r="838" spans="1:3" x14ac:dyDescent="0.25">
      <c r="A838" s="1">
        <f t="shared" si="10"/>
        <v>43617</v>
      </c>
      <c r="B838" t="s">
        <v>187</v>
      </c>
      <c r="C838">
        <v>-154650</v>
      </c>
    </row>
    <row r="839" spans="1:3" x14ac:dyDescent="0.25">
      <c r="A839" s="1">
        <f t="shared" si="10"/>
        <v>43617</v>
      </c>
      <c r="B839" t="s">
        <v>188</v>
      </c>
      <c r="C839">
        <v>-120860</v>
      </c>
    </row>
    <row r="840" spans="1:3" x14ac:dyDescent="0.25">
      <c r="A840" s="1">
        <f t="shared" si="10"/>
        <v>43617</v>
      </c>
      <c r="B840" t="s">
        <v>189</v>
      </c>
      <c r="C840">
        <v>-11196</v>
      </c>
    </row>
    <row r="841" spans="1:3" x14ac:dyDescent="0.25">
      <c r="A841" s="1">
        <f t="shared" si="10"/>
        <v>43617</v>
      </c>
      <c r="B841" t="s">
        <v>190</v>
      </c>
      <c r="C841">
        <v>-28482</v>
      </c>
    </row>
    <row r="842" spans="1:3" x14ac:dyDescent="0.25">
      <c r="A842" s="1">
        <f t="shared" si="10"/>
        <v>43647</v>
      </c>
      <c r="B842" t="s">
        <v>51</v>
      </c>
      <c r="C842">
        <v>545194</v>
      </c>
    </row>
    <row r="843" spans="1:3" x14ac:dyDescent="0.25">
      <c r="A843" s="1">
        <f t="shared" si="10"/>
        <v>43647</v>
      </c>
      <c r="B843" t="s">
        <v>52</v>
      </c>
      <c r="C843">
        <v>877033</v>
      </c>
    </row>
    <row r="844" spans="1:3" x14ac:dyDescent="0.25">
      <c r="A844" s="1">
        <f t="shared" si="10"/>
        <v>43647</v>
      </c>
      <c r="B844" t="s">
        <v>53</v>
      </c>
      <c r="C844">
        <v>387147</v>
      </c>
    </row>
    <row r="845" spans="1:3" x14ac:dyDescent="0.25">
      <c r="A845" s="1">
        <f t="shared" si="10"/>
        <v>43647</v>
      </c>
      <c r="B845" t="s">
        <v>54</v>
      </c>
      <c r="C845">
        <v>850419</v>
      </c>
    </row>
    <row r="846" spans="1:3" x14ac:dyDescent="0.25">
      <c r="A846" s="1">
        <f t="shared" si="10"/>
        <v>43647</v>
      </c>
      <c r="B846" t="s">
        <v>55</v>
      </c>
      <c r="C846">
        <v>434314</v>
      </c>
    </row>
    <row r="847" spans="1:3" x14ac:dyDescent="0.25">
      <c r="A847" s="1">
        <f t="shared" ref="A847:A910" si="11">EDATE(A707,1)</f>
        <v>43647</v>
      </c>
      <c r="B847" t="s">
        <v>56</v>
      </c>
      <c r="C847">
        <v>202490</v>
      </c>
    </row>
    <row r="848" spans="1:3" x14ac:dyDescent="0.25">
      <c r="A848" s="1">
        <f t="shared" si="11"/>
        <v>43647</v>
      </c>
      <c r="B848" t="s">
        <v>57</v>
      </c>
      <c r="C848">
        <v>905899</v>
      </c>
    </row>
    <row r="849" spans="1:3" x14ac:dyDescent="0.25">
      <c r="A849" s="1">
        <f t="shared" si="11"/>
        <v>43647</v>
      </c>
      <c r="B849" t="s">
        <v>58</v>
      </c>
      <c r="C849">
        <v>673775</v>
      </c>
    </row>
    <row r="850" spans="1:3" x14ac:dyDescent="0.25">
      <c r="A850" s="1">
        <f t="shared" si="11"/>
        <v>43647</v>
      </c>
      <c r="B850" t="s">
        <v>59</v>
      </c>
      <c r="C850">
        <v>756174</v>
      </c>
    </row>
    <row r="851" spans="1:3" x14ac:dyDescent="0.25">
      <c r="A851" s="1">
        <f t="shared" si="11"/>
        <v>43647</v>
      </c>
      <c r="B851" t="s">
        <v>60</v>
      </c>
      <c r="C851">
        <v>688566</v>
      </c>
    </row>
    <row r="852" spans="1:3" x14ac:dyDescent="0.25">
      <c r="A852" s="1">
        <f t="shared" si="11"/>
        <v>43647</v>
      </c>
      <c r="B852" t="s">
        <v>61</v>
      </c>
      <c r="C852">
        <v>972613</v>
      </c>
    </row>
    <row r="853" spans="1:3" x14ac:dyDescent="0.25">
      <c r="A853" s="1">
        <f t="shared" si="11"/>
        <v>43647</v>
      </c>
      <c r="B853" t="s">
        <v>62</v>
      </c>
      <c r="C853">
        <v>878572</v>
      </c>
    </row>
    <row r="854" spans="1:3" x14ac:dyDescent="0.25">
      <c r="A854" s="1">
        <f t="shared" si="11"/>
        <v>43647</v>
      </c>
      <c r="B854" t="s">
        <v>63</v>
      </c>
      <c r="C854">
        <v>542432</v>
      </c>
    </row>
    <row r="855" spans="1:3" x14ac:dyDescent="0.25">
      <c r="A855" s="1">
        <f t="shared" si="11"/>
        <v>43647</v>
      </c>
      <c r="B855" t="s">
        <v>64</v>
      </c>
      <c r="C855">
        <v>457594</v>
      </c>
    </row>
    <row r="856" spans="1:3" x14ac:dyDescent="0.25">
      <c r="A856" s="1">
        <f t="shared" si="11"/>
        <v>43647</v>
      </c>
      <c r="B856" t="s">
        <v>65</v>
      </c>
      <c r="C856">
        <v>914315</v>
      </c>
    </row>
    <row r="857" spans="1:3" x14ac:dyDescent="0.25">
      <c r="A857" s="1">
        <f t="shared" si="11"/>
        <v>43647</v>
      </c>
      <c r="B857" t="s">
        <v>66</v>
      </c>
      <c r="C857">
        <v>643055</v>
      </c>
    </row>
    <row r="858" spans="1:3" x14ac:dyDescent="0.25">
      <c r="A858" s="1">
        <f t="shared" si="11"/>
        <v>43647</v>
      </c>
      <c r="B858" t="s">
        <v>67</v>
      </c>
      <c r="C858">
        <v>778160</v>
      </c>
    </row>
    <row r="859" spans="1:3" x14ac:dyDescent="0.25">
      <c r="A859" s="1">
        <f t="shared" si="11"/>
        <v>43647</v>
      </c>
      <c r="B859" t="s">
        <v>68</v>
      </c>
      <c r="C859">
        <v>715369</v>
      </c>
    </row>
    <row r="860" spans="1:3" x14ac:dyDescent="0.25">
      <c r="A860" s="1">
        <f t="shared" si="11"/>
        <v>43647</v>
      </c>
      <c r="B860" t="s">
        <v>69</v>
      </c>
      <c r="C860">
        <v>507345</v>
      </c>
    </row>
    <row r="861" spans="1:3" x14ac:dyDescent="0.25">
      <c r="A861" s="1">
        <f t="shared" si="11"/>
        <v>43647</v>
      </c>
      <c r="B861" t="s">
        <v>70</v>
      </c>
      <c r="C861">
        <v>688497</v>
      </c>
    </row>
    <row r="862" spans="1:3" x14ac:dyDescent="0.25">
      <c r="A862" s="1">
        <f t="shared" si="11"/>
        <v>43647</v>
      </c>
      <c r="B862" t="s">
        <v>71</v>
      </c>
      <c r="C862">
        <v>465646</v>
      </c>
    </row>
    <row r="863" spans="1:3" x14ac:dyDescent="0.25">
      <c r="A863" s="1">
        <f t="shared" si="11"/>
        <v>43647</v>
      </c>
      <c r="B863" t="s">
        <v>72</v>
      </c>
      <c r="C863">
        <v>469446</v>
      </c>
    </row>
    <row r="864" spans="1:3" x14ac:dyDescent="0.25">
      <c r="A864" s="1">
        <f t="shared" si="11"/>
        <v>43647</v>
      </c>
      <c r="B864" t="s">
        <v>73</v>
      </c>
      <c r="C864">
        <v>109567</v>
      </c>
    </row>
    <row r="865" spans="1:3" x14ac:dyDescent="0.25">
      <c r="A865" s="1">
        <f t="shared" si="11"/>
        <v>43647</v>
      </c>
      <c r="B865" t="s">
        <v>74</v>
      </c>
      <c r="C865">
        <v>210717</v>
      </c>
    </row>
    <row r="866" spans="1:3" x14ac:dyDescent="0.25">
      <c r="A866" s="1">
        <f t="shared" si="11"/>
        <v>43647</v>
      </c>
      <c r="B866" t="s">
        <v>75</v>
      </c>
      <c r="C866">
        <v>255725</v>
      </c>
    </row>
    <row r="867" spans="1:3" x14ac:dyDescent="0.25">
      <c r="A867" s="1">
        <f t="shared" si="11"/>
        <v>43647</v>
      </c>
      <c r="B867" t="s">
        <v>76</v>
      </c>
      <c r="C867">
        <v>181437</v>
      </c>
    </row>
    <row r="868" spans="1:3" x14ac:dyDescent="0.25">
      <c r="A868" s="1">
        <f t="shared" si="11"/>
        <v>43647</v>
      </c>
      <c r="B868" t="s">
        <v>77</v>
      </c>
      <c r="C868">
        <v>261204</v>
      </c>
    </row>
    <row r="869" spans="1:3" x14ac:dyDescent="0.25">
      <c r="A869" s="1">
        <f t="shared" si="11"/>
        <v>43647</v>
      </c>
      <c r="B869" t="s">
        <v>78</v>
      </c>
      <c r="C869">
        <v>164799</v>
      </c>
    </row>
    <row r="870" spans="1:3" x14ac:dyDescent="0.25">
      <c r="A870" s="1">
        <f t="shared" si="11"/>
        <v>43647</v>
      </c>
      <c r="B870" t="s">
        <v>79</v>
      </c>
      <c r="C870">
        <v>101642</v>
      </c>
    </row>
    <row r="871" spans="1:3" x14ac:dyDescent="0.25">
      <c r="A871" s="1">
        <f t="shared" si="11"/>
        <v>43647</v>
      </c>
      <c r="B871" t="s">
        <v>80</v>
      </c>
      <c r="C871">
        <v>102432</v>
      </c>
    </row>
    <row r="872" spans="1:3" x14ac:dyDescent="0.25">
      <c r="A872" s="1">
        <f t="shared" si="11"/>
        <v>43647</v>
      </c>
      <c r="B872" t="s">
        <v>81</v>
      </c>
      <c r="C872">
        <v>236387</v>
      </c>
    </row>
    <row r="873" spans="1:3" x14ac:dyDescent="0.25">
      <c r="A873" s="1">
        <f t="shared" si="11"/>
        <v>43647</v>
      </c>
      <c r="B873" t="s">
        <v>82</v>
      </c>
      <c r="C873">
        <v>118087</v>
      </c>
    </row>
    <row r="874" spans="1:3" x14ac:dyDescent="0.25">
      <c r="A874" s="1">
        <f t="shared" si="11"/>
        <v>43647</v>
      </c>
      <c r="B874" t="s">
        <v>83</v>
      </c>
      <c r="C874">
        <v>240926</v>
      </c>
    </row>
    <row r="875" spans="1:3" x14ac:dyDescent="0.25">
      <c r="A875" s="1">
        <f t="shared" si="11"/>
        <v>43647</v>
      </c>
      <c r="B875" t="s">
        <v>84</v>
      </c>
      <c r="C875">
        <v>81393</v>
      </c>
    </row>
    <row r="876" spans="1:3" x14ac:dyDescent="0.25">
      <c r="A876" s="1">
        <f t="shared" si="11"/>
        <v>43647</v>
      </c>
      <c r="B876" t="s">
        <v>85</v>
      </c>
      <c r="C876">
        <v>75182</v>
      </c>
    </row>
    <row r="877" spans="1:3" x14ac:dyDescent="0.25">
      <c r="A877" s="1">
        <f t="shared" si="11"/>
        <v>43647</v>
      </c>
      <c r="B877" t="s">
        <v>86</v>
      </c>
      <c r="C877">
        <v>162476</v>
      </c>
    </row>
    <row r="878" spans="1:3" x14ac:dyDescent="0.25">
      <c r="A878" s="1">
        <f t="shared" si="11"/>
        <v>43647</v>
      </c>
      <c r="B878" t="s">
        <v>87</v>
      </c>
      <c r="C878">
        <v>255529</v>
      </c>
    </row>
    <row r="879" spans="1:3" x14ac:dyDescent="0.25">
      <c r="A879" s="1">
        <f t="shared" si="11"/>
        <v>43647</v>
      </c>
      <c r="B879" t="s">
        <v>88</v>
      </c>
      <c r="C879">
        <v>94297</v>
      </c>
    </row>
    <row r="880" spans="1:3" x14ac:dyDescent="0.25">
      <c r="A880" s="1">
        <f t="shared" si="11"/>
        <v>43647</v>
      </c>
      <c r="B880" t="s">
        <v>89</v>
      </c>
      <c r="C880">
        <v>135280</v>
      </c>
    </row>
    <row r="881" spans="1:3" x14ac:dyDescent="0.25">
      <c r="A881" s="1">
        <f t="shared" si="11"/>
        <v>43647</v>
      </c>
      <c r="B881" t="s">
        <v>90</v>
      </c>
      <c r="C881">
        <v>230187</v>
      </c>
    </row>
    <row r="882" spans="1:3" x14ac:dyDescent="0.25">
      <c r="A882" s="1">
        <f t="shared" si="11"/>
        <v>43647</v>
      </c>
      <c r="B882" t="s">
        <v>91</v>
      </c>
      <c r="C882">
        <v>157100</v>
      </c>
    </row>
    <row r="883" spans="1:3" x14ac:dyDescent="0.25">
      <c r="A883" s="1">
        <f t="shared" si="11"/>
        <v>43647</v>
      </c>
      <c r="B883" t="s">
        <v>92</v>
      </c>
      <c r="C883">
        <v>169230</v>
      </c>
    </row>
    <row r="884" spans="1:3" x14ac:dyDescent="0.25">
      <c r="A884" s="1">
        <f t="shared" si="11"/>
        <v>43647</v>
      </c>
      <c r="B884" t="s">
        <v>93</v>
      </c>
      <c r="C884">
        <v>230429</v>
      </c>
    </row>
    <row r="885" spans="1:3" x14ac:dyDescent="0.25">
      <c r="A885" s="1">
        <f t="shared" si="11"/>
        <v>43647</v>
      </c>
      <c r="B885" t="s">
        <v>94</v>
      </c>
      <c r="C885">
        <v>120288</v>
      </c>
    </row>
    <row r="886" spans="1:3" x14ac:dyDescent="0.25">
      <c r="A886" s="1">
        <f t="shared" si="11"/>
        <v>43647</v>
      </c>
      <c r="B886" t="s">
        <v>95</v>
      </c>
      <c r="C886">
        <v>257672</v>
      </c>
    </row>
    <row r="887" spans="1:3" x14ac:dyDescent="0.25">
      <c r="A887" s="1">
        <f t="shared" si="11"/>
        <v>43647</v>
      </c>
      <c r="B887" t="s">
        <v>96</v>
      </c>
      <c r="C887">
        <v>228664</v>
      </c>
    </row>
    <row r="888" spans="1:3" x14ac:dyDescent="0.25">
      <c r="A888" s="1">
        <f t="shared" si="11"/>
        <v>43647</v>
      </c>
      <c r="B888" t="s">
        <v>97</v>
      </c>
      <c r="C888">
        <v>271418</v>
      </c>
    </row>
    <row r="889" spans="1:3" x14ac:dyDescent="0.25">
      <c r="A889" s="1">
        <f t="shared" si="11"/>
        <v>43647</v>
      </c>
      <c r="B889" t="s">
        <v>98</v>
      </c>
      <c r="C889">
        <v>228218</v>
      </c>
    </row>
    <row r="890" spans="1:3" x14ac:dyDescent="0.25">
      <c r="A890" s="1">
        <f t="shared" si="11"/>
        <v>43647</v>
      </c>
      <c r="B890" t="s">
        <v>99</v>
      </c>
      <c r="C890">
        <v>96442</v>
      </c>
    </row>
    <row r="891" spans="1:3" x14ac:dyDescent="0.25">
      <c r="A891" s="1">
        <f t="shared" si="11"/>
        <v>43647</v>
      </c>
      <c r="B891" t="s">
        <v>100</v>
      </c>
      <c r="C891">
        <v>160328</v>
      </c>
    </row>
    <row r="892" spans="1:3" x14ac:dyDescent="0.25">
      <c r="A892" s="1">
        <f t="shared" si="11"/>
        <v>43647</v>
      </c>
      <c r="B892" t="s">
        <v>101</v>
      </c>
      <c r="C892">
        <v>68978</v>
      </c>
    </row>
    <row r="893" spans="1:3" x14ac:dyDescent="0.25">
      <c r="A893" s="1">
        <f t="shared" si="11"/>
        <v>43647</v>
      </c>
      <c r="B893" t="s">
        <v>102</v>
      </c>
      <c r="C893">
        <v>295477</v>
      </c>
    </row>
    <row r="894" spans="1:3" x14ac:dyDescent="0.25">
      <c r="A894" s="1">
        <f t="shared" si="11"/>
        <v>43647</v>
      </c>
      <c r="B894" t="s">
        <v>103</v>
      </c>
      <c r="C894">
        <v>109037</v>
      </c>
    </row>
    <row r="895" spans="1:3" x14ac:dyDescent="0.25">
      <c r="A895" s="1">
        <f t="shared" si="11"/>
        <v>43647</v>
      </c>
      <c r="B895" t="s">
        <v>104</v>
      </c>
      <c r="C895">
        <v>184672</v>
      </c>
    </row>
    <row r="896" spans="1:3" x14ac:dyDescent="0.25">
      <c r="A896" s="1">
        <f t="shared" si="11"/>
        <v>43647</v>
      </c>
      <c r="B896" t="s">
        <v>105</v>
      </c>
      <c r="C896">
        <v>122866</v>
      </c>
    </row>
    <row r="897" spans="1:3" x14ac:dyDescent="0.25">
      <c r="A897" s="1">
        <f t="shared" si="11"/>
        <v>43647</v>
      </c>
      <c r="B897" t="s">
        <v>106</v>
      </c>
      <c r="C897">
        <v>241015</v>
      </c>
    </row>
    <row r="898" spans="1:3" x14ac:dyDescent="0.25">
      <c r="A898" s="1">
        <f t="shared" si="11"/>
        <v>43647</v>
      </c>
      <c r="B898" t="s">
        <v>107</v>
      </c>
      <c r="C898">
        <v>168724</v>
      </c>
    </row>
    <row r="899" spans="1:3" x14ac:dyDescent="0.25">
      <c r="A899" s="1">
        <f t="shared" si="11"/>
        <v>43647</v>
      </c>
      <c r="B899" t="s">
        <v>108</v>
      </c>
      <c r="C899">
        <v>86960</v>
      </c>
    </row>
    <row r="900" spans="1:3" x14ac:dyDescent="0.25">
      <c r="A900" s="1">
        <f t="shared" si="11"/>
        <v>43647</v>
      </c>
      <c r="B900" t="s">
        <v>109</v>
      </c>
      <c r="C900">
        <v>159486</v>
      </c>
    </row>
    <row r="901" spans="1:3" x14ac:dyDescent="0.25">
      <c r="A901" s="1">
        <f t="shared" si="11"/>
        <v>43647</v>
      </c>
      <c r="B901" t="s">
        <v>110</v>
      </c>
      <c r="C901">
        <v>-1272</v>
      </c>
    </row>
    <row r="902" spans="1:3" x14ac:dyDescent="0.25">
      <c r="A902" s="1">
        <f t="shared" si="11"/>
        <v>43647</v>
      </c>
      <c r="B902" t="s">
        <v>111</v>
      </c>
      <c r="C902">
        <v>-8580</v>
      </c>
    </row>
    <row r="903" spans="1:3" x14ac:dyDescent="0.25">
      <c r="A903" s="1">
        <f t="shared" si="11"/>
        <v>43647</v>
      </c>
      <c r="B903" t="s">
        <v>112</v>
      </c>
      <c r="C903">
        <v>-1573</v>
      </c>
    </row>
    <row r="904" spans="1:3" x14ac:dyDescent="0.25">
      <c r="A904" s="1">
        <f t="shared" si="11"/>
        <v>43647</v>
      </c>
      <c r="B904" t="s">
        <v>113</v>
      </c>
      <c r="C904">
        <v>-1233</v>
      </c>
    </row>
    <row r="905" spans="1:3" x14ac:dyDescent="0.25">
      <c r="A905" s="1">
        <f t="shared" si="11"/>
        <v>43647</v>
      </c>
      <c r="B905" t="s">
        <v>114</v>
      </c>
      <c r="C905">
        <v>-7908</v>
      </c>
    </row>
    <row r="906" spans="1:3" x14ac:dyDescent="0.25">
      <c r="A906" s="1">
        <f t="shared" si="11"/>
        <v>43647</v>
      </c>
      <c r="B906" t="s">
        <v>115</v>
      </c>
      <c r="C906">
        <v>-7314</v>
      </c>
    </row>
    <row r="907" spans="1:3" x14ac:dyDescent="0.25">
      <c r="A907" s="1">
        <f t="shared" si="11"/>
        <v>43647</v>
      </c>
      <c r="B907" t="s">
        <v>116</v>
      </c>
      <c r="C907">
        <v>-1433</v>
      </c>
    </row>
    <row r="908" spans="1:3" x14ac:dyDescent="0.25">
      <c r="A908" s="1">
        <f t="shared" si="11"/>
        <v>43647</v>
      </c>
      <c r="B908" t="s">
        <v>117</v>
      </c>
      <c r="C908">
        <v>-3524</v>
      </c>
    </row>
    <row r="909" spans="1:3" x14ac:dyDescent="0.25">
      <c r="A909" s="1">
        <f t="shared" si="11"/>
        <v>43647</v>
      </c>
      <c r="B909" t="s">
        <v>118</v>
      </c>
      <c r="C909">
        <v>-1550</v>
      </c>
    </row>
    <row r="910" spans="1:3" x14ac:dyDescent="0.25">
      <c r="A910" s="1">
        <f t="shared" si="11"/>
        <v>43647</v>
      </c>
      <c r="B910" t="s">
        <v>119</v>
      </c>
      <c r="C910">
        <v>-6338</v>
      </c>
    </row>
    <row r="911" spans="1:3" x14ac:dyDescent="0.25">
      <c r="A911" s="1">
        <f t="shared" ref="A911:A974" si="12">EDATE(A771,1)</f>
        <v>43647</v>
      </c>
      <c r="B911" t="s">
        <v>120</v>
      </c>
      <c r="C911">
        <v>-2592</v>
      </c>
    </row>
    <row r="912" spans="1:3" x14ac:dyDescent="0.25">
      <c r="A912" s="1">
        <f t="shared" si="12"/>
        <v>43647</v>
      </c>
      <c r="B912" t="s">
        <v>121</v>
      </c>
      <c r="C912">
        <v>-9505</v>
      </c>
    </row>
    <row r="913" spans="1:3" x14ac:dyDescent="0.25">
      <c r="A913" s="1">
        <f t="shared" si="12"/>
        <v>43647</v>
      </c>
      <c r="B913" t="s">
        <v>122</v>
      </c>
      <c r="C913">
        <v>-1130</v>
      </c>
    </row>
    <row r="914" spans="1:3" x14ac:dyDescent="0.25">
      <c r="A914" s="1">
        <f t="shared" si="12"/>
        <v>43647</v>
      </c>
      <c r="B914" t="s">
        <v>123</v>
      </c>
      <c r="C914">
        <v>-2146</v>
      </c>
    </row>
    <row r="915" spans="1:3" x14ac:dyDescent="0.25">
      <c r="A915" s="1">
        <f t="shared" si="12"/>
        <v>43647</v>
      </c>
      <c r="B915" t="s">
        <v>124</v>
      </c>
      <c r="C915">
        <v>-3959</v>
      </c>
    </row>
    <row r="916" spans="1:3" x14ac:dyDescent="0.25">
      <c r="A916" s="1">
        <f t="shared" si="12"/>
        <v>43647</v>
      </c>
      <c r="B916" t="s">
        <v>125</v>
      </c>
      <c r="C916">
        <v>-9815</v>
      </c>
    </row>
    <row r="917" spans="1:3" x14ac:dyDescent="0.25">
      <c r="A917" s="1">
        <f t="shared" si="12"/>
        <v>43647</v>
      </c>
      <c r="B917" t="s">
        <v>126</v>
      </c>
      <c r="C917">
        <v>-3694</v>
      </c>
    </row>
    <row r="918" spans="1:3" x14ac:dyDescent="0.25">
      <c r="A918" s="1">
        <f t="shared" si="12"/>
        <v>43647</v>
      </c>
      <c r="B918" t="s">
        <v>127</v>
      </c>
      <c r="C918">
        <v>-7245</v>
      </c>
    </row>
    <row r="919" spans="1:3" x14ac:dyDescent="0.25">
      <c r="A919" s="1">
        <f t="shared" si="12"/>
        <v>43647</v>
      </c>
      <c r="B919" t="s">
        <v>128</v>
      </c>
      <c r="C919">
        <v>-2321</v>
      </c>
    </row>
    <row r="920" spans="1:3" x14ac:dyDescent="0.25">
      <c r="A920" s="1">
        <f t="shared" si="12"/>
        <v>43647</v>
      </c>
      <c r="B920" t="s">
        <v>129</v>
      </c>
      <c r="C920">
        <v>-4408</v>
      </c>
    </row>
    <row r="921" spans="1:3" x14ac:dyDescent="0.25">
      <c r="A921" s="1">
        <f t="shared" si="12"/>
        <v>43647</v>
      </c>
      <c r="B921" t="s">
        <v>130</v>
      </c>
      <c r="C921">
        <v>-4225</v>
      </c>
    </row>
    <row r="922" spans="1:3" x14ac:dyDescent="0.25">
      <c r="A922" s="1">
        <f t="shared" si="12"/>
        <v>43647</v>
      </c>
      <c r="B922" t="s">
        <v>131</v>
      </c>
      <c r="C922">
        <v>-9956</v>
      </c>
    </row>
    <row r="923" spans="1:3" x14ac:dyDescent="0.25">
      <c r="A923" s="1">
        <f t="shared" si="12"/>
        <v>43647</v>
      </c>
      <c r="B923" t="s">
        <v>132</v>
      </c>
      <c r="C923">
        <v>-5908</v>
      </c>
    </row>
    <row r="924" spans="1:3" x14ac:dyDescent="0.25">
      <c r="A924" s="1">
        <f t="shared" si="12"/>
        <v>43647</v>
      </c>
      <c r="B924" t="s">
        <v>133</v>
      </c>
      <c r="C924">
        <v>-9324</v>
      </c>
    </row>
    <row r="925" spans="1:3" x14ac:dyDescent="0.25">
      <c r="A925" s="1">
        <f t="shared" si="12"/>
        <v>43647</v>
      </c>
      <c r="B925" t="s">
        <v>134</v>
      </c>
      <c r="C925">
        <v>-9947</v>
      </c>
    </row>
    <row r="926" spans="1:3" x14ac:dyDescent="0.25">
      <c r="A926" s="1">
        <f t="shared" si="12"/>
        <v>43647</v>
      </c>
      <c r="B926" t="s">
        <v>135</v>
      </c>
      <c r="C926">
        <v>-4196</v>
      </c>
    </row>
    <row r="927" spans="1:3" x14ac:dyDescent="0.25">
      <c r="A927" s="1">
        <f t="shared" si="12"/>
        <v>43647</v>
      </c>
      <c r="B927" t="s">
        <v>136</v>
      </c>
      <c r="C927">
        <v>-5572</v>
      </c>
    </row>
    <row r="928" spans="1:3" x14ac:dyDescent="0.25">
      <c r="A928" s="1">
        <f t="shared" si="12"/>
        <v>43647</v>
      </c>
      <c r="B928" t="s">
        <v>137</v>
      </c>
      <c r="C928">
        <v>-8484</v>
      </c>
    </row>
    <row r="929" spans="1:3" x14ac:dyDescent="0.25">
      <c r="A929" s="1">
        <f t="shared" si="12"/>
        <v>43647</v>
      </c>
      <c r="B929" t="s">
        <v>138</v>
      </c>
      <c r="C929">
        <v>-8377</v>
      </c>
    </row>
    <row r="930" spans="1:3" x14ac:dyDescent="0.25">
      <c r="A930" s="1">
        <f t="shared" si="12"/>
        <v>43647</v>
      </c>
      <c r="B930" t="s">
        <v>139</v>
      </c>
      <c r="C930">
        <v>-6419</v>
      </c>
    </row>
    <row r="931" spans="1:3" x14ac:dyDescent="0.25">
      <c r="A931" s="1">
        <f t="shared" si="12"/>
        <v>43647</v>
      </c>
      <c r="B931" t="s">
        <v>140</v>
      </c>
      <c r="C931">
        <v>-128409</v>
      </c>
    </row>
    <row r="932" spans="1:3" x14ac:dyDescent="0.25">
      <c r="A932" s="1">
        <f t="shared" si="12"/>
        <v>43647</v>
      </c>
      <c r="B932" t="s">
        <v>141</v>
      </c>
      <c r="C932">
        <v>-174699</v>
      </c>
    </row>
    <row r="933" spans="1:3" x14ac:dyDescent="0.25">
      <c r="A933" s="1">
        <f t="shared" si="12"/>
        <v>43647</v>
      </c>
      <c r="B933" t="s">
        <v>142</v>
      </c>
      <c r="C933">
        <v>-76508</v>
      </c>
    </row>
    <row r="934" spans="1:3" x14ac:dyDescent="0.25">
      <c r="A934" s="1">
        <f t="shared" si="12"/>
        <v>43647</v>
      </c>
      <c r="B934" t="s">
        <v>143</v>
      </c>
      <c r="C934">
        <v>-195029</v>
      </c>
    </row>
    <row r="935" spans="1:3" x14ac:dyDescent="0.25">
      <c r="A935" s="1">
        <f t="shared" si="12"/>
        <v>43647</v>
      </c>
      <c r="B935" t="s">
        <v>144</v>
      </c>
      <c r="C935">
        <v>-89138</v>
      </c>
    </row>
    <row r="936" spans="1:3" x14ac:dyDescent="0.25">
      <c r="A936" s="1">
        <f t="shared" si="12"/>
        <v>43647</v>
      </c>
      <c r="B936" t="s">
        <v>145</v>
      </c>
      <c r="C936">
        <v>-198026</v>
      </c>
    </row>
    <row r="937" spans="1:3" x14ac:dyDescent="0.25">
      <c r="A937" s="1">
        <f t="shared" si="12"/>
        <v>43647</v>
      </c>
      <c r="B937" t="s">
        <v>146</v>
      </c>
      <c r="C937">
        <v>-188091</v>
      </c>
    </row>
    <row r="938" spans="1:3" x14ac:dyDescent="0.25">
      <c r="A938" s="1">
        <f t="shared" si="12"/>
        <v>43647</v>
      </c>
      <c r="B938" t="s">
        <v>147</v>
      </c>
      <c r="C938">
        <v>-193850</v>
      </c>
    </row>
    <row r="939" spans="1:3" x14ac:dyDescent="0.25">
      <c r="A939" s="1">
        <f t="shared" si="12"/>
        <v>43647</v>
      </c>
      <c r="B939" t="s">
        <v>148</v>
      </c>
      <c r="C939">
        <v>-231117</v>
      </c>
    </row>
    <row r="940" spans="1:3" x14ac:dyDescent="0.25">
      <c r="A940" s="1">
        <f t="shared" si="12"/>
        <v>43647</v>
      </c>
      <c r="B940" t="s">
        <v>149</v>
      </c>
      <c r="C940">
        <v>-256686</v>
      </c>
    </row>
    <row r="941" spans="1:3" x14ac:dyDescent="0.25">
      <c r="A941" s="1">
        <f t="shared" si="12"/>
        <v>43647</v>
      </c>
      <c r="B941" t="s">
        <v>150</v>
      </c>
      <c r="C941">
        <v>-82092</v>
      </c>
    </row>
    <row r="942" spans="1:3" x14ac:dyDescent="0.25">
      <c r="A942" s="1">
        <f t="shared" si="12"/>
        <v>43647</v>
      </c>
      <c r="B942" t="s">
        <v>151</v>
      </c>
      <c r="C942">
        <v>-130225</v>
      </c>
    </row>
    <row r="943" spans="1:3" x14ac:dyDescent="0.25">
      <c r="A943" s="1">
        <f t="shared" si="12"/>
        <v>43647</v>
      </c>
      <c r="B943" t="s">
        <v>152</v>
      </c>
      <c r="C943">
        <v>-101034</v>
      </c>
    </row>
    <row r="944" spans="1:3" x14ac:dyDescent="0.25">
      <c r="A944" s="1">
        <f t="shared" si="12"/>
        <v>43647</v>
      </c>
      <c r="B944" t="s">
        <v>153</v>
      </c>
      <c r="C944">
        <v>-100649</v>
      </c>
    </row>
    <row r="945" spans="1:3" x14ac:dyDescent="0.25">
      <c r="A945" s="1">
        <f t="shared" si="12"/>
        <v>43647</v>
      </c>
      <c r="B945" t="s">
        <v>154</v>
      </c>
      <c r="C945">
        <v>-146918</v>
      </c>
    </row>
    <row r="946" spans="1:3" x14ac:dyDescent="0.25">
      <c r="A946" s="1">
        <f t="shared" si="12"/>
        <v>43647</v>
      </c>
      <c r="B946" t="s">
        <v>155</v>
      </c>
      <c r="C946">
        <v>-228120</v>
      </c>
    </row>
    <row r="947" spans="1:3" x14ac:dyDescent="0.25">
      <c r="A947" s="1">
        <f t="shared" si="12"/>
        <v>43647</v>
      </c>
      <c r="B947" t="s">
        <v>156</v>
      </c>
      <c r="C947">
        <v>-100904</v>
      </c>
    </row>
    <row r="948" spans="1:3" x14ac:dyDescent="0.25">
      <c r="A948" s="1">
        <f t="shared" si="12"/>
        <v>43647</v>
      </c>
      <c r="B948" t="s">
        <v>157</v>
      </c>
      <c r="C948">
        <v>-174745</v>
      </c>
    </row>
    <row r="949" spans="1:3" x14ac:dyDescent="0.25">
      <c r="A949" s="1">
        <f t="shared" si="12"/>
        <v>43647</v>
      </c>
      <c r="B949" t="s">
        <v>158</v>
      </c>
      <c r="C949">
        <v>-293818</v>
      </c>
    </row>
    <row r="950" spans="1:3" x14ac:dyDescent="0.25">
      <c r="A950" s="1">
        <f t="shared" si="12"/>
        <v>43647</v>
      </c>
      <c r="B950" t="s">
        <v>159</v>
      </c>
      <c r="C950">
        <v>-94330</v>
      </c>
    </row>
    <row r="951" spans="1:3" x14ac:dyDescent="0.25">
      <c r="A951" s="1">
        <f t="shared" si="12"/>
        <v>43647</v>
      </c>
      <c r="B951" t="s">
        <v>160</v>
      </c>
      <c r="C951">
        <v>-161930</v>
      </c>
    </row>
    <row r="952" spans="1:3" x14ac:dyDescent="0.25">
      <c r="A952" s="1">
        <f t="shared" si="12"/>
        <v>43647</v>
      </c>
      <c r="B952" t="s">
        <v>161</v>
      </c>
      <c r="C952">
        <v>-140462</v>
      </c>
    </row>
    <row r="953" spans="1:3" x14ac:dyDescent="0.25">
      <c r="A953" s="1">
        <f t="shared" si="12"/>
        <v>43647</v>
      </c>
      <c r="B953" t="s">
        <v>162</v>
      </c>
      <c r="C953">
        <v>-184031</v>
      </c>
    </row>
    <row r="954" spans="1:3" x14ac:dyDescent="0.25">
      <c r="A954" s="1">
        <f t="shared" si="12"/>
        <v>43647</v>
      </c>
      <c r="B954" t="s">
        <v>163</v>
      </c>
      <c r="C954">
        <v>-282492</v>
      </c>
    </row>
    <row r="955" spans="1:3" x14ac:dyDescent="0.25">
      <c r="A955" s="1">
        <f t="shared" si="12"/>
        <v>43647</v>
      </c>
      <c r="B955" t="s">
        <v>164</v>
      </c>
      <c r="C955">
        <v>-81287</v>
      </c>
    </row>
    <row r="956" spans="1:3" x14ac:dyDescent="0.25">
      <c r="A956" s="1">
        <f t="shared" si="12"/>
        <v>43647</v>
      </c>
      <c r="B956" t="s">
        <v>165</v>
      </c>
      <c r="C956">
        <v>-52605</v>
      </c>
    </row>
    <row r="957" spans="1:3" x14ac:dyDescent="0.25">
      <c r="A957" s="1">
        <f t="shared" si="12"/>
        <v>43647</v>
      </c>
      <c r="B957" t="s">
        <v>166</v>
      </c>
      <c r="C957">
        <v>-93291</v>
      </c>
    </row>
    <row r="958" spans="1:3" x14ac:dyDescent="0.25">
      <c r="A958" s="1">
        <f t="shared" si="12"/>
        <v>43647</v>
      </c>
      <c r="B958" t="s">
        <v>167</v>
      </c>
      <c r="C958">
        <v>-272061</v>
      </c>
    </row>
    <row r="959" spans="1:3" x14ac:dyDescent="0.25">
      <c r="A959" s="1">
        <f t="shared" si="12"/>
        <v>43647</v>
      </c>
      <c r="B959" t="s">
        <v>168</v>
      </c>
      <c r="C959">
        <v>-101379</v>
      </c>
    </row>
    <row r="960" spans="1:3" x14ac:dyDescent="0.25">
      <c r="A960" s="1">
        <f t="shared" si="12"/>
        <v>43647</v>
      </c>
      <c r="B960" t="s">
        <v>169</v>
      </c>
      <c r="C960">
        <v>-317661</v>
      </c>
    </row>
    <row r="961" spans="1:3" x14ac:dyDescent="0.25">
      <c r="A961" s="1">
        <f t="shared" si="12"/>
        <v>43647</v>
      </c>
      <c r="B961" t="s">
        <v>170</v>
      </c>
      <c r="C961">
        <v>-380867</v>
      </c>
    </row>
    <row r="962" spans="1:3" x14ac:dyDescent="0.25">
      <c r="A962" s="1">
        <f t="shared" si="12"/>
        <v>43647</v>
      </c>
      <c r="B962" t="s">
        <v>171</v>
      </c>
      <c r="C962">
        <v>-296786</v>
      </c>
    </row>
    <row r="963" spans="1:3" x14ac:dyDescent="0.25">
      <c r="A963" s="1">
        <f t="shared" si="12"/>
        <v>43647</v>
      </c>
      <c r="B963" t="s">
        <v>172</v>
      </c>
      <c r="C963">
        <v>-313174</v>
      </c>
    </row>
    <row r="964" spans="1:3" x14ac:dyDescent="0.25">
      <c r="A964" s="1">
        <f t="shared" si="12"/>
        <v>43647</v>
      </c>
      <c r="B964" t="s">
        <v>173</v>
      </c>
      <c r="C964">
        <v>-49243</v>
      </c>
    </row>
    <row r="965" spans="1:3" x14ac:dyDescent="0.25">
      <c r="A965" s="1">
        <f t="shared" si="12"/>
        <v>43647</v>
      </c>
      <c r="B965" t="s">
        <v>174</v>
      </c>
      <c r="C965">
        <v>-43357</v>
      </c>
    </row>
    <row r="966" spans="1:3" x14ac:dyDescent="0.25">
      <c r="A966" s="1">
        <f t="shared" si="12"/>
        <v>43647</v>
      </c>
      <c r="B966" t="s">
        <v>175</v>
      </c>
      <c r="C966">
        <v>-58587</v>
      </c>
    </row>
    <row r="967" spans="1:3" x14ac:dyDescent="0.25">
      <c r="A967" s="1">
        <f t="shared" si="12"/>
        <v>43647</v>
      </c>
      <c r="B967" t="s">
        <v>176</v>
      </c>
      <c r="C967">
        <v>-52611</v>
      </c>
    </row>
    <row r="968" spans="1:3" x14ac:dyDescent="0.25">
      <c r="A968" s="1">
        <f t="shared" si="12"/>
        <v>43647</v>
      </c>
      <c r="B968" t="s">
        <v>177</v>
      </c>
      <c r="C968">
        <v>-47449</v>
      </c>
    </row>
    <row r="969" spans="1:3" x14ac:dyDescent="0.25">
      <c r="A969" s="1">
        <f t="shared" si="12"/>
        <v>43647</v>
      </c>
      <c r="B969" t="s">
        <v>178</v>
      </c>
      <c r="C969">
        <v>-128428</v>
      </c>
    </row>
    <row r="970" spans="1:3" x14ac:dyDescent="0.25">
      <c r="A970" s="1">
        <f t="shared" si="12"/>
        <v>43647</v>
      </c>
      <c r="B970" t="s">
        <v>179</v>
      </c>
      <c r="C970">
        <v>-150980</v>
      </c>
    </row>
    <row r="971" spans="1:3" x14ac:dyDescent="0.25">
      <c r="A971" s="1">
        <f t="shared" si="12"/>
        <v>43647</v>
      </c>
      <c r="B971" t="s">
        <v>180</v>
      </c>
      <c r="C971">
        <v>-159426</v>
      </c>
    </row>
    <row r="972" spans="1:3" x14ac:dyDescent="0.25">
      <c r="A972" s="1">
        <f t="shared" si="12"/>
        <v>43647</v>
      </c>
      <c r="B972" t="s">
        <v>181</v>
      </c>
      <c r="C972">
        <v>-68918</v>
      </c>
    </row>
    <row r="973" spans="1:3" x14ac:dyDescent="0.25">
      <c r="A973" s="1">
        <f t="shared" si="12"/>
        <v>43647</v>
      </c>
      <c r="B973" t="s">
        <v>182</v>
      </c>
      <c r="C973">
        <v>-53302</v>
      </c>
    </row>
    <row r="974" spans="1:3" x14ac:dyDescent="0.25">
      <c r="A974" s="1">
        <f t="shared" si="12"/>
        <v>43647</v>
      </c>
      <c r="B974" t="s">
        <v>183</v>
      </c>
      <c r="C974">
        <v>-66289</v>
      </c>
    </row>
    <row r="975" spans="1:3" x14ac:dyDescent="0.25">
      <c r="A975" s="1">
        <f t="shared" ref="A975:A1038" si="13">EDATE(A835,1)</f>
        <v>43647</v>
      </c>
      <c r="B975" t="s">
        <v>184</v>
      </c>
      <c r="C975">
        <v>-56891</v>
      </c>
    </row>
    <row r="976" spans="1:3" x14ac:dyDescent="0.25">
      <c r="A976" s="1">
        <f t="shared" si="13"/>
        <v>43647</v>
      </c>
      <c r="B976" t="s">
        <v>185</v>
      </c>
      <c r="C976">
        <v>-85540</v>
      </c>
    </row>
    <row r="977" spans="1:3" x14ac:dyDescent="0.25">
      <c r="A977" s="1">
        <f t="shared" si="13"/>
        <v>43647</v>
      </c>
      <c r="B977" t="s">
        <v>186</v>
      </c>
      <c r="C977">
        <v>-115267</v>
      </c>
    </row>
    <row r="978" spans="1:3" x14ac:dyDescent="0.25">
      <c r="A978" s="1">
        <f t="shared" si="13"/>
        <v>43647</v>
      </c>
      <c r="B978" t="s">
        <v>187</v>
      </c>
      <c r="C978">
        <v>-135599</v>
      </c>
    </row>
    <row r="979" spans="1:3" x14ac:dyDescent="0.25">
      <c r="A979" s="1">
        <f t="shared" si="13"/>
        <v>43647</v>
      </c>
      <c r="B979" t="s">
        <v>188</v>
      </c>
      <c r="C979">
        <v>-181143</v>
      </c>
    </row>
    <row r="980" spans="1:3" x14ac:dyDescent="0.25">
      <c r="A980" s="1">
        <f t="shared" si="13"/>
        <v>43647</v>
      </c>
      <c r="B980" t="s">
        <v>189</v>
      </c>
      <c r="C980">
        <v>-11229</v>
      </c>
    </row>
    <row r="981" spans="1:3" x14ac:dyDescent="0.25">
      <c r="A981" s="1">
        <f t="shared" si="13"/>
        <v>43647</v>
      </c>
      <c r="B981" t="s">
        <v>190</v>
      </c>
      <c r="C981">
        <v>-19898</v>
      </c>
    </row>
    <row r="982" spans="1:3" x14ac:dyDescent="0.25">
      <c r="A982" s="1">
        <f t="shared" si="13"/>
        <v>43678</v>
      </c>
      <c r="B982" t="s">
        <v>51</v>
      </c>
      <c r="C982">
        <v>853171</v>
      </c>
    </row>
    <row r="983" spans="1:3" x14ac:dyDescent="0.25">
      <c r="A983" s="1">
        <f t="shared" si="13"/>
        <v>43678</v>
      </c>
      <c r="B983" t="s">
        <v>52</v>
      </c>
      <c r="C983">
        <v>758039</v>
      </c>
    </row>
    <row r="984" spans="1:3" x14ac:dyDescent="0.25">
      <c r="A984" s="1">
        <f t="shared" si="13"/>
        <v>43678</v>
      </c>
      <c r="B984" t="s">
        <v>53</v>
      </c>
      <c r="C984">
        <v>384197</v>
      </c>
    </row>
    <row r="985" spans="1:3" x14ac:dyDescent="0.25">
      <c r="A985" s="1">
        <f t="shared" si="13"/>
        <v>43678</v>
      </c>
      <c r="B985" t="s">
        <v>54</v>
      </c>
      <c r="C985">
        <v>647761</v>
      </c>
    </row>
    <row r="986" spans="1:3" x14ac:dyDescent="0.25">
      <c r="A986" s="1">
        <f t="shared" si="13"/>
        <v>43678</v>
      </c>
      <c r="B986" t="s">
        <v>55</v>
      </c>
      <c r="C986">
        <v>978332</v>
      </c>
    </row>
    <row r="987" spans="1:3" x14ac:dyDescent="0.25">
      <c r="A987" s="1">
        <f t="shared" si="13"/>
        <v>43678</v>
      </c>
      <c r="B987" t="s">
        <v>56</v>
      </c>
      <c r="C987">
        <v>442642</v>
      </c>
    </row>
    <row r="988" spans="1:3" x14ac:dyDescent="0.25">
      <c r="A988" s="1">
        <f t="shared" si="13"/>
        <v>43678</v>
      </c>
      <c r="B988" t="s">
        <v>57</v>
      </c>
      <c r="C988">
        <v>907628</v>
      </c>
    </row>
    <row r="989" spans="1:3" x14ac:dyDescent="0.25">
      <c r="A989" s="1">
        <f t="shared" si="13"/>
        <v>43678</v>
      </c>
      <c r="B989" t="s">
        <v>58</v>
      </c>
      <c r="C989">
        <v>681089</v>
      </c>
    </row>
    <row r="990" spans="1:3" x14ac:dyDescent="0.25">
      <c r="A990" s="1">
        <f t="shared" si="13"/>
        <v>43678</v>
      </c>
      <c r="B990" t="s">
        <v>59</v>
      </c>
      <c r="C990">
        <v>929125</v>
      </c>
    </row>
    <row r="991" spans="1:3" x14ac:dyDescent="0.25">
      <c r="A991" s="1">
        <f t="shared" si="13"/>
        <v>43678</v>
      </c>
      <c r="B991" t="s">
        <v>60</v>
      </c>
      <c r="C991">
        <v>730121</v>
      </c>
    </row>
    <row r="992" spans="1:3" x14ac:dyDescent="0.25">
      <c r="A992" s="1">
        <f t="shared" si="13"/>
        <v>43678</v>
      </c>
      <c r="B992" t="s">
        <v>61</v>
      </c>
      <c r="C992">
        <v>696374</v>
      </c>
    </row>
    <row r="993" spans="1:3" x14ac:dyDescent="0.25">
      <c r="A993" s="1">
        <f t="shared" si="13"/>
        <v>43678</v>
      </c>
      <c r="B993" t="s">
        <v>62</v>
      </c>
      <c r="C993">
        <v>858657</v>
      </c>
    </row>
    <row r="994" spans="1:3" x14ac:dyDescent="0.25">
      <c r="A994" s="1">
        <f t="shared" si="13"/>
        <v>43678</v>
      </c>
      <c r="B994" t="s">
        <v>63</v>
      </c>
      <c r="C994">
        <v>589979</v>
      </c>
    </row>
    <row r="995" spans="1:3" x14ac:dyDescent="0.25">
      <c r="A995" s="1">
        <f t="shared" si="13"/>
        <v>43678</v>
      </c>
      <c r="B995" t="s">
        <v>64</v>
      </c>
      <c r="C995">
        <v>341112</v>
      </c>
    </row>
    <row r="996" spans="1:3" x14ac:dyDescent="0.25">
      <c r="A996" s="1">
        <f t="shared" si="13"/>
        <v>43678</v>
      </c>
      <c r="B996" t="s">
        <v>65</v>
      </c>
      <c r="C996">
        <v>550989</v>
      </c>
    </row>
    <row r="997" spans="1:3" x14ac:dyDescent="0.25">
      <c r="A997" s="1">
        <f t="shared" si="13"/>
        <v>43678</v>
      </c>
      <c r="B997" t="s">
        <v>66</v>
      </c>
      <c r="C997">
        <v>954173</v>
      </c>
    </row>
    <row r="998" spans="1:3" x14ac:dyDescent="0.25">
      <c r="A998" s="1">
        <f t="shared" si="13"/>
        <v>43678</v>
      </c>
      <c r="B998" t="s">
        <v>67</v>
      </c>
      <c r="C998">
        <v>688514</v>
      </c>
    </row>
    <row r="999" spans="1:3" x14ac:dyDescent="0.25">
      <c r="A999" s="1">
        <f t="shared" si="13"/>
        <v>43678</v>
      </c>
      <c r="B999" t="s">
        <v>68</v>
      </c>
      <c r="C999">
        <v>754209</v>
      </c>
    </row>
    <row r="1000" spans="1:3" x14ac:dyDescent="0.25">
      <c r="A1000" s="1">
        <f t="shared" si="13"/>
        <v>43678</v>
      </c>
      <c r="B1000" t="s">
        <v>69</v>
      </c>
      <c r="C1000">
        <v>325418</v>
      </c>
    </row>
    <row r="1001" spans="1:3" x14ac:dyDescent="0.25">
      <c r="A1001" s="1">
        <f t="shared" si="13"/>
        <v>43678</v>
      </c>
      <c r="B1001" t="s">
        <v>70</v>
      </c>
      <c r="C1001">
        <v>810850</v>
      </c>
    </row>
    <row r="1002" spans="1:3" x14ac:dyDescent="0.25">
      <c r="A1002" s="1">
        <f t="shared" si="13"/>
        <v>43678</v>
      </c>
      <c r="B1002" t="s">
        <v>71</v>
      </c>
      <c r="C1002">
        <v>888204</v>
      </c>
    </row>
    <row r="1003" spans="1:3" x14ac:dyDescent="0.25">
      <c r="A1003" s="1">
        <f t="shared" si="13"/>
        <v>43678</v>
      </c>
      <c r="B1003" t="s">
        <v>72</v>
      </c>
      <c r="C1003">
        <v>539565</v>
      </c>
    </row>
    <row r="1004" spans="1:3" x14ac:dyDescent="0.25">
      <c r="A1004" s="1">
        <f t="shared" si="13"/>
        <v>43678</v>
      </c>
      <c r="B1004" t="s">
        <v>73</v>
      </c>
      <c r="C1004">
        <v>276133</v>
      </c>
    </row>
    <row r="1005" spans="1:3" x14ac:dyDescent="0.25">
      <c r="A1005" s="1">
        <f t="shared" si="13"/>
        <v>43678</v>
      </c>
      <c r="B1005" t="s">
        <v>74</v>
      </c>
      <c r="C1005">
        <v>154010</v>
      </c>
    </row>
    <row r="1006" spans="1:3" x14ac:dyDescent="0.25">
      <c r="A1006" s="1">
        <f t="shared" si="13"/>
        <v>43678</v>
      </c>
      <c r="B1006" t="s">
        <v>75</v>
      </c>
      <c r="C1006">
        <v>90790</v>
      </c>
    </row>
    <row r="1007" spans="1:3" x14ac:dyDescent="0.25">
      <c r="A1007" s="1">
        <f t="shared" si="13"/>
        <v>43678</v>
      </c>
      <c r="B1007" t="s">
        <v>76</v>
      </c>
      <c r="C1007">
        <v>180484</v>
      </c>
    </row>
    <row r="1008" spans="1:3" x14ac:dyDescent="0.25">
      <c r="A1008" s="1">
        <f t="shared" si="13"/>
        <v>43678</v>
      </c>
      <c r="B1008" t="s">
        <v>77</v>
      </c>
      <c r="C1008">
        <v>204849</v>
      </c>
    </row>
    <row r="1009" spans="1:3" x14ac:dyDescent="0.25">
      <c r="A1009" s="1">
        <f t="shared" si="13"/>
        <v>43678</v>
      </c>
      <c r="B1009" t="s">
        <v>78</v>
      </c>
      <c r="C1009">
        <v>132623</v>
      </c>
    </row>
    <row r="1010" spans="1:3" x14ac:dyDescent="0.25">
      <c r="A1010" s="1">
        <f t="shared" si="13"/>
        <v>43678</v>
      </c>
      <c r="B1010" t="s">
        <v>79</v>
      </c>
      <c r="C1010">
        <v>198416</v>
      </c>
    </row>
    <row r="1011" spans="1:3" x14ac:dyDescent="0.25">
      <c r="A1011" s="1">
        <f t="shared" si="13"/>
        <v>43678</v>
      </c>
      <c r="B1011" t="s">
        <v>80</v>
      </c>
      <c r="C1011">
        <v>278703</v>
      </c>
    </row>
    <row r="1012" spans="1:3" x14ac:dyDescent="0.25">
      <c r="A1012" s="1">
        <f t="shared" si="13"/>
        <v>43678</v>
      </c>
      <c r="B1012" t="s">
        <v>81</v>
      </c>
      <c r="C1012">
        <v>85073</v>
      </c>
    </row>
    <row r="1013" spans="1:3" x14ac:dyDescent="0.25">
      <c r="A1013" s="1">
        <f t="shared" si="13"/>
        <v>43678</v>
      </c>
      <c r="B1013" t="s">
        <v>82</v>
      </c>
      <c r="C1013">
        <v>218292</v>
      </c>
    </row>
    <row r="1014" spans="1:3" x14ac:dyDescent="0.25">
      <c r="A1014" s="1">
        <f t="shared" si="13"/>
        <v>43678</v>
      </c>
      <c r="B1014" t="s">
        <v>83</v>
      </c>
      <c r="C1014">
        <v>281817</v>
      </c>
    </row>
    <row r="1015" spans="1:3" x14ac:dyDescent="0.25">
      <c r="A1015" s="1">
        <f t="shared" si="13"/>
        <v>43678</v>
      </c>
      <c r="B1015" t="s">
        <v>84</v>
      </c>
      <c r="C1015">
        <v>83392</v>
      </c>
    </row>
    <row r="1016" spans="1:3" x14ac:dyDescent="0.25">
      <c r="A1016" s="1">
        <f t="shared" si="13"/>
        <v>43678</v>
      </c>
      <c r="B1016" t="s">
        <v>85</v>
      </c>
      <c r="C1016">
        <v>91004</v>
      </c>
    </row>
    <row r="1017" spans="1:3" x14ac:dyDescent="0.25">
      <c r="A1017" s="1">
        <f t="shared" si="13"/>
        <v>43678</v>
      </c>
      <c r="B1017" t="s">
        <v>86</v>
      </c>
      <c r="C1017">
        <v>254955</v>
      </c>
    </row>
    <row r="1018" spans="1:3" x14ac:dyDescent="0.25">
      <c r="A1018" s="1">
        <f t="shared" si="13"/>
        <v>43678</v>
      </c>
      <c r="B1018" t="s">
        <v>87</v>
      </c>
      <c r="C1018">
        <v>79617</v>
      </c>
    </row>
    <row r="1019" spans="1:3" x14ac:dyDescent="0.25">
      <c r="A1019" s="1">
        <f t="shared" si="13"/>
        <v>43678</v>
      </c>
      <c r="B1019" t="s">
        <v>88</v>
      </c>
      <c r="C1019">
        <v>142638</v>
      </c>
    </row>
    <row r="1020" spans="1:3" x14ac:dyDescent="0.25">
      <c r="A1020" s="1">
        <f t="shared" si="13"/>
        <v>43678</v>
      </c>
      <c r="B1020" t="s">
        <v>89</v>
      </c>
      <c r="C1020">
        <v>95467</v>
      </c>
    </row>
    <row r="1021" spans="1:3" x14ac:dyDescent="0.25">
      <c r="A1021" s="1">
        <f t="shared" si="13"/>
        <v>43678</v>
      </c>
      <c r="B1021" t="s">
        <v>90</v>
      </c>
      <c r="C1021">
        <v>188913</v>
      </c>
    </row>
    <row r="1022" spans="1:3" x14ac:dyDescent="0.25">
      <c r="A1022" s="1">
        <f t="shared" si="13"/>
        <v>43678</v>
      </c>
      <c r="B1022" t="s">
        <v>91</v>
      </c>
      <c r="C1022">
        <v>287607</v>
      </c>
    </row>
    <row r="1023" spans="1:3" x14ac:dyDescent="0.25">
      <c r="A1023" s="1">
        <f t="shared" si="13"/>
        <v>43678</v>
      </c>
      <c r="B1023" t="s">
        <v>92</v>
      </c>
      <c r="C1023">
        <v>54648</v>
      </c>
    </row>
    <row r="1024" spans="1:3" x14ac:dyDescent="0.25">
      <c r="A1024" s="1">
        <f t="shared" si="13"/>
        <v>43678</v>
      </c>
      <c r="B1024" t="s">
        <v>93</v>
      </c>
      <c r="C1024">
        <v>122289</v>
      </c>
    </row>
    <row r="1025" spans="1:3" x14ac:dyDescent="0.25">
      <c r="A1025" s="1">
        <f t="shared" si="13"/>
        <v>43678</v>
      </c>
      <c r="B1025" t="s">
        <v>94</v>
      </c>
      <c r="C1025">
        <v>142400</v>
      </c>
    </row>
    <row r="1026" spans="1:3" x14ac:dyDescent="0.25">
      <c r="A1026" s="1">
        <f t="shared" si="13"/>
        <v>43678</v>
      </c>
      <c r="B1026" t="s">
        <v>95</v>
      </c>
      <c r="C1026">
        <v>67338</v>
      </c>
    </row>
    <row r="1027" spans="1:3" x14ac:dyDescent="0.25">
      <c r="A1027" s="1">
        <f t="shared" si="13"/>
        <v>43678</v>
      </c>
      <c r="B1027" t="s">
        <v>96</v>
      </c>
      <c r="C1027">
        <v>233433</v>
      </c>
    </row>
    <row r="1028" spans="1:3" x14ac:dyDescent="0.25">
      <c r="A1028" s="1">
        <f t="shared" si="13"/>
        <v>43678</v>
      </c>
      <c r="B1028" t="s">
        <v>97</v>
      </c>
      <c r="C1028">
        <v>68977</v>
      </c>
    </row>
    <row r="1029" spans="1:3" x14ac:dyDescent="0.25">
      <c r="A1029" s="1">
        <f t="shared" si="13"/>
        <v>43678</v>
      </c>
      <c r="B1029" t="s">
        <v>98</v>
      </c>
      <c r="C1029">
        <v>269747</v>
      </c>
    </row>
    <row r="1030" spans="1:3" x14ac:dyDescent="0.25">
      <c r="A1030" s="1">
        <f t="shared" si="13"/>
        <v>43678</v>
      </c>
      <c r="B1030" t="s">
        <v>99</v>
      </c>
      <c r="C1030">
        <v>91214</v>
      </c>
    </row>
    <row r="1031" spans="1:3" x14ac:dyDescent="0.25">
      <c r="A1031" s="1">
        <f t="shared" si="13"/>
        <v>43678</v>
      </c>
      <c r="B1031" t="s">
        <v>100</v>
      </c>
      <c r="C1031">
        <v>143703</v>
      </c>
    </row>
    <row r="1032" spans="1:3" x14ac:dyDescent="0.25">
      <c r="A1032" s="1">
        <f t="shared" si="13"/>
        <v>43678</v>
      </c>
      <c r="B1032" t="s">
        <v>101</v>
      </c>
      <c r="C1032">
        <v>56715</v>
      </c>
    </row>
    <row r="1033" spans="1:3" x14ac:dyDescent="0.25">
      <c r="A1033" s="1">
        <f t="shared" si="13"/>
        <v>43678</v>
      </c>
      <c r="B1033" t="s">
        <v>102</v>
      </c>
      <c r="C1033">
        <v>78666</v>
      </c>
    </row>
    <row r="1034" spans="1:3" x14ac:dyDescent="0.25">
      <c r="A1034" s="1">
        <f t="shared" si="13"/>
        <v>43678</v>
      </c>
      <c r="B1034" t="s">
        <v>103</v>
      </c>
      <c r="C1034">
        <v>216556</v>
      </c>
    </row>
    <row r="1035" spans="1:3" x14ac:dyDescent="0.25">
      <c r="A1035" s="1">
        <f t="shared" si="13"/>
        <v>43678</v>
      </c>
      <c r="B1035" t="s">
        <v>104</v>
      </c>
      <c r="C1035">
        <v>96566</v>
      </c>
    </row>
    <row r="1036" spans="1:3" x14ac:dyDescent="0.25">
      <c r="A1036" s="1">
        <f t="shared" si="13"/>
        <v>43678</v>
      </c>
      <c r="B1036" t="s">
        <v>105</v>
      </c>
      <c r="C1036">
        <v>240916</v>
      </c>
    </row>
    <row r="1037" spans="1:3" x14ac:dyDescent="0.25">
      <c r="A1037" s="1">
        <f t="shared" si="13"/>
        <v>43678</v>
      </c>
      <c r="B1037" t="s">
        <v>106</v>
      </c>
      <c r="C1037">
        <v>78638</v>
      </c>
    </row>
    <row r="1038" spans="1:3" x14ac:dyDescent="0.25">
      <c r="A1038" s="1">
        <f t="shared" si="13"/>
        <v>43678</v>
      </c>
      <c r="B1038" t="s">
        <v>107</v>
      </c>
      <c r="C1038">
        <v>157552</v>
      </c>
    </row>
    <row r="1039" spans="1:3" x14ac:dyDescent="0.25">
      <c r="A1039" s="1">
        <f t="shared" ref="A1039:A1102" si="14">EDATE(A899,1)</f>
        <v>43678</v>
      </c>
      <c r="B1039" t="s">
        <v>108</v>
      </c>
      <c r="C1039">
        <v>241117</v>
      </c>
    </row>
    <row r="1040" spans="1:3" x14ac:dyDescent="0.25">
      <c r="A1040" s="1">
        <f t="shared" si="14"/>
        <v>43678</v>
      </c>
      <c r="B1040" t="s">
        <v>109</v>
      </c>
      <c r="C1040">
        <v>266657</v>
      </c>
    </row>
    <row r="1041" spans="1:3" x14ac:dyDescent="0.25">
      <c r="A1041" s="1">
        <f t="shared" si="14"/>
        <v>43678</v>
      </c>
      <c r="B1041" t="s">
        <v>110</v>
      </c>
      <c r="C1041">
        <v>-3090</v>
      </c>
    </row>
    <row r="1042" spans="1:3" x14ac:dyDescent="0.25">
      <c r="A1042" s="1">
        <f t="shared" si="14"/>
        <v>43678</v>
      </c>
      <c r="B1042" t="s">
        <v>111</v>
      </c>
      <c r="C1042">
        <v>-9129</v>
      </c>
    </row>
    <row r="1043" spans="1:3" x14ac:dyDescent="0.25">
      <c r="A1043" s="1">
        <f t="shared" si="14"/>
        <v>43678</v>
      </c>
      <c r="B1043" t="s">
        <v>112</v>
      </c>
      <c r="C1043">
        <v>-9488</v>
      </c>
    </row>
    <row r="1044" spans="1:3" x14ac:dyDescent="0.25">
      <c r="A1044" s="1">
        <f t="shared" si="14"/>
        <v>43678</v>
      </c>
      <c r="B1044" t="s">
        <v>113</v>
      </c>
      <c r="C1044">
        <v>-9342</v>
      </c>
    </row>
    <row r="1045" spans="1:3" x14ac:dyDescent="0.25">
      <c r="A1045" s="1">
        <f t="shared" si="14"/>
        <v>43678</v>
      </c>
      <c r="B1045" t="s">
        <v>114</v>
      </c>
      <c r="C1045">
        <v>-5342</v>
      </c>
    </row>
    <row r="1046" spans="1:3" x14ac:dyDescent="0.25">
      <c r="A1046" s="1">
        <f t="shared" si="14"/>
        <v>43678</v>
      </c>
      <c r="B1046" t="s">
        <v>115</v>
      </c>
      <c r="C1046">
        <v>-4281</v>
      </c>
    </row>
    <row r="1047" spans="1:3" x14ac:dyDescent="0.25">
      <c r="A1047" s="1">
        <f t="shared" si="14"/>
        <v>43678</v>
      </c>
      <c r="B1047" t="s">
        <v>116</v>
      </c>
      <c r="C1047">
        <v>-2229</v>
      </c>
    </row>
    <row r="1048" spans="1:3" x14ac:dyDescent="0.25">
      <c r="A1048" s="1">
        <f t="shared" si="14"/>
        <v>43678</v>
      </c>
      <c r="B1048" t="s">
        <v>117</v>
      </c>
      <c r="C1048">
        <v>-6576</v>
      </c>
    </row>
    <row r="1049" spans="1:3" x14ac:dyDescent="0.25">
      <c r="A1049" s="1">
        <f t="shared" si="14"/>
        <v>43678</v>
      </c>
      <c r="B1049" t="s">
        <v>118</v>
      </c>
      <c r="C1049">
        <v>-3329</v>
      </c>
    </row>
    <row r="1050" spans="1:3" x14ac:dyDescent="0.25">
      <c r="A1050" s="1">
        <f t="shared" si="14"/>
        <v>43678</v>
      </c>
      <c r="B1050" t="s">
        <v>119</v>
      </c>
      <c r="C1050">
        <v>-4990</v>
      </c>
    </row>
    <row r="1051" spans="1:3" x14ac:dyDescent="0.25">
      <c r="A1051" s="1">
        <f t="shared" si="14"/>
        <v>43678</v>
      </c>
      <c r="B1051" t="s">
        <v>120</v>
      </c>
      <c r="C1051">
        <v>-1788</v>
      </c>
    </row>
    <row r="1052" spans="1:3" x14ac:dyDescent="0.25">
      <c r="A1052" s="1">
        <f t="shared" si="14"/>
        <v>43678</v>
      </c>
      <c r="B1052" t="s">
        <v>121</v>
      </c>
      <c r="C1052">
        <v>-3673</v>
      </c>
    </row>
    <row r="1053" spans="1:3" x14ac:dyDescent="0.25">
      <c r="A1053" s="1">
        <f t="shared" si="14"/>
        <v>43678</v>
      </c>
      <c r="B1053" t="s">
        <v>122</v>
      </c>
      <c r="C1053">
        <v>-3925</v>
      </c>
    </row>
    <row r="1054" spans="1:3" x14ac:dyDescent="0.25">
      <c r="A1054" s="1">
        <f t="shared" si="14"/>
        <v>43678</v>
      </c>
      <c r="B1054" t="s">
        <v>123</v>
      </c>
      <c r="C1054">
        <v>-3779</v>
      </c>
    </row>
    <row r="1055" spans="1:3" x14ac:dyDescent="0.25">
      <c r="A1055" s="1">
        <f t="shared" si="14"/>
        <v>43678</v>
      </c>
      <c r="B1055" t="s">
        <v>124</v>
      </c>
      <c r="C1055">
        <v>-7894</v>
      </c>
    </row>
    <row r="1056" spans="1:3" x14ac:dyDescent="0.25">
      <c r="A1056" s="1">
        <f t="shared" si="14"/>
        <v>43678</v>
      </c>
      <c r="B1056" t="s">
        <v>125</v>
      </c>
      <c r="C1056">
        <v>-9148</v>
      </c>
    </row>
    <row r="1057" spans="1:3" x14ac:dyDescent="0.25">
      <c r="A1057" s="1">
        <f t="shared" si="14"/>
        <v>43678</v>
      </c>
      <c r="B1057" t="s">
        <v>126</v>
      </c>
      <c r="C1057">
        <v>-6975</v>
      </c>
    </row>
    <row r="1058" spans="1:3" x14ac:dyDescent="0.25">
      <c r="A1058" s="1">
        <f t="shared" si="14"/>
        <v>43678</v>
      </c>
      <c r="B1058" t="s">
        <v>127</v>
      </c>
      <c r="C1058">
        <v>-9655</v>
      </c>
    </row>
    <row r="1059" spans="1:3" x14ac:dyDescent="0.25">
      <c r="A1059" s="1">
        <f t="shared" si="14"/>
        <v>43678</v>
      </c>
      <c r="B1059" t="s">
        <v>128</v>
      </c>
      <c r="C1059">
        <v>-9865</v>
      </c>
    </row>
    <row r="1060" spans="1:3" x14ac:dyDescent="0.25">
      <c r="A1060" s="1">
        <f t="shared" si="14"/>
        <v>43678</v>
      </c>
      <c r="B1060" t="s">
        <v>129</v>
      </c>
      <c r="C1060">
        <v>-5794</v>
      </c>
    </row>
    <row r="1061" spans="1:3" x14ac:dyDescent="0.25">
      <c r="A1061" s="1">
        <f t="shared" si="14"/>
        <v>43678</v>
      </c>
      <c r="B1061" t="s">
        <v>130</v>
      </c>
      <c r="C1061">
        <v>-6632</v>
      </c>
    </row>
    <row r="1062" spans="1:3" x14ac:dyDescent="0.25">
      <c r="A1062" s="1">
        <f t="shared" si="14"/>
        <v>43678</v>
      </c>
      <c r="B1062" t="s">
        <v>131</v>
      </c>
      <c r="C1062">
        <v>-5430</v>
      </c>
    </row>
    <row r="1063" spans="1:3" x14ac:dyDescent="0.25">
      <c r="A1063" s="1">
        <f t="shared" si="14"/>
        <v>43678</v>
      </c>
      <c r="B1063" t="s">
        <v>132</v>
      </c>
      <c r="C1063">
        <v>-2155</v>
      </c>
    </row>
    <row r="1064" spans="1:3" x14ac:dyDescent="0.25">
      <c r="A1064" s="1">
        <f t="shared" si="14"/>
        <v>43678</v>
      </c>
      <c r="B1064" t="s">
        <v>133</v>
      </c>
      <c r="C1064">
        <v>-8391</v>
      </c>
    </row>
    <row r="1065" spans="1:3" x14ac:dyDescent="0.25">
      <c r="A1065" s="1">
        <f t="shared" si="14"/>
        <v>43678</v>
      </c>
      <c r="B1065" t="s">
        <v>134</v>
      </c>
      <c r="C1065">
        <v>-3864</v>
      </c>
    </row>
    <row r="1066" spans="1:3" x14ac:dyDescent="0.25">
      <c r="A1066" s="1">
        <f t="shared" si="14"/>
        <v>43678</v>
      </c>
      <c r="B1066" t="s">
        <v>135</v>
      </c>
      <c r="C1066">
        <v>-1145</v>
      </c>
    </row>
    <row r="1067" spans="1:3" x14ac:dyDescent="0.25">
      <c r="A1067" s="1">
        <f t="shared" si="14"/>
        <v>43678</v>
      </c>
      <c r="B1067" t="s">
        <v>136</v>
      </c>
      <c r="C1067">
        <v>-9939</v>
      </c>
    </row>
    <row r="1068" spans="1:3" x14ac:dyDescent="0.25">
      <c r="A1068" s="1">
        <f t="shared" si="14"/>
        <v>43678</v>
      </c>
      <c r="B1068" t="s">
        <v>137</v>
      </c>
      <c r="C1068">
        <v>-8360</v>
      </c>
    </row>
    <row r="1069" spans="1:3" x14ac:dyDescent="0.25">
      <c r="A1069" s="1">
        <f t="shared" si="14"/>
        <v>43678</v>
      </c>
      <c r="B1069" t="s">
        <v>138</v>
      </c>
      <c r="C1069">
        <v>-6413</v>
      </c>
    </row>
    <row r="1070" spans="1:3" x14ac:dyDescent="0.25">
      <c r="A1070" s="1">
        <f t="shared" si="14"/>
        <v>43678</v>
      </c>
      <c r="B1070" t="s">
        <v>139</v>
      </c>
      <c r="C1070">
        <v>-7742</v>
      </c>
    </row>
    <row r="1071" spans="1:3" x14ac:dyDescent="0.25">
      <c r="A1071" s="1">
        <f t="shared" si="14"/>
        <v>43678</v>
      </c>
      <c r="B1071" t="s">
        <v>140</v>
      </c>
      <c r="C1071">
        <v>-142944</v>
      </c>
    </row>
    <row r="1072" spans="1:3" x14ac:dyDescent="0.25">
      <c r="A1072" s="1">
        <f t="shared" si="14"/>
        <v>43678</v>
      </c>
      <c r="B1072" t="s">
        <v>141</v>
      </c>
      <c r="C1072">
        <v>-221182</v>
      </c>
    </row>
    <row r="1073" spans="1:3" x14ac:dyDescent="0.25">
      <c r="A1073" s="1">
        <f t="shared" si="14"/>
        <v>43678</v>
      </c>
      <c r="B1073" t="s">
        <v>142</v>
      </c>
      <c r="C1073">
        <v>-223396</v>
      </c>
    </row>
    <row r="1074" spans="1:3" x14ac:dyDescent="0.25">
      <c r="A1074" s="1">
        <f t="shared" si="14"/>
        <v>43678</v>
      </c>
      <c r="B1074" t="s">
        <v>143</v>
      </c>
      <c r="C1074">
        <v>-227059</v>
      </c>
    </row>
    <row r="1075" spans="1:3" x14ac:dyDescent="0.25">
      <c r="A1075" s="1">
        <f t="shared" si="14"/>
        <v>43678</v>
      </c>
      <c r="B1075" t="s">
        <v>144</v>
      </c>
      <c r="C1075">
        <v>-267934</v>
      </c>
    </row>
    <row r="1076" spans="1:3" x14ac:dyDescent="0.25">
      <c r="A1076" s="1">
        <f t="shared" si="14"/>
        <v>43678</v>
      </c>
      <c r="B1076" t="s">
        <v>145</v>
      </c>
      <c r="C1076">
        <v>-196191</v>
      </c>
    </row>
    <row r="1077" spans="1:3" x14ac:dyDescent="0.25">
      <c r="A1077" s="1">
        <f t="shared" si="14"/>
        <v>43678</v>
      </c>
      <c r="B1077" t="s">
        <v>146</v>
      </c>
      <c r="C1077">
        <v>-149065</v>
      </c>
    </row>
    <row r="1078" spans="1:3" x14ac:dyDescent="0.25">
      <c r="A1078" s="1">
        <f t="shared" si="14"/>
        <v>43678</v>
      </c>
      <c r="B1078" t="s">
        <v>147</v>
      </c>
      <c r="C1078">
        <v>-214342</v>
      </c>
    </row>
    <row r="1079" spans="1:3" x14ac:dyDescent="0.25">
      <c r="A1079" s="1">
        <f t="shared" si="14"/>
        <v>43678</v>
      </c>
      <c r="B1079" t="s">
        <v>148</v>
      </c>
      <c r="C1079">
        <v>-123814</v>
      </c>
    </row>
    <row r="1080" spans="1:3" x14ac:dyDescent="0.25">
      <c r="A1080" s="1">
        <f t="shared" si="14"/>
        <v>43678</v>
      </c>
      <c r="B1080" t="s">
        <v>149</v>
      </c>
      <c r="C1080">
        <v>-164414</v>
      </c>
    </row>
    <row r="1081" spans="1:3" x14ac:dyDescent="0.25">
      <c r="A1081" s="1">
        <f t="shared" si="14"/>
        <v>43678</v>
      </c>
      <c r="B1081" t="s">
        <v>150</v>
      </c>
      <c r="C1081">
        <v>-283090</v>
      </c>
    </row>
    <row r="1082" spans="1:3" x14ac:dyDescent="0.25">
      <c r="A1082" s="1">
        <f t="shared" si="14"/>
        <v>43678</v>
      </c>
      <c r="B1082" t="s">
        <v>151</v>
      </c>
      <c r="C1082">
        <v>-214878</v>
      </c>
    </row>
    <row r="1083" spans="1:3" x14ac:dyDescent="0.25">
      <c r="A1083" s="1">
        <f t="shared" si="14"/>
        <v>43678</v>
      </c>
      <c r="B1083" t="s">
        <v>152</v>
      </c>
      <c r="C1083">
        <v>-97847</v>
      </c>
    </row>
    <row r="1084" spans="1:3" x14ac:dyDescent="0.25">
      <c r="A1084" s="1">
        <f t="shared" si="14"/>
        <v>43678</v>
      </c>
      <c r="B1084" t="s">
        <v>153</v>
      </c>
      <c r="C1084">
        <v>-282942</v>
      </c>
    </row>
    <row r="1085" spans="1:3" x14ac:dyDescent="0.25">
      <c r="A1085" s="1">
        <f t="shared" si="14"/>
        <v>43678</v>
      </c>
      <c r="B1085" t="s">
        <v>154</v>
      </c>
      <c r="C1085">
        <v>-296696</v>
      </c>
    </row>
    <row r="1086" spans="1:3" x14ac:dyDescent="0.25">
      <c r="A1086" s="1">
        <f t="shared" si="14"/>
        <v>43678</v>
      </c>
      <c r="B1086" t="s">
        <v>155</v>
      </c>
      <c r="C1086">
        <v>-229861</v>
      </c>
    </row>
    <row r="1087" spans="1:3" x14ac:dyDescent="0.25">
      <c r="A1087" s="1">
        <f t="shared" si="14"/>
        <v>43678</v>
      </c>
      <c r="B1087" t="s">
        <v>156</v>
      </c>
      <c r="C1087">
        <v>-182512</v>
      </c>
    </row>
    <row r="1088" spans="1:3" x14ac:dyDescent="0.25">
      <c r="A1088" s="1">
        <f t="shared" si="14"/>
        <v>43678</v>
      </c>
      <c r="B1088" t="s">
        <v>157</v>
      </c>
      <c r="C1088">
        <v>-120064</v>
      </c>
    </row>
    <row r="1089" spans="1:3" x14ac:dyDescent="0.25">
      <c r="A1089" s="1">
        <f t="shared" si="14"/>
        <v>43678</v>
      </c>
      <c r="B1089" t="s">
        <v>158</v>
      </c>
      <c r="C1089">
        <v>-113450</v>
      </c>
    </row>
    <row r="1090" spans="1:3" x14ac:dyDescent="0.25">
      <c r="A1090" s="1">
        <f t="shared" si="14"/>
        <v>43678</v>
      </c>
      <c r="B1090" t="s">
        <v>159</v>
      </c>
      <c r="C1090">
        <v>-258875</v>
      </c>
    </row>
    <row r="1091" spans="1:3" x14ac:dyDescent="0.25">
      <c r="A1091" s="1">
        <f t="shared" si="14"/>
        <v>43678</v>
      </c>
      <c r="B1091" t="s">
        <v>160</v>
      </c>
      <c r="C1091">
        <v>-173659</v>
      </c>
    </row>
    <row r="1092" spans="1:3" x14ac:dyDescent="0.25">
      <c r="A1092" s="1">
        <f t="shared" si="14"/>
        <v>43678</v>
      </c>
      <c r="B1092" t="s">
        <v>161</v>
      </c>
      <c r="C1092">
        <v>-236383</v>
      </c>
    </row>
    <row r="1093" spans="1:3" x14ac:dyDescent="0.25">
      <c r="A1093" s="1">
        <f t="shared" si="14"/>
        <v>43678</v>
      </c>
      <c r="B1093" t="s">
        <v>162</v>
      </c>
      <c r="C1093">
        <v>-141658</v>
      </c>
    </row>
    <row r="1094" spans="1:3" x14ac:dyDescent="0.25">
      <c r="A1094" s="1">
        <f t="shared" si="14"/>
        <v>43678</v>
      </c>
      <c r="B1094" t="s">
        <v>163</v>
      </c>
      <c r="C1094">
        <v>-130529</v>
      </c>
    </row>
    <row r="1095" spans="1:3" x14ac:dyDescent="0.25">
      <c r="A1095" s="1">
        <f t="shared" si="14"/>
        <v>43678</v>
      </c>
      <c r="B1095" t="s">
        <v>164</v>
      </c>
      <c r="C1095">
        <v>-65368</v>
      </c>
    </row>
    <row r="1096" spans="1:3" x14ac:dyDescent="0.25">
      <c r="A1096" s="1">
        <f t="shared" si="14"/>
        <v>43678</v>
      </c>
      <c r="B1096" t="s">
        <v>165</v>
      </c>
      <c r="C1096">
        <v>-82087</v>
      </c>
    </row>
    <row r="1097" spans="1:3" x14ac:dyDescent="0.25">
      <c r="A1097" s="1">
        <f t="shared" si="14"/>
        <v>43678</v>
      </c>
      <c r="B1097" t="s">
        <v>166</v>
      </c>
      <c r="C1097">
        <v>-72528</v>
      </c>
    </row>
    <row r="1098" spans="1:3" x14ac:dyDescent="0.25">
      <c r="A1098" s="1">
        <f t="shared" si="14"/>
        <v>43678</v>
      </c>
      <c r="B1098" t="s">
        <v>167</v>
      </c>
      <c r="C1098">
        <v>-242458</v>
      </c>
    </row>
    <row r="1099" spans="1:3" x14ac:dyDescent="0.25">
      <c r="A1099" s="1">
        <f t="shared" si="14"/>
        <v>43678</v>
      </c>
      <c r="B1099" t="s">
        <v>168</v>
      </c>
      <c r="C1099">
        <v>-352795</v>
      </c>
    </row>
    <row r="1100" spans="1:3" x14ac:dyDescent="0.25">
      <c r="A1100" s="1">
        <f t="shared" si="14"/>
        <v>43678</v>
      </c>
      <c r="B1100" t="s">
        <v>169</v>
      </c>
      <c r="C1100">
        <v>-379992</v>
      </c>
    </row>
    <row r="1101" spans="1:3" x14ac:dyDescent="0.25">
      <c r="A1101" s="1">
        <f t="shared" si="14"/>
        <v>43678</v>
      </c>
      <c r="B1101" t="s">
        <v>170</v>
      </c>
      <c r="C1101">
        <v>-225472</v>
      </c>
    </row>
    <row r="1102" spans="1:3" x14ac:dyDescent="0.25">
      <c r="A1102" s="1">
        <f t="shared" si="14"/>
        <v>43678</v>
      </c>
      <c r="B1102" t="s">
        <v>171</v>
      </c>
      <c r="C1102">
        <v>-99844</v>
      </c>
    </row>
    <row r="1103" spans="1:3" x14ac:dyDescent="0.25">
      <c r="A1103" s="1">
        <f t="shared" ref="A1103:A1144" si="15">EDATE(A963,1)</f>
        <v>43678</v>
      </c>
      <c r="B1103" t="s">
        <v>172</v>
      </c>
      <c r="C1103">
        <v>-91352</v>
      </c>
    </row>
    <row r="1104" spans="1:3" x14ac:dyDescent="0.25">
      <c r="A1104" s="1">
        <f t="shared" si="15"/>
        <v>43678</v>
      </c>
      <c r="B1104" t="s">
        <v>173</v>
      </c>
      <c r="C1104">
        <v>-45642</v>
      </c>
    </row>
    <row r="1105" spans="1:3" x14ac:dyDescent="0.25">
      <c r="A1105" s="1">
        <f t="shared" si="15"/>
        <v>43678</v>
      </c>
      <c r="B1105" t="s">
        <v>174</v>
      </c>
      <c r="C1105">
        <v>-53639</v>
      </c>
    </row>
    <row r="1106" spans="1:3" x14ac:dyDescent="0.25">
      <c r="A1106" s="1">
        <f t="shared" si="15"/>
        <v>43678</v>
      </c>
      <c r="B1106" t="s">
        <v>175</v>
      </c>
      <c r="C1106">
        <v>-44645</v>
      </c>
    </row>
    <row r="1107" spans="1:3" x14ac:dyDescent="0.25">
      <c r="A1107" s="1">
        <f t="shared" si="15"/>
        <v>43678</v>
      </c>
      <c r="B1107" t="s">
        <v>176</v>
      </c>
      <c r="C1107">
        <v>-45849</v>
      </c>
    </row>
    <row r="1108" spans="1:3" x14ac:dyDescent="0.25">
      <c r="A1108" s="1">
        <f t="shared" si="15"/>
        <v>43678</v>
      </c>
      <c r="B1108" t="s">
        <v>177</v>
      </c>
      <c r="C1108">
        <v>-48238</v>
      </c>
    </row>
    <row r="1109" spans="1:3" x14ac:dyDescent="0.25">
      <c r="A1109" s="1">
        <f t="shared" si="15"/>
        <v>43678</v>
      </c>
      <c r="B1109" t="s">
        <v>178</v>
      </c>
      <c r="C1109">
        <v>-277981</v>
      </c>
    </row>
    <row r="1110" spans="1:3" x14ac:dyDescent="0.25">
      <c r="A1110" s="1">
        <f t="shared" si="15"/>
        <v>43678</v>
      </c>
      <c r="B1110" t="s">
        <v>179</v>
      </c>
      <c r="C1110">
        <v>-255383</v>
      </c>
    </row>
    <row r="1111" spans="1:3" x14ac:dyDescent="0.25">
      <c r="A1111" s="1">
        <f t="shared" si="15"/>
        <v>43678</v>
      </c>
      <c r="B1111" t="s">
        <v>180</v>
      </c>
      <c r="C1111">
        <v>-125297</v>
      </c>
    </row>
    <row r="1112" spans="1:3" x14ac:dyDescent="0.25">
      <c r="A1112" s="1">
        <f t="shared" si="15"/>
        <v>43678</v>
      </c>
      <c r="B1112" t="s">
        <v>181</v>
      </c>
      <c r="C1112">
        <v>-70993</v>
      </c>
    </row>
    <row r="1113" spans="1:3" x14ac:dyDescent="0.25">
      <c r="A1113" s="1">
        <f t="shared" si="15"/>
        <v>43678</v>
      </c>
      <c r="B1113" t="s">
        <v>182</v>
      </c>
      <c r="C1113">
        <v>-69226</v>
      </c>
    </row>
    <row r="1114" spans="1:3" x14ac:dyDescent="0.25">
      <c r="A1114" s="1">
        <f t="shared" si="15"/>
        <v>43678</v>
      </c>
      <c r="B1114" t="s">
        <v>183</v>
      </c>
      <c r="C1114">
        <v>-78227</v>
      </c>
    </row>
    <row r="1115" spans="1:3" x14ac:dyDescent="0.25">
      <c r="A1115" s="1">
        <f t="shared" si="15"/>
        <v>43678</v>
      </c>
      <c r="B1115" t="s">
        <v>184</v>
      </c>
      <c r="C1115">
        <v>-65907</v>
      </c>
    </row>
    <row r="1116" spans="1:3" x14ac:dyDescent="0.25">
      <c r="A1116" s="1">
        <f t="shared" si="15"/>
        <v>43678</v>
      </c>
      <c r="B1116" t="s">
        <v>185</v>
      </c>
      <c r="C1116">
        <v>-83048</v>
      </c>
    </row>
    <row r="1117" spans="1:3" x14ac:dyDescent="0.25">
      <c r="A1117" s="1">
        <f t="shared" si="15"/>
        <v>43678</v>
      </c>
      <c r="B1117" t="s">
        <v>186</v>
      </c>
      <c r="C1117">
        <v>-104140</v>
      </c>
    </row>
    <row r="1118" spans="1:3" x14ac:dyDescent="0.25">
      <c r="A1118" s="1">
        <f t="shared" si="15"/>
        <v>43678</v>
      </c>
      <c r="B1118" t="s">
        <v>187</v>
      </c>
      <c r="C1118">
        <v>-133530</v>
      </c>
    </row>
    <row r="1119" spans="1:3" x14ac:dyDescent="0.25">
      <c r="A1119" s="1">
        <f t="shared" si="15"/>
        <v>43678</v>
      </c>
      <c r="B1119" t="s">
        <v>188</v>
      </c>
      <c r="C1119">
        <v>-146432</v>
      </c>
    </row>
    <row r="1120" spans="1:3" x14ac:dyDescent="0.25">
      <c r="A1120" s="1">
        <f t="shared" si="15"/>
        <v>43678</v>
      </c>
      <c r="B1120" t="s">
        <v>189</v>
      </c>
      <c r="C1120">
        <v>-9971</v>
      </c>
    </row>
    <row r="1121" spans="1:3" x14ac:dyDescent="0.25">
      <c r="A1121" s="1">
        <f t="shared" si="15"/>
        <v>43678</v>
      </c>
      <c r="B1121" t="s">
        <v>190</v>
      </c>
      <c r="C1121">
        <v>-19330</v>
      </c>
    </row>
    <row r="1122" spans="1:3" x14ac:dyDescent="0.25">
      <c r="A1122" s="1">
        <f t="shared" si="15"/>
        <v>43709</v>
      </c>
      <c r="B1122" t="s">
        <v>51</v>
      </c>
      <c r="C1122">
        <v>868545</v>
      </c>
    </row>
    <row r="1123" spans="1:3" x14ac:dyDescent="0.25">
      <c r="A1123" s="1">
        <f t="shared" si="15"/>
        <v>43709</v>
      </c>
      <c r="B1123" t="s">
        <v>52</v>
      </c>
      <c r="C1123">
        <v>286515</v>
      </c>
    </row>
    <row r="1124" spans="1:3" x14ac:dyDescent="0.25">
      <c r="A1124" s="1">
        <f t="shared" si="15"/>
        <v>43709</v>
      </c>
      <c r="B1124" t="s">
        <v>53</v>
      </c>
      <c r="C1124">
        <v>987553</v>
      </c>
    </row>
    <row r="1125" spans="1:3" x14ac:dyDescent="0.25">
      <c r="A1125" s="1">
        <f t="shared" si="15"/>
        <v>43709</v>
      </c>
      <c r="B1125" t="s">
        <v>54</v>
      </c>
      <c r="C1125">
        <v>483369</v>
      </c>
    </row>
    <row r="1126" spans="1:3" x14ac:dyDescent="0.25">
      <c r="A1126" s="1">
        <f t="shared" si="15"/>
        <v>43709</v>
      </c>
      <c r="B1126" t="s">
        <v>55</v>
      </c>
      <c r="C1126">
        <v>257536</v>
      </c>
    </row>
    <row r="1127" spans="1:3" x14ac:dyDescent="0.25">
      <c r="A1127" s="1">
        <f t="shared" si="15"/>
        <v>43709</v>
      </c>
      <c r="B1127" t="s">
        <v>56</v>
      </c>
      <c r="C1127">
        <v>466317</v>
      </c>
    </row>
    <row r="1128" spans="1:3" x14ac:dyDescent="0.25">
      <c r="A1128" s="1">
        <f t="shared" si="15"/>
        <v>43709</v>
      </c>
      <c r="B1128" t="s">
        <v>57</v>
      </c>
      <c r="C1128">
        <v>463248</v>
      </c>
    </row>
    <row r="1129" spans="1:3" x14ac:dyDescent="0.25">
      <c r="A1129" s="1">
        <f t="shared" si="15"/>
        <v>43709</v>
      </c>
      <c r="B1129" t="s">
        <v>58</v>
      </c>
      <c r="C1129">
        <v>780387</v>
      </c>
    </row>
    <row r="1130" spans="1:3" x14ac:dyDescent="0.25">
      <c r="A1130" s="1">
        <f t="shared" si="15"/>
        <v>43709</v>
      </c>
      <c r="B1130" t="s">
        <v>59</v>
      </c>
      <c r="C1130">
        <v>649905</v>
      </c>
    </row>
    <row r="1131" spans="1:3" x14ac:dyDescent="0.25">
      <c r="A1131" s="1">
        <f t="shared" si="15"/>
        <v>43709</v>
      </c>
      <c r="B1131" t="s">
        <v>60</v>
      </c>
      <c r="C1131">
        <v>971146</v>
      </c>
    </row>
    <row r="1132" spans="1:3" x14ac:dyDescent="0.25">
      <c r="A1132" s="1">
        <f t="shared" si="15"/>
        <v>43709</v>
      </c>
      <c r="B1132" t="s">
        <v>61</v>
      </c>
      <c r="C1132">
        <v>260231</v>
      </c>
    </row>
    <row r="1133" spans="1:3" x14ac:dyDescent="0.25">
      <c r="A1133" s="1">
        <f t="shared" si="15"/>
        <v>43709</v>
      </c>
      <c r="B1133" t="s">
        <v>62</v>
      </c>
      <c r="C1133">
        <v>973103</v>
      </c>
    </row>
    <row r="1134" spans="1:3" x14ac:dyDescent="0.25">
      <c r="A1134" s="1">
        <f t="shared" si="15"/>
        <v>43709</v>
      </c>
      <c r="B1134" t="s">
        <v>63</v>
      </c>
      <c r="C1134">
        <v>409408</v>
      </c>
    </row>
    <row r="1135" spans="1:3" x14ac:dyDescent="0.25">
      <c r="A1135" s="1">
        <f t="shared" si="15"/>
        <v>43709</v>
      </c>
      <c r="B1135" t="s">
        <v>64</v>
      </c>
      <c r="C1135">
        <v>771268</v>
      </c>
    </row>
    <row r="1136" spans="1:3" x14ac:dyDescent="0.25">
      <c r="A1136" s="1">
        <f t="shared" si="15"/>
        <v>43709</v>
      </c>
      <c r="B1136" t="s">
        <v>65</v>
      </c>
      <c r="C1136">
        <v>983741</v>
      </c>
    </row>
    <row r="1137" spans="1:3" x14ac:dyDescent="0.25">
      <c r="A1137" s="1">
        <f t="shared" si="15"/>
        <v>43709</v>
      </c>
      <c r="B1137" t="s">
        <v>66</v>
      </c>
      <c r="C1137">
        <v>811442</v>
      </c>
    </row>
    <row r="1138" spans="1:3" x14ac:dyDescent="0.25">
      <c r="A1138" s="1">
        <f t="shared" si="15"/>
        <v>43709</v>
      </c>
      <c r="B1138" t="s">
        <v>67</v>
      </c>
      <c r="C1138">
        <v>966458</v>
      </c>
    </row>
    <row r="1139" spans="1:3" x14ac:dyDescent="0.25">
      <c r="A1139" s="1">
        <f t="shared" si="15"/>
        <v>43709</v>
      </c>
      <c r="B1139" t="s">
        <v>68</v>
      </c>
      <c r="C1139">
        <v>700682</v>
      </c>
    </row>
    <row r="1140" spans="1:3" x14ac:dyDescent="0.25">
      <c r="A1140" s="1">
        <f t="shared" si="15"/>
        <v>43709</v>
      </c>
      <c r="B1140" t="s">
        <v>69</v>
      </c>
      <c r="C1140">
        <v>751306</v>
      </c>
    </row>
    <row r="1141" spans="1:3" x14ac:dyDescent="0.25">
      <c r="A1141" s="1">
        <f t="shared" si="15"/>
        <v>43709</v>
      </c>
      <c r="B1141" t="s">
        <v>70</v>
      </c>
      <c r="C1141">
        <v>486843</v>
      </c>
    </row>
    <row r="1142" spans="1:3" x14ac:dyDescent="0.25">
      <c r="A1142" s="1">
        <f t="shared" si="15"/>
        <v>43709</v>
      </c>
      <c r="B1142" t="s">
        <v>71</v>
      </c>
      <c r="C1142">
        <v>860599</v>
      </c>
    </row>
    <row r="1143" spans="1:3" x14ac:dyDescent="0.25">
      <c r="A1143" s="1">
        <f t="shared" si="15"/>
        <v>43709</v>
      </c>
      <c r="B1143" t="s">
        <v>72</v>
      </c>
      <c r="C1143">
        <v>973651</v>
      </c>
    </row>
    <row r="1144" spans="1:3" x14ac:dyDescent="0.25">
      <c r="A1144" s="1">
        <f t="shared" si="15"/>
        <v>43709</v>
      </c>
      <c r="B1144" t="s">
        <v>73</v>
      </c>
      <c r="C1144">
        <v>246714</v>
      </c>
    </row>
    <row r="1145" spans="1:3" x14ac:dyDescent="0.25">
      <c r="A1145" s="1">
        <f>EDATE(A1005,1)</f>
        <v>43709</v>
      </c>
      <c r="B1145" t="s">
        <v>74</v>
      </c>
      <c r="C1145">
        <v>79158</v>
      </c>
    </row>
    <row r="1146" spans="1:3" x14ac:dyDescent="0.25">
      <c r="A1146" s="1">
        <f t="shared" ref="A1146:A1209" si="16">EDATE(A1006,1)</f>
        <v>43709</v>
      </c>
      <c r="B1146" t="s">
        <v>75</v>
      </c>
      <c r="C1146">
        <v>283775</v>
      </c>
    </row>
    <row r="1147" spans="1:3" x14ac:dyDescent="0.25">
      <c r="A1147" s="1">
        <f t="shared" si="16"/>
        <v>43709</v>
      </c>
      <c r="B1147" t="s">
        <v>76</v>
      </c>
      <c r="C1147">
        <v>224606</v>
      </c>
    </row>
    <row r="1148" spans="1:3" x14ac:dyDescent="0.25">
      <c r="A1148" s="1">
        <f t="shared" si="16"/>
        <v>43709</v>
      </c>
      <c r="B1148" t="s">
        <v>77</v>
      </c>
      <c r="C1148">
        <v>245240</v>
      </c>
    </row>
    <row r="1149" spans="1:3" x14ac:dyDescent="0.25">
      <c r="A1149" s="1">
        <f t="shared" si="16"/>
        <v>43709</v>
      </c>
      <c r="B1149" t="s">
        <v>78</v>
      </c>
      <c r="C1149">
        <v>87495</v>
      </c>
    </row>
    <row r="1150" spans="1:3" x14ac:dyDescent="0.25">
      <c r="A1150" s="1">
        <f t="shared" si="16"/>
        <v>43709</v>
      </c>
      <c r="B1150" t="s">
        <v>79</v>
      </c>
      <c r="C1150">
        <v>266541</v>
      </c>
    </row>
    <row r="1151" spans="1:3" x14ac:dyDescent="0.25">
      <c r="A1151" s="1">
        <f t="shared" si="16"/>
        <v>43709</v>
      </c>
      <c r="B1151" t="s">
        <v>80</v>
      </c>
      <c r="C1151">
        <v>148704</v>
      </c>
    </row>
    <row r="1152" spans="1:3" x14ac:dyDescent="0.25">
      <c r="A1152" s="1">
        <f t="shared" si="16"/>
        <v>43709</v>
      </c>
      <c r="B1152" t="s">
        <v>81</v>
      </c>
      <c r="C1152">
        <v>104235</v>
      </c>
    </row>
    <row r="1153" spans="1:3" x14ac:dyDescent="0.25">
      <c r="A1153" s="1">
        <f t="shared" si="16"/>
        <v>43709</v>
      </c>
      <c r="B1153" t="s">
        <v>82</v>
      </c>
      <c r="C1153">
        <v>103162</v>
      </c>
    </row>
    <row r="1154" spans="1:3" x14ac:dyDescent="0.25">
      <c r="A1154" s="1">
        <f t="shared" si="16"/>
        <v>43709</v>
      </c>
      <c r="B1154" t="s">
        <v>83</v>
      </c>
      <c r="C1154">
        <v>297755</v>
      </c>
    </row>
    <row r="1155" spans="1:3" x14ac:dyDescent="0.25">
      <c r="A1155" s="1">
        <f t="shared" si="16"/>
        <v>43709</v>
      </c>
      <c r="B1155" t="s">
        <v>84</v>
      </c>
      <c r="C1155">
        <v>158814</v>
      </c>
    </row>
    <row r="1156" spans="1:3" x14ac:dyDescent="0.25">
      <c r="A1156" s="1">
        <f t="shared" si="16"/>
        <v>43709</v>
      </c>
      <c r="B1156" t="s">
        <v>85</v>
      </c>
      <c r="C1156">
        <v>165029</v>
      </c>
    </row>
    <row r="1157" spans="1:3" x14ac:dyDescent="0.25">
      <c r="A1157" s="1">
        <f t="shared" si="16"/>
        <v>43709</v>
      </c>
      <c r="B1157" t="s">
        <v>86</v>
      </c>
      <c r="C1157">
        <v>141552</v>
      </c>
    </row>
    <row r="1158" spans="1:3" x14ac:dyDescent="0.25">
      <c r="A1158" s="1">
        <f t="shared" si="16"/>
        <v>43709</v>
      </c>
      <c r="B1158" t="s">
        <v>87</v>
      </c>
      <c r="C1158">
        <v>141576</v>
      </c>
    </row>
    <row r="1159" spans="1:3" x14ac:dyDescent="0.25">
      <c r="A1159" s="1">
        <f t="shared" si="16"/>
        <v>43709</v>
      </c>
      <c r="B1159" t="s">
        <v>88</v>
      </c>
      <c r="C1159">
        <v>143999</v>
      </c>
    </row>
    <row r="1160" spans="1:3" x14ac:dyDescent="0.25">
      <c r="A1160" s="1">
        <f t="shared" si="16"/>
        <v>43709</v>
      </c>
      <c r="B1160" t="s">
        <v>89</v>
      </c>
      <c r="C1160">
        <v>138509</v>
      </c>
    </row>
    <row r="1161" spans="1:3" x14ac:dyDescent="0.25">
      <c r="A1161" s="1">
        <f t="shared" si="16"/>
        <v>43709</v>
      </c>
      <c r="B1161" t="s">
        <v>90</v>
      </c>
      <c r="C1161">
        <v>55143</v>
      </c>
    </row>
    <row r="1162" spans="1:3" x14ac:dyDescent="0.25">
      <c r="A1162" s="1">
        <f t="shared" si="16"/>
        <v>43709</v>
      </c>
      <c r="B1162" t="s">
        <v>91</v>
      </c>
      <c r="C1162">
        <v>56730</v>
      </c>
    </row>
    <row r="1163" spans="1:3" x14ac:dyDescent="0.25">
      <c r="A1163" s="1">
        <f t="shared" si="16"/>
        <v>43709</v>
      </c>
      <c r="B1163" t="s">
        <v>92</v>
      </c>
      <c r="C1163">
        <v>96319</v>
      </c>
    </row>
    <row r="1164" spans="1:3" x14ac:dyDescent="0.25">
      <c r="A1164" s="1">
        <f t="shared" si="16"/>
        <v>43709</v>
      </c>
      <c r="B1164" t="s">
        <v>93</v>
      </c>
      <c r="C1164">
        <v>82287</v>
      </c>
    </row>
    <row r="1165" spans="1:3" x14ac:dyDescent="0.25">
      <c r="A1165" s="1">
        <f t="shared" si="16"/>
        <v>43709</v>
      </c>
      <c r="B1165" t="s">
        <v>94</v>
      </c>
      <c r="C1165">
        <v>205543</v>
      </c>
    </row>
    <row r="1166" spans="1:3" x14ac:dyDescent="0.25">
      <c r="A1166" s="1">
        <f t="shared" si="16"/>
        <v>43709</v>
      </c>
      <c r="B1166" t="s">
        <v>95</v>
      </c>
      <c r="C1166">
        <v>114455</v>
      </c>
    </row>
    <row r="1167" spans="1:3" x14ac:dyDescent="0.25">
      <c r="A1167" s="1">
        <f t="shared" si="16"/>
        <v>43709</v>
      </c>
      <c r="B1167" t="s">
        <v>96</v>
      </c>
      <c r="C1167">
        <v>96348</v>
      </c>
    </row>
    <row r="1168" spans="1:3" x14ac:dyDescent="0.25">
      <c r="A1168" s="1">
        <f t="shared" si="16"/>
        <v>43709</v>
      </c>
      <c r="B1168" t="s">
        <v>97</v>
      </c>
      <c r="C1168">
        <v>201197</v>
      </c>
    </row>
    <row r="1169" spans="1:3" x14ac:dyDescent="0.25">
      <c r="A1169" s="1">
        <f t="shared" si="16"/>
        <v>43709</v>
      </c>
      <c r="B1169" t="s">
        <v>98</v>
      </c>
      <c r="C1169">
        <v>209782</v>
      </c>
    </row>
    <row r="1170" spans="1:3" x14ac:dyDescent="0.25">
      <c r="A1170" s="1">
        <f t="shared" si="16"/>
        <v>43709</v>
      </c>
      <c r="B1170" t="s">
        <v>99</v>
      </c>
      <c r="C1170">
        <v>119304</v>
      </c>
    </row>
    <row r="1171" spans="1:3" x14ac:dyDescent="0.25">
      <c r="A1171" s="1">
        <f t="shared" si="16"/>
        <v>43709</v>
      </c>
      <c r="B1171" t="s">
        <v>100</v>
      </c>
      <c r="C1171">
        <v>119233</v>
      </c>
    </row>
    <row r="1172" spans="1:3" x14ac:dyDescent="0.25">
      <c r="A1172" s="1">
        <f t="shared" si="16"/>
        <v>43709</v>
      </c>
      <c r="B1172" t="s">
        <v>101</v>
      </c>
      <c r="C1172">
        <v>97304</v>
      </c>
    </row>
    <row r="1173" spans="1:3" x14ac:dyDescent="0.25">
      <c r="A1173" s="1">
        <f t="shared" si="16"/>
        <v>43709</v>
      </c>
      <c r="B1173" t="s">
        <v>102</v>
      </c>
      <c r="C1173">
        <v>193327</v>
      </c>
    </row>
    <row r="1174" spans="1:3" x14ac:dyDescent="0.25">
      <c r="A1174" s="1">
        <f t="shared" si="16"/>
        <v>43709</v>
      </c>
      <c r="B1174" t="s">
        <v>103</v>
      </c>
      <c r="C1174">
        <v>144885</v>
      </c>
    </row>
    <row r="1175" spans="1:3" x14ac:dyDescent="0.25">
      <c r="A1175" s="1">
        <f t="shared" si="16"/>
        <v>43709</v>
      </c>
      <c r="B1175" t="s">
        <v>104</v>
      </c>
      <c r="C1175">
        <v>65479</v>
      </c>
    </row>
    <row r="1176" spans="1:3" x14ac:dyDescent="0.25">
      <c r="A1176" s="1">
        <f t="shared" si="16"/>
        <v>43709</v>
      </c>
      <c r="B1176" t="s">
        <v>105</v>
      </c>
      <c r="C1176">
        <v>172377</v>
      </c>
    </row>
    <row r="1177" spans="1:3" x14ac:dyDescent="0.25">
      <c r="A1177" s="1">
        <f t="shared" si="16"/>
        <v>43709</v>
      </c>
      <c r="B1177" t="s">
        <v>106</v>
      </c>
      <c r="C1177">
        <v>283708</v>
      </c>
    </row>
    <row r="1178" spans="1:3" x14ac:dyDescent="0.25">
      <c r="A1178" s="1">
        <f t="shared" si="16"/>
        <v>43709</v>
      </c>
      <c r="B1178" t="s">
        <v>107</v>
      </c>
      <c r="C1178">
        <v>235803</v>
      </c>
    </row>
    <row r="1179" spans="1:3" x14ac:dyDescent="0.25">
      <c r="A1179" s="1">
        <f t="shared" si="16"/>
        <v>43709</v>
      </c>
      <c r="B1179" t="s">
        <v>108</v>
      </c>
      <c r="C1179">
        <v>258966</v>
      </c>
    </row>
    <row r="1180" spans="1:3" x14ac:dyDescent="0.25">
      <c r="A1180" s="1">
        <f t="shared" si="16"/>
        <v>43709</v>
      </c>
      <c r="B1180" t="s">
        <v>109</v>
      </c>
      <c r="C1180">
        <v>53536</v>
      </c>
    </row>
    <row r="1181" spans="1:3" x14ac:dyDescent="0.25">
      <c r="A1181" s="1">
        <f t="shared" si="16"/>
        <v>43709</v>
      </c>
      <c r="B1181" t="s">
        <v>110</v>
      </c>
      <c r="C1181">
        <v>-7477</v>
      </c>
    </row>
    <row r="1182" spans="1:3" x14ac:dyDescent="0.25">
      <c r="A1182" s="1">
        <f t="shared" si="16"/>
        <v>43709</v>
      </c>
      <c r="B1182" t="s">
        <v>111</v>
      </c>
      <c r="C1182">
        <v>-4599</v>
      </c>
    </row>
    <row r="1183" spans="1:3" x14ac:dyDescent="0.25">
      <c r="A1183" s="1">
        <f t="shared" si="16"/>
        <v>43709</v>
      </c>
      <c r="B1183" t="s">
        <v>112</v>
      </c>
      <c r="C1183">
        <v>-7888</v>
      </c>
    </row>
    <row r="1184" spans="1:3" x14ac:dyDescent="0.25">
      <c r="A1184" s="1">
        <f t="shared" si="16"/>
        <v>43709</v>
      </c>
      <c r="B1184" t="s">
        <v>113</v>
      </c>
      <c r="C1184">
        <v>-2658</v>
      </c>
    </row>
    <row r="1185" spans="1:3" x14ac:dyDescent="0.25">
      <c r="A1185" s="1">
        <f t="shared" si="16"/>
        <v>43709</v>
      </c>
      <c r="B1185" t="s">
        <v>114</v>
      </c>
      <c r="C1185">
        <v>-6077</v>
      </c>
    </row>
    <row r="1186" spans="1:3" x14ac:dyDescent="0.25">
      <c r="A1186" s="1">
        <f t="shared" si="16"/>
        <v>43709</v>
      </c>
      <c r="B1186" t="s">
        <v>115</v>
      </c>
      <c r="C1186">
        <v>-8923</v>
      </c>
    </row>
    <row r="1187" spans="1:3" x14ac:dyDescent="0.25">
      <c r="A1187" s="1">
        <f t="shared" si="16"/>
        <v>43709</v>
      </c>
      <c r="B1187" t="s">
        <v>116</v>
      </c>
      <c r="C1187">
        <v>-4771</v>
      </c>
    </row>
    <row r="1188" spans="1:3" x14ac:dyDescent="0.25">
      <c r="A1188" s="1">
        <f t="shared" si="16"/>
        <v>43709</v>
      </c>
      <c r="B1188" t="s">
        <v>117</v>
      </c>
      <c r="C1188">
        <v>-2063</v>
      </c>
    </row>
    <row r="1189" spans="1:3" x14ac:dyDescent="0.25">
      <c r="A1189" s="1">
        <f t="shared" si="16"/>
        <v>43709</v>
      </c>
      <c r="B1189" t="s">
        <v>118</v>
      </c>
      <c r="C1189">
        <v>-1289</v>
      </c>
    </row>
    <row r="1190" spans="1:3" x14ac:dyDescent="0.25">
      <c r="A1190" s="1">
        <f t="shared" si="16"/>
        <v>43709</v>
      </c>
      <c r="B1190" t="s">
        <v>119</v>
      </c>
      <c r="C1190">
        <v>-7097</v>
      </c>
    </row>
    <row r="1191" spans="1:3" x14ac:dyDescent="0.25">
      <c r="A1191" s="1">
        <f t="shared" si="16"/>
        <v>43709</v>
      </c>
      <c r="B1191" t="s">
        <v>120</v>
      </c>
      <c r="C1191">
        <v>-7223</v>
      </c>
    </row>
    <row r="1192" spans="1:3" x14ac:dyDescent="0.25">
      <c r="A1192" s="1">
        <f t="shared" si="16"/>
        <v>43709</v>
      </c>
      <c r="B1192" t="s">
        <v>121</v>
      </c>
      <c r="C1192">
        <v>-6401</v>
      </c>
    </row>
    <row r="1193" spans="1:3" x14ac:dyDescent="0.25">
      <c r="A1193" s="1">
        <f t="shared" si="16"/>
        <v>43709</v>
      </c>
      <c r="B1193" t="s">
        <v>122</v>
      </c>
      <c r="C1193">
        <v>-6253</v>
      </c>
    </row>
    <row r="1194" spans="1:3" x14ac:dyDescent="0.25">
      <c r="A1194" s="1">
        <f t="shared" si="16"/>
        <v>43709</v>
      </c>
      <c r="B1194" t="s">
        <v>123</v>
      </c>
      <c r="C1194">
        <v>-5330</v>
      </c>
    </row>
    <row r="1195" spans="1:3" x14ac:dyDescent="0.25">
      <c r="A1195" s="1">
        <f t="shared" si="16"/>
        <v>43709</v>
      </c>
      <c r="B1195" t="s">
        <v>124</v>
      </c>
      <c r="C1195">
        <v>-2448</v>
      </c>
    </row>
    <row r="1196" spans="1:3" x14ac:dyDescent="0.25">
      <c r="A1196" s="1">
        <f t="shared" si="16"/>
        <v>43709</v>
      </c>
      <c r="B1196" t="s">
        <v>125</v>
      </c>
      <c r="C1196">
        <v>-1898</v>
      </c>
    </row>
    <row r="1197" spans="1:3" x14ac:dyDescent="0.25">
      <c r="A1197" s="1">
        <f t="shared" si="16"/>
        <v>43709</v>
      </c>
      <c r="B1197" t="s">
        <v>126</v>
      </c>
      <c r="C1197">
        <v>-8139</v>
      </c>
    </row>
    <row r="1198" spans="1:3" x14ac:dyDescent="0.25">
      <c r="A1198" s="1">
        <f t="shared" si="16"/>
        <v>43709</v>
      </c>
      <c r="B1198" t="s">
        <v>127</v>
      </c>
      <c r="C1198">
        <v>-3306</v>
      </c>
    </row>
    <row r="1199" spans="1:3" x14ac:dyDescent="0.25">
      <c r="A1199" s="1">
        <f t="shared" si="16"/>
        <v>43709</v>
      </c>
      <c r="B1199" t="s">
        <v>128</v>
      </c>
      <c r="C1199">
        <v>-5020</v>
      </c>
    </row>
    <row r="1200" spans="1:3" x14ac:dyDescent="0.25">
      <c r="A1200" s="1">
        <f t="shared" si="16"/>
        <v>43709</v>
      </c>
      <c r="B1200" t="s">
        <v>129</v>
      </c>
      <c r="C1200">
        <v>-8467</v>
      </c>
    </row>
    <row r="1201" spans="1:3" x14ac:dyDescent="0.25">
      <c r="A1201" s="1">
        <f t="shared" si="16"/>
        <v>43709</v>
      </c>
      <c r="B1201" t="s">
        <v>130</v>
      </c>
      <c r="C1201">
        <v>-4536</v>
      </c>
    </row>
    <row r="1202" spans="1:3" x14ac:dyDescent="0.25">
      <c r="A1202" s="1">
        <f t="shared" si="16"/>
        <v>43709</v>
      </c>
      <c r="B1202" t="s">
        <v>131</v>
      </c>
      <c r="C1202">
        <v>-2590</v>
      </c>
    </row>
    <row r="1203" spans="1:3" x14ac:dyDescent="0.25">
      <c r="A1203" s="1">
        <f t="shared" si="16"/>
        <v>43709</v>
      </c>
      <c r="B1203" t="s">
        <v>132</v>
      </c>
      <c r="C1203">
        <v>-6480</v>
      </c>
    </row>
    <row r="1204" spans="1:3" x14ac:dyDescent="0.25">
      <c r="A1204" s="1">
        <f t="shared" si="16"/>
        <v>43709</v>
      </c>
      <c r="B1204" t="s">
        <v>133</v>
      </c>
      <c r="C1204">
        <v>-3789</v>
      </c>
    </row>
    <row r="1205" spans="1:3" x14ac:dyDescent="0.25">
      <c r="A1205" s="1">
        <f t="shared" si="16"/>
        <v>43709</v>
      </c>
      <c r="B1205" t="s">
        <v>134</v>
      </c>
      <c r="C1205">
        <v>-7598</v>
      </c>
    </row>
    <row r="1206" spans="1:3" x14ac:dyDescent="0.25">
      <c r="A1206" s="1">
        <f t="shared" si="16"/>
        <v>43709</v>
      </c>
      <c r="B1206" t="s">
        <v>135</v>
      </c>
      <c r="C1206">
        <v>-2142</v>
      </c>
    </row>
    <row r="1207" spans="1:3" x14ac:dyDescent="0.25">
      <c r="A1207" s="1">
        <f t="shared" si="16"/>
        <v>43709</v>
      </c>
      <c r="B1207" t="s">
        <v>136</v>
      </c>
      <c r="C1207">
        <v>-8410</v>
      </c>
    </row>
    <row r="1208" spans="1:3" x14ac:dyDescent="0.25">
      <c r="A1208" s="1">
        <f t="shared" si="16"/>
        <v>43709</v>
      </c>
      <c r="B1208" t="s">
        <v>137</v>
      </c>
      <c r="C1208">
        <v>-8516</v>
      </c>
    </row>
    <row r="1209" spans="1:3" x14ac:dyDescent="0.25">
      <c r="A1209" s="1">
        <f t="shared" si="16"/>
        <v>43709</v>
      </c>
      <c r="B1209" t="s">
        <v>138</v>
      </c>
      <c r="C1209">
        <v>-6571</v>
      </c>
    </row>
    <row r="1210" spans="1:3" x14ac:dyDescent="0.25">
      <c r="A1210" s="1">
        <f t="shared" ref="A1210:A1222" si="17">EDATE(A1070,1)</f>
        <v>43709</v>
      </c>
      <c r="B1210" t="s">
        <v>139</v>
      </c>
      <c r="C1210">
        <v>-9706</v>
      </c>
    </row>
    <row r="1211" spans="1:3" x14ac:dyDescent="0.25">
      <c r="A1211" s="1">
        <f t="shared" si="17"/>
        <v>43709</v>
      </c>
      <c r="B1211" t="s">
        <v>140</v>
      </c>
      <c r="C1211">
        <v>-135430</v>
      </c>
    </row>
    <row r="1212" spans="1:3" x14ac:dyDescent="0.25">
      <c r="A1212" s="1">
        <f t="shared" si="17"/>
        <v>43709</v>
      </c>
      <c r="B1212" t="s">
        <v>141</v>
      </c>
      <c r="C1212">
        <v>-150438</v>
      </c>
    </row>
    <row r="1213" spans="1:3" x14ac:dyDescent="0.25">
      <c r="A1213" s="1">
        <f t="shared" si="17"/>
        <v>43709</v>
      </c>
      <c r="B1213" t="s">
        <v>142</v>
      </c>
      <c r="C1213">
        <v>-199950</v>
      </c>
    </row>
    <row r="1214" spans="1:3" x14ac:dyDescent="0.25">
      <c r="A1214" s="1">
        <f t="shared" si="17"/>
        <v>43709</v>
      </c>
      <c r="B1214" t="s">
        <v>143</v>
      </c>
      <c r="C1214">
        <v>-243812</v>
      </c>
    </row>
    <row r="1215" spans="1:3" x14ac:dyDescent="0.25">
      <c r="A1215" s="1">
        <f t="shared" si="17"/>
        <v>43709</v>
      </c>
      <c r="B1215" t="s">
        <v>144</v>
      </c>
      <c r="C1215">
        <v>-277383</v>
      </c>
    </row>
    <row r="1216" spans="1:3" x14ac:dyDescent="0.25">
      <c r="A1216" s="1">
        <f t="shared" si="17"/>
        <v>43709</v>
      </c>
      <c r="B1216" t="s">
        <v>145</v>
      </c>
      <c r="C1216">
        <v>-160598</v>
      </c>
    </row>
    <row r="1217" spans="1:3" x14ac:dyDescent="0.25">
      <c r="A1217" s="1">
        <f t="shared" si="17"/>
        <v>43709</v>
      </c>
      <c r="B1217" t="s">
        <v>146</v>
      </c>
      <c r="C1217">
        <v>-161323</v>
      </c>
    </row>
    <row r="1218" spans="1:3" x14ac:dyDescent="0.25">
      <c r="A1218" s="1">
        <f t="shared" si="17"/>
        <v>43709</v>
      </c>
      <c r="B1218" t="s">
        <v>147</v>
      </c>
      <c r="C1218">
        <v>-83548</v>
      </c>
    </row>
    <row r="1219" spans="1:3" x14ac:dyDescent="0.25">
      <c r="A1219" s="1">
        <f t="shared" si="17"/>
        <v>43709</v>
      </c>
      <c r="B1219" t="s">
        <v>148</v>
      </c>
      <c r="C1219">
        <v>-265164</v>
      </c>
    </row>
    <row r="1220" spans="1:3" x14ac:dyDescent="0.25">
      <c r="A1220" s="1">
        <f t="shared" si="17"/>
        <v>43709</v>
      </c>
      <c r="B1220" t="s">
        <v>149</v>
      </c>
      <c r="C1220">
        <v>-131420</v>
      </c>
    </row>
    <row r="1221" spans="1:3" x14ac:dyDescent="0.25">
      <c r="A1221" s="1">
        <f t="shared" si="17"/>
        <v>43709</v>
      </c>
      <c r="B1221" t="s">
        <v>150</v>
      </c>
      <c r="C1221">
        <v>-283823</v>
      </c>
    </row>
    <row r="1222" spans="1:3" x14ac:dyDescent="0.25">
      <c r="A1222" s="1">
        <f t="shared" si="17"/>
        <v>43709</v>
      </c>
      <c r="B1222" t="s">
        <v>151</v>
      </c>
      <c r="C1222">
        <v>-163078</v>
      </c>
    </row>
    <row r="1223" spans="1:3" x14ac:dyDescent="0.25">
      <c r="A1223" s="1">
        <f>EDATE(A1083,1)</f>
        <v>43709</v>
      </c>
      <c r="B1223" t="s">
        <v>152</v>
      </c>
      <c r="C1223">
        <v>-265601</v>
      </c>
    </row>
    <row r="1224" spans="1:3" x14ac:dyDescent="0.25">
      <c r="A1224" s="1">
        <f t="shared" ref="A1224:A1287" si="18">EDATE(A1084,1)</f>
        <v>43709</v>
      </c>
      <c r="B1224" t="s">
        <v>153</v>
      </c>
      <c r="C1224">
        <v>-212134</v>
      </c>
    </row>
    <row r="1225" spans="1:3" x14ac:dyDescent="0.25">
      <c r="A1225" s="1">
        <f t="shared" si="18"/>
        <v>43709</v>
      </c>
      <c r="B1225" t="s">
        <v>154</v>
      </c>
      <c r="C1225">
        <v>-85270</v>
      </c>
    </row>
    <row r="1226" spans="1:3" x14ac:dyDescent="0.25">
      <c r="A1226" s="1">
        <f t="shared" si="18"/>
        <v>43709</v>
      </c>
      <c r="B1226" t="s">
        <v>155</v>
      </c>
      <c r="C1226">
        <v>-244429</v>
      </c>
    </row>
    <row r="1227" spans="1:3" x14ac:dyDescent="0.25">
      <c r="A1227" s="1">
        <f t="shared" si="18"/>
        <v>43709</v>
      </c>
      <c r="B1227" t="s">
        <v>156</v>
      </c>
      <c r="C1227">
        <v>-256613</v>
      </c>
    </row>
    <row r="1228" spans="1:3" x14ac:dyDescent="0.25">
      <c r="A1228" s="1">
        <f t="shared" si="18"/>
        <v>43709</v>
      </c>
      <c r="B1228" t="s">
        <v>157</v>
      </c>
      <c r="C1228">
        <v>-299428</v>
      </c>
    </row>
    <row r="1229" spans="1:3" x14ac:dyDescent="0.25">
      <c r="A1229" s="1">
        <f t="shared" si="18"/>
        <v>43709</v>
      </c>
      <c r="B1229" t="s">
        <v>158</v>
      </c>
      <c r="C1229">
        <v>-226729</v>
      </c>
    </row>
    <row r="1230" spans="1:3" x14ac:dyDescent="0.25">
      <c r="A1230" s="1">
        <f t="shared" si="18"/>
        <v>43709</v>
      </c>
      <c r="B1230" t="s">
        <v>159</v>
      </c>
      <c r="C1230">
        <v>-179452</v>
      </c>
    </row>
    <row r="1231" spans="1:3" x14ac:dyDescent="0.25">
      <c r="A1231" s="1">
        <f t="shared" si="18"/>
        <v>43709</v>
      </c>
      <c r="B1231" t="s">
        <v>160</v>
      </c>
      <c r="C1231">
        <v>-98141</v>
      </c>
    </row>
    <row r="1232" spans="1:3" x14ac:dyDescent="0.25">
      <c r="A1232" s="1">
        <f t="shared" si="18"/>
        <v>43709</v>
      </c>
      <c r="B1232" t="s">
        <v>161</v>
      </c>
      <c r="C1232">
        <v>-280114</v>
      </c>
    </row>
    <row r="1233" spans="1:3" x14ac:dyDescent="0.25">
      <c r="A1233" s="1">
        <f t="shared" si="18"/>
        <v>43709</v>
      </c>
      <c r="B1233" t="s">
        <v>162</v>
      </c>
      <c r="C1233">
        <v>-154411</v>
      </c>
    </row>
    <row r="1234" spans="1:3" x14ac:dyDescent="0.25">
      <c r="A1234" s="1">
        <f t="shared" si="18"/>
        <v>43709</v>
      </c>
      <c r="B1234" t="s">
        <v>163</v>
      </c>
      <c r="C1234">
        <v>-190171</v>
      </c>
    </row>
    <row r="1235" spans="1:3" x14ac:dyDescent="0.25">
      <c r="A1235" s="1">
        <f t="shared" si="18"/>
        <v>43709</v>
      </c>
      <c r="B1235" t="s">
        <v>164</v>
      </c>
      <c r="C1235">
        <v>-51983</v>
      </c>
    </row>
    <row r="1236" spans="1:3" x14ac:dyDescent="0.25">
      <c r="A1236" s="1">
        <f t="shared" si="18"/>
        <v>43709</v>
      </c>
      <c r="B1236" t="s">
        <v>165</v>
      </c>
      <c r="C1236">
        <v>-89096</v>
      </c>
    </row>
    <row r="1237" spans="1:3" x14ac:dyDescent="0.25">
      <c r="A1237" s="1">
        <f t="shared" si="18"/>
        <v>43709</v>
      </c>
      <c r="B1237" t="s">
        <v>166</v>
      </c>
      <c r="C1237">
        <v>-54916</v>
      </c>
    </row>
    <row r="1238" spans="1:3" x14ac:dyDescent="0.25">
      <c r="A1238" s="1">
        <f t="shared" si="18"/>
        <v>43709</v>
      </c>
      <c r="B1238" t="s">
        <v>167</v>
      </c>
      <c r="C1238">
        <v>-205644</v>
      </c>
    </row>
    <row r="1239" spans="1:3" x14ac:dyDescent="0.25">
      <c r="A1239" s="1">
        <f t="shared" si="18"/>
        <v>43709</v>
      </c>
      <c r="B1239" t="s">
        <v>168</v>
      </c>
      <c r="C1239">
        <v>-270507</v>
      </c>
    </row>
    <row r="1240" spans="1:3" x14ac:dyDescent="0.25">
      <c r="A1240" s="1">
        <f t="shared" si="18"/>
        <v>43709</v>
      </c>
      <c r="B1240" t="s">
        <v>169</v>
      </c>
      <c r="C1240">
        <v>-179176</v>
      </c>
    </row>
    <row r="1241" spans="1:3" x14ac:dyDescent="0.25">
      <c r="A1241" s="1">
        <f t="shared" si="18"/>
        <v>43709</v>
      </c>
      <c r="B1241" t="s">
        <v>170</v>
      </c>
      <c r="C1241">
        <v>-91296</v>
      </c>
    </row>
    <row r="1242" spans="1:3" x14ac:dyDescent="0.25">
      <c r="A1242" s="1">
        <f t="shared" si="18"/>
        <v>43709</v>
      </c>
      <c r="B1242" t="s">
        <v>171</v>
      </c>
      <c r="C1242">
        <v>-149966</v>
      </c>
    </row>
    <row r="1243" spans="1:3" x14ac:dyDescent="0.25">
      <c r="A1243" s="1">
        <f t="shared" si="18"/>
        <v>43709</v>
      </c>
      <c r="B1243" t="s">
        <v>172</v>
      </c>
      <c r="C1243">
        <v>-130393</v>
      </c>
    </row>
    <row r="1244" spans="1:3" x14ac:dyDescent="0.25">
      <c r="A1244" s="1">
        <f t="shared" si="18"/>
        <v>43709</v>
      </c>
      <c r="B1244" t="s">
        <v>173</v>
      </c>
      <c r="C1244">
        <v>-55911</v>
      </c>
    </row>
    <row r="1245" spans="1:3" x14ac:dyDescent="0.25">
      <c r="A1245" s="1">
        <f t="shared" si="18"/>
        <v>43709</v>
      </c>
      <c r="B1245" t="s">
        <v>174</v>
      </c>
      <c r="C1245">
        <v>-49849</v>
      </c>
    </row>
    <row r="1246" spans="1:3" x14ac:dyDescent="0.25">
      <c r="A1246" s="1">
        <f t="shared" si="18"/>
        <v>43709</v>
      </c>
      <c r="B1246" t="s">
        <v>175</v>
      </c>
      <c r="C1246">
        <v>-52306</v>
      </c>
    </row>
    <row r="1247" spans="1:3" x14ac:dyDescent="0.25">
      <c r="A1247" s="1">
        <f t="shared" si="18"/>
        <v>43709</v>
      </c>
      <c r="B1247" t="s">
        <v>176</v>
      </c>
      <c r="C1247">
        <v>-46072</v>
      </c>
    </row>
    <row r="1248" spans="1:3" x14ac:dyDescent="0.25">
      <c r="A1248" s="1">
        <f t="shared" si="18"/>
        <v>43709</v>
      </c>
      <c r="B1248" t="s">
        <v>177</v>
      </c>
      <c r="C1248">
        <v>-42634</v>
      </c>
    </row>
    <row r="1249" spans="1:3" x14ac:dyDescent="0.25">
      <c r="A1249" s="1">
        <f t="shared" si="18"/>
        <v>43709</v>
      </c>
      <c r="B1249" t="s">
        <v>178</v>
      </c>
      <c r="C1249">
        <v>-107500</v>
      </c>
    </row>
    <row r="1250" spans="1:3" x14ac:dyDescent="0.25">
      <c r="A1250" s="1">
        <f t="shared" si="18"/>
        <v>43709</v>
      </c>
      <c r="B1250" t="s">
        <v>179</v>
      </c>
      <c r="C1250">
        <v>-248852</v>
      </c>
    </row>
    <row r="1251" spans="1:3" x14ac:dyDescent="0.25">
      <c r="A1251" s="1">
        <f t="shared" si="18"/>
        <v>43709</v>
      </c>
      <c r="B1251" t="s">
        <v>180</v>
      </c>
      <c r="C1251">
        <v>-256706</v>
      </c>
    </row>
    <row r="1252" spans="1:3" x14ac:dyDescent="0.25">
      <c r="A1252" s="1">
        <f t="shared" si="18"/>
        <v>43709</v>
      </c>
      <c r="B1252" t="s">
        <v>181</v>
      </c>
      <c r="C1252">
        <v>-56186</v>
      </c>
    </row>
    <row r="1253" spans="1:3" x14ac:dyDescent="0.25">
      <c r="A1253" s="1">
        <f t="shared" si="18"/>
        <v>43709</v>
      </c>
      <c r="B1253" t="s">
        <v>182</v>
      </c>
      <c r="C1253">
        <v>-56762</v>
      </c>
    </row>
    <row r="1254" spans="1:3" x14ac:dyDescent="0.25">
      <c r="A1254" s="1">
        <f t="shared" si="18"/>
        <v>43709</v>
      </c>
      <c r="B1254" t="s">
        <v>183</v>
      </c>
      <c r="C1254">
        <v>-87332</v>
      </c>
    </row>
    <row r="1255" spans="1:3" x14ac:dyDescent="0.25">
      <c r="A1255" s="1">
        <f t="shared" si="18"/>
        <v>43709</v>
      </c>
      <c r="B1255" t="s">
        <v>184</v>
      </c>
      <c r="C1255">
        <v>-60507</v>
      </c>
    </row>
    <row r="1256" spans="1:3" x14ac:dyDescent="0.25">
      <c r="A1256" s="1">
        <f t="shared" si="18"/>
        <v>43709</v>
      </c>
      <c r="B1256" t="s">
        <v>185</v>
      </c>
      <c r="C1256">
        <v>-112589</v>
      </c>
    </row>
    <row r="1257" spans="1:3" x14ac:dyDescent="0.25">
      <c r="A1257" s="1">
        <f t="shared" si="18"/>
        <v>43709</v>
      </c>
      <c r="B1257" t="s">
        <v>186</v>
      </c>
      <c r="C1257">
        <v>-104836</v>
      </c>
    </row>
    <row r="1258" spans="1:3" x14ac:dyDescent="0.25">
      <c r="A1258" s="1">
        <f t="shared" si="18"/>
        <v>43709</v>
      </c>
      <c r="B1258" t="s">
        <v>187</v>
      </c>
      <c r="C1258">
        <v>-141472</v>
      </c>
    </row>
    <row r="1259" spans="1:3" x14ac:dyDescent="0.25">
      <c r="A1259" s="1">
        <f t="shared" si="18"/>
        <v>43709</v>
      </c>
      <c r="B1259" t="s">
        <v>188</v>
      </c>
      <c r="C1259">
        <v>-133853</v>
      </c>
    </row>
    <row r="1260" spans="1:3" x14ac:dyDescent="0.25">
      <c r="A1260" s="1">
        <f t="shared" si="18"/>
        <v>43709</v>
      </c>
      <c r="B1260" t="s">
        <v>189</v>
      </c>
      <c r="C1260">
        <v>-9572</v>
      </c>
    </row>
    <row r="1261" spans="1:3" x14ac:dyDescent="0.25">
      <c r="A1261" s="1">
        <f t="shared" si="18"/>
        <v>43709</v>
      </c>
      <c r="B1261" t="s">
        <v>190</v>
      </c>
      <c r="C1261">
        <v>-28466</v>
      </c>
    </row>
    <row r="1262" spans="1:3" x14ac:dyDescent="0.25">
      <c r="A1262" s="1">
        <f t="shared" si="18"/>
        <v>43739</v>
      </c>
      <c r="B1262" t="s">
        <v>51</v>
      </c>
      <c r="C1262">
        <v>207926</v>
      </c>
    </row>
    <row r="1263" spans="1:3" x14ac:dyDescent="0.25">
      <c r="A1263" s="1">
        <f t="shared" si="18"/>
        <v>43739</v>
      </c>
      <c r="B1263" t="s">
        <v>52</v>
      </c>
      <c r="C1263">
        <v>488279</v>
      </c>
    </row>
    <row r="1264" spans="1:3" x14ac:dyDescent="0.25">
      <c r="A1264" s="1">
        <f t="shared" si="18"/>
        <v>43739</v>
      </c>
      <c r="B1264" t="s">
        <v>53</v>
      </c>
      <c r="C1264">
        <v>960239</v>
      </c>
    </row>
    <row r="1265" spans="1:3" x14ac:dyDescent="0.25">
      <c r="A1265" s="1">
        <f t="shared" si="18"/>
        <v>43739</v>
      </c>
      <c r="B1265" t="s">
        <v>54</v>
      </c>
      <c r="C1265">
        <v>474922</v>
      </c>
    </row>
    <row r="1266" spans="1:3" x14ac:dyDescent="0.25">
      <c r="A1266" s="1">
        <f t="shared" si="18"/>
        <v>43739</v>
      </c>
      <c r="B1266" t="s">
        <v>55</v>
      </c>
      <c r="C1266">
        <v>991049</v>
      </c>
    </row>
    <row r="1267" spans="1:3" x14ac:dyDescent="0.25">
      <c r="A1267" s="1">
        <f t="shared" si="18"/>
        <v>43739</v>
      </c>
      <c r="B1267" t="s">
        <v>56</v>
      </c>
      <c r="C1267">
        <v>354363</v>
      </c>
    </row>
    <row r="1268" spans="1:3" x14ac:dyDescent="0.25">
      <c r="A1268" s="1">
        <f t="shared" si="18"/>
        <v>43739</v>
      </c>
      <c r="B1268" t="s">
        <v>57</v>
      </c>
      <c r="C1268">
        <v>677602</v>
      </c>
    </row>
    <row r="1269" spans="1:3" x14ac:dyDescent="0.25">
      <c r="A1269" s="1">
        <f t="shared" si="18"/>
        <v>43739</v>
      </c>
      <c r="B1269" t="s">
        <v>58</v>
      </c>
      <c r="C1269">
        <v>404690</v>
      </c>
    </row>
    <row r="1270" spans="1:3" x14ac:dyDescent="0.25">
      <c r="A1270" s="1">
        <f t="shared" si="18"/>
        <v>43739</v>
      </c>
      <c r="B1270" t="s">
        <v>59</v>
      </c>
      <c r="C1270">
        <v>991642</v>
      </c>
    </row>
    <row r="1271" spans="1:3" x14ac:dyDescent="0.25">
      <c r="A1271" s="1">
        <f t="shared" si="18"/>
        <v>43739</v>
      </c>
      <c r="B1271" t="s">
        <v>60</v>
      </c>
      <c r="C1271">
        <v>824111</v>
      </c>
    </row>
    <row r="1272" spans="1:3" x14ac:dyDescent="0.25">
      <c r="A1272" s="1">
        <f t="shared" si="18"/>
        <v>43739</v>
      </c>
      <c r="B1272" t="s">
        <v>61</v>
      </c>
      <c r="C1272">
        <v>226258</v>
      </c>
    </row>
    <row r="1273" spans="1:3" x14ac:dyDescent="0.25">
      <c r="A1273" s="1">
        <f t="shared" si="18"/>
        <v>43739</v>
      </c>
      <c r="B1273" t="s">
        <v>62</v>
      </c>
      <c r="C1273">
        <v>965451</v>
      </c>
    </row>
    <row r="1274" spans="1:3" x14ac:dyDescent="0.25">
      <c r="A1274" s="1">
        <f t="shared" si="18"/>
        <v>43739</v>
      </c>
      <c r="B1274" t="s">
        <v>63</v>
      </c>
      <c r="C1274">
        <v>938376</v>
      </c>
    </row>
    <row r="1275" spans="1:3" x14ac:dyDescent="0.25">
      <c r="A1275" s="1">
        <f t="shared" si="18"/>
        <v>43739</v>
      </c>
      <c r="B1275" t="s">
        <v>64</v>
      </c>
      <c r="C1275">
        <v>821647</v>
      </c>
    </row>
    <row r="1276" spans="1:3" x14ac:dyDescent="0.25">
      <c r="A1276" s="1">
        <f t="shared" si="18"/>
        <v>43739</v>
      </c>
      <c r="B1276" t="s">
        <v>65</v>
      </c>
      <c r="C1276">
        <v>854149</v>
      </c>
    </row>
    <row r="1277" spans="1:3" x14ac:dyDescent="0.25">
      <c r="A1277" s="1">
        <f t="shared" si="18"/>
        <v>43739</v>
      </c>
      <c r="B1277" t="s">
        <v>66</v>
      </c>
      <c r="C1277">
        <v>265633</v>
      </c>
    </row>
    <row r="1278" spans="1:3" x14ac:dyDescent="0.25">
      <c r="A1278" s="1">
        <f t="shared" si="18"/>
        <v>43739</v>
      </c>
      <c r="B1278" t="s">
        <v>67</v>
      </c>
      <c r="C1278">
        <v>776737</v>
      </c>
    </row>
    <row r="1279" spans="1:3" x14ac:dyDescent="0.25">
      <c r="A1279" s="1">
        <f t="shared" si="18"/>
        <v>43739</v>
      </c>
      <c r="B1279" t="s">
        <v>68</v>
      </c>
      <c r="C1279">
        <v>499789</v>
      </c>
    </row>
    <row r="1280" spans="1:3" x14ac:dyDescent="0.25">
      <c r="A1280" s="1">
        <f t="shared" si="18"/>
        <v>43739</v>
      </c>
      <c r="B1280" t="s">
        <v>69</v>
      </c>
      <c r="C1280">
        <v>213269</v>
      </c>
    </row>
    <row r="1281" spans="1:3" x14ac:dyDescent="0.25">
      <c r="A1281" s="1">
        <f t="shared" si="18"/>
        <v>43739</v>
      </c>
      <c r="B1281" t="s">
        <v>70</v>
      </c>
      <c r="C1281">
        <v>208238</v>
      </c>
    </row>
    <row r="1282" spans="1:3" x14ac:dyDescent="0.25">
      <c r="A1282" s="1">
        <f t="shared" si="18"/>
        <v>43739</v>
      </c>
      <c r="B1282" t="s">
        <v>71</v>
      </c>
      <c r="C1282">
        <v>453127</v>
      </c>
    </row>
    <row r="1283" spans="1:3" x14ac:dyDescent="0.25">
      <c r="A1283" s="1">
        <f t="shared" si="18"/>
        <v>43739</v>
      </c>
      <c r="B1283" t="s">
        <v>72</v>
      </c>
      <c r="C1283">
        <v>827703</v>
      </c>
    </row>
    <row r="1284" spans="1:3" x14ac:dyDescent="0.25">
      <c r="A1284" s="1">
        <f t="shared" si="18"/>
        <v>43739</v>
      </c>
      <c r="B1284" t="s">
        <v>73</v>
      </c>
      <c r="C1284">
        <v>94263</v>
      </c>
    </row>
    <row r="1285" spans="1:3" x14ac:dyDescent="0.25">
      <c r="A1285" s="1">
        <f t="shared" si="18"/>
        <v>43739</v>
      </c>
      <c r="B1285" t="s">
        <v>74</v>
      </c>
      <c r="C1285">
        <v>92952</v>
      </c>
    </row>
    <row r="1286" spans="1:3" x14ac:dyDescent="0.25">
      <c r="A1286" s="1">
        <f t="shared" si="18"/>
        <v>43739</v>
      </c>
      <c r="B1286" t="s">
        <v>75</v>
      </c>
      <c r="C1286">
        <v>222000</v>
      </c>
    </row>
    <row r="1287" spans="1:3" x14ac:dyDescent="0.25">
      <c r="A1287" s="1">
        <f t="shared" si="18"/>
        <v>43739</v>
      </c>
      <c r="B1287" t="s">
        <v>76</v>
      </c>
      <c r="C1287">
        <v>104670</v>
      </c>
    </row>
    <row r="1288" spans="1:3" x14ac:dyDescent="0.25">
      <c r="A1288" s="1">
        <f t="shared" ref="A1288:A1351" si="19">EDATE(A1148,1)</f>
        <v>43739</v>
      </c>
      <c r="B1288" t="s">
        <v>77</v>
      </c>
      <c r="C1288">
        <v>245452</v>
      </c>
    </row>
    <row r="1289" spans="1:3" x14ac:dyDescent="0.25">
      <c r="A1289" s="1">
        <f t="shared" si="19"/>
        <v>43739</v>
      </c>
      <c r="B1289" t="s">
        <v>78</v>
      </c>
      <c r="C1289">
        <v>65805</v>
      </c>
    </row>
    <row r="1290" spans="1:3" x14ac:dyDescent="0.25">
      <c r="A1290" s="1">
        <f t="shared" si="19"/>
        <v>43739</v>
      </c>
      <c r="B1290" t="s">
        <v>79</v>
      </c>
      <c r="C1290">
        <v>61812</v>
      </c>
    </row>
    <row r="1291" spans="1:3" x14ac:dyDescent="0.25">
      <c r="A1291" s="1">
        <f t="shared" si="19"/>
        <v>43739</v>
      </c>
      <c r="B1291" t="s">
        <v>80</v>
      </c>
      <c r="C1291">
        <v>260797</v>
      </c>
    </row>
    <row r="1292" spans="1:3" x14ac:dyDescent="0.25">
      <c r="A1292" s="1">
        <f t="shared" si="19"/>
        <v>43739</v>
      </c>
      <c r="B1292" t="s">
        <v>81</v>
      </c>
      <c r="C1292">
        <v>66955</v>
      </c>
    </row>
    <row r="1293" spans="1:3" x14ac:dyDescent="0.25">
      <c r="A1293" s="1">
        <f t="shared" si="19"/>
        <v>43739</v>
      </c>
      <c r="B1293" t="s">
        <v>82</v>
      </c>
      <c r="C1293">
        <v>223791</v>
      </c>
    </row>
    <row r="1294" spans="1:3" x14ac:dyDescent="0.25">
      <c r="A1294" s="1">
        <f t="shared" si="19"/>
        <v>43739</v>
      </c>
      <c r="B1294" t="s">
        <v>83</v>
      </c>
      <c r="C1294">
        <v>52687</v>
      </c>
    </row>
    <row r="1295" spans="1:3" x14ac:dyDescent="0.25">
      <c r="A1295" s="1">
        <f t="shared" si="19"/>
        <v>43739</v>
      </c>
      <c r="B1295" t="s">
        <v>84</v>
      </c>
      <c r="C1295">
        <v>124461</v>
      </c>
    </row>
    <row r="1296" spans="1:3" x14ac:dyDescent="0.25">
      <c r="A1296" s="1">
        <f t="shared" si="19"/>
        <v>43739</v>
      </c>
      <c r="B1296" t="s">
        <v>85</v>
      </c>
      <c r="C1296">
        <v>150263</v>
      </c>
    </row>
    <row r="1297" spans="1:3" x14ac:dyDescent="0.25">
      <c r="A1297" s="1">
        <f t="shared" si="19"/>
        <v>43739</v>
      </c>
      <c r="B1297" t="s">
        <v>86</v>
      </c>
      <c r="C1297">
        <v>106409</v>
      </c>
    </row>
    <row r="1298" spans="1:3" x14ac:dyDescent="0.25">
      <c r="A1298" s="1">
        <f t="shared" si="19"/>
        <v>43739</v>
      </c>
      <c r="B1298" t="s">
        <v>87</v>
      </c>
      <c r="C1298">
        <v>292137</v>
      </c>
    </row>
    <row r="1299" spans="1:3" x14ac:dyDescent="0.25">
      <c r="A1299" s="1">
        <f t="shared" si="19"/>
        <v>43739</v>
      </c>
      <c r="B1299" t="s">
        <v>88</v>
      </c>
      <c r="C1299">
        <v>168530</v>
      </c>
    </row>
    <row r="1300" spans="1:3" x14ac:dyDescent="0.25">
      <c r="A1300" s="1">
        <f t="shared" si="19"/>
        <v>43739</v>
      </c>
      <c r="B1300" t="s">
        <v>89</v>
      </c>
      <c r="C1300">
        <v>96030</v>
      </c>
    </row>
    <row r="1301" spans="1:3" x14ac:dyDescent="0.25">
      <c r="A1301" s="1">
        <f t="shared" si="19"/>
        <v>43739</v>
      </c>
      <c r="B1301" t="s">
        <v>90</v>
      </c>
      <c r="C1301">
        <v>210606</v>
      </c>
    </row>
    <row r="1302" spans="1:3" x14ac:dyDescent="0.25">
      <c r="A1302" s="1">
        <f t="shared" si="19"/>
        <v>43739</v>
      </c>
      <c r="B1302" t="s">
        <v>91</v>
      </c>
      <c r="C1302">
        <v>110925</v>
      </c>
    </row>
    <row r="1303" spans="1:3" x14ac:dyDescent="0.25">
      <c r="A1303" s="1">
        <f t="shared" si="19"/>
        <v>43739</v>
      </c>
      <c r="B1303" t="s">
        <v>92</v>
      </c>
      <c r="C1303">
        <v>147032</v>
      </c>
    </row>
    <row r="1304" spans="1:3" x14ac:dyDescent="0.25">
      <c r="A1304" s="1">
        <f t="shared" si="19"/>
        <v>43739</v>
      </c>
      <c r="B1304" t="s">
        <v>93</v>
      </c>
      <c r="C1304">
        <v>183576</v>
      </c>
    </row>
    <row r="1305" spans="1:3" x14ac:dyDescent="0.25">
      <c r="A1305" s="1">
        <f t="shared" si="19"/>
        <v>43739</v>
      </c>
      <c r="B1305" t="s">
        <v>94</v>
      </c>
      <c r="C1305">
        <v>155455</v>
      </c>
    </row>
    <row r="1306" spans="1:3" x14ac:dyDescent="0.25">
      <c r="A1306" s="1">
        <f t="shared" si="19"/>
        <v>43739</v>
      </c>
      <c r="B1306" t="s">
        <v>95</v>
      </c>
      <c r="C1306">
        <v>153557</v>
      </c>
    </row>
    <row r="1307" spans="1:3" x14ac:dyDescent="0.25">
      <c r="A1307" s="1">
        <f t="shared" si="19"/>
        <v>43739</v>
      </c>
      <c r="B1307" t="s">
        <v>96</v>
      </c>
      <c r="C1307">
        <v>189562</v>
      </c>
    </row>
    <row r="1308" spans="1:3" x14ac:dyDescent="0.25">
      <c r="A1308" s="1">
        <f t="shared" si="19"/>
        <v>43739</v>
      </c>
      <c r="B1308" t="s">
        <v>97</v>
      </c>
      <c r="C1308">
        <v>214096</v>
      </c>
    </row>
    <row r="1309" spans="1:3" x14ac:dyDescent="0.25">
      <c r="A1309" s="1">
        <f t="shared" si="19"/>
        <v>43739</v>
      </c>
      <c r="B1309" t="s">
        <v>98</v>
      </c>
      <c r="C1309">
        <v>145388</v>
      </c>
    </row>
    <row r="1310" spans="1:3" x14ac:dyDescent="0.25">
      <c r="A1310" s="1">
        <f t="shared" si="19"/>
        <v>43739</v>
      </c>
      <c r="B1310" t="s">
        <v>99</v>
      </c>
      <c r="C1310">
        <v>142959</v>
      </c>
    </row>
    <row r="1311" spans="1:3" x14ac:dyDescent="0.25">
      <c r="A1311" s="1">
        <f t="shared" si="19"/>
        <v>43739</v>
      </c>
      <c r="B1311" t="s">
        <v>100</v>
      </c>
      <c r="C1311">
        <v>171763</v>
      </c>
    </row>
    <row r="1312" spans="1:3" x14ac:dyDescent="0.25">
      <c r="A1312" s="1">
        <f t="shared" si="19"/>
        <v>43739</v>
      </c>
      <c r="B1312" t="s">
        <v>101</v>
      </c>
      <c r="C1312">
        <v>147325</v>
      </c>
    </row>
    <row r="1313" spans="1:3" x14ac:dyDescent="0.25">
      <c r="A1313" s="1">
        <f t="shared" si="19"/>
        <v>43739</v>
      </c>
      <c r="B1313" t="s">
        <v>102</v>
      </c>
      <c r="C1313">
        <v>178525</v>
      </c>
    </row>
    <row r="1314" spans="1:3" x14ac:dyDescent="0.25">
      <c r="A1314" s="1">
        <f t="shared" si="19"/>
        <v>43739</v>
      </c>
      <c r="B1314" t="s">
        <v>103</v>
      </c>
      <c r="C1314">
        <v>199365</v>
      </c>
    </row>
    <row r="1315" spans="1:3" x14ac:dyDescent="0.25">
      <c r="A1315" s="1">
        <f t="shared" si="19"/>
        <v>43739</v>
      </c>
      <c r="B1315" t="s">
        <v>104</v>
      </c>
      <c r="C1315">
        <v>90072</v>
      </c>
    </row>
    <row r="1316" spans="1:3" x14ac:dyDescent="0.25">
      <c r="A1316" s="1">
        <f t="shared" si="19"/>
        <v>43739</v>
      </c>
      <c r="B1316" t="s">
        <v>105</v>
      </c>
      <c r="C1316">
        <v>223304</v>
      </c>
    </row>
    <row r="1317" spans="1:3" x14ac:dyDescent="0.25">
      <c r="A1317" s="1">
        <f t="shared" si="19"/>
        <v>43739</v>
      </c>
      <c r="B1317" t="s">
        <v>106</v>
      </c>
      <c r="C1317">
        <v>73802</v>
      </c>
    </row>
    <row r="1318" spans="1:3" x14ac:dyDescent="0.25">
      <c r="A1318" s="1">
        <f t="shared" si="19"/>
        <v>43739</v>
      </c>
      <c r="B1318" t="s">
        <v>107</v>
      </c>
      <c r="C1318">
        <v>251560</v>
      </c>
    </row>
    <row r="1319" spans="1:3" x14ac:dyDescent="0.25">
      <c r="A1319" s="1">
        <f t="shared" si="19"/>
        <v>43739</v>
      </c>
      <c r="B1319" t="s">
        <v>108</v>
      </c>
      <c r="C1319">
        <v>252520</v>
      </c>
    </row>
    <row r="1320" spans="1:3" x14ac:dyDescent="0.25">
      <c r="A1320" s="1">
        <f t="shared" si="19"/>
        <v>43739</v>
      </c>
      <c r="B1320" t="s">
        <v>109</v>
      </c>
      <c r="C1320">
        <v>120421</v>
      </c>
    </row>
    <row r="1321" spans="1:3" x14ac:dyDescent="0.25">
      <c r="A1321" s="1">
        <f t="shared" si="19"/>
        <v>43739</v>
      </c>
      <c r="B1321" t="s">
        <v>110</v>
      </c>
      <c r="C1321">
        <v>-6990</v>
      </c>
    </row>
    <row r="1322" spans="1:3" x14ac:dyDescent="0.25">
      <c r="A1322" s="1">
        <f t="shared" si="19"/>
        <v>43739</v>
      </c>
      <c r="B1322" t="s">
        <v>111</v>
      </c>
      <c r="C1322">
        <v>-9859</v>
      </c>
    </row>
    <row r="1323" spans="1:3" x14ac:dyDescent="0.25">
      <c r="A1323" s="1">
        <f t="shared" si="19"/>
        <v>43739</v>
      </c>
      <c r="B1323" t="s">
        <v>112</v>
      </c>
      <c r="C1323">
        <v>-5172</v>
      </c>
    </row>
    <row r="1324" spans="1:3" x14ac:dyDescent="0.25">
      <c r="A1324" s="1">
        <f t="shared" si="19"/>
        <v>43739</v>
      </c>
      <c r="B1324" t="s">
        <v>113</v>
      </c>
      <c r="C1324">
        <v>-1334</v>
      </c>
    </row>
    <row r="1325" spans="1:3" x14ac:dyDescent="0.25">
      <c r="A1325" s="1">
        <f t="shared" si="19"/>
        <v>43739</v>
      </c>
      <c r="B1325" t="s">
        <v>114</v>
      </c>
      <c r="C1325">
        <v>-2555</v>
      </c>
    </row>
    <row r="1326" spans="1:3" x14ac:dyDescent="0.25">
      <c r="A1326" s="1">
        <f t="shared" si="19"/>
        <v>43739</v>
      </c>
      <c r="B1326" t="s">
        <v>115</v>
      </c>
      <c r="C1326">
        <v>-9468</v>
      </c>
    </row>
    <row r="1327" spans="1:3" x14ac:dyDescent="0.25">
      <c r="A1327" s="1">
        <f t="shared" si="19"/>
        <v>43739</v>
      </c>
      <c r="B1327" t="s">
        <v>116</v>
      </c>
      <c r="C1327">
        <v>-4295</v>
      </c>
    </row>
    <row r="1328" spans="1:3" x14ac:dyDescent="0.25">
      <c r="A1328" s="1">
        <f t="shared" si="19"/>
        <v>43739</v>
      </c>
      <c r="B1328" t="s">
        <v>117</v>
      </c>
      <c r="C1328">
        <v>-5398</v>
      </c>
    </row>
    <row r="1329" spans="1:3" x14ac:dyDescent="0.25">
      <c r="A1329" s="1">
        <f t="shared" si="19"/>
        <v>43739</v>
      </c>
      <c r="B1329" t="s">
        <v>118</v>
      </c>
      <c r="C1329">
        <v>-2381</v>
      </c>
    </row>
    <row r="1330" spans="1:3" x14ac:dyDescent="0.25">
      <c r="A1330" s="1">
        <f t="shared" si="19"/>
        <v>43739</v>
      </c>
      <c r="B1330" t="s">
        <v>119</v>
      </c>
      <c r="C1330">
        <v>-6350</v>
      </c>
    </row>
    <row r="1331" spans="1:3" x14ac:dyDescent="0.25">
      <c r="A1331" s="1">
        <f t="shared" si="19"/>
        <v>43739</v>
      </c>
      <c r="B1331" t="s">
        <v>120</v>
      </c>
      <c r="C1331">
        <v>-6167</v>
      </c>
    </row>
    <row r="1332" spans="1:3" x14ac:dyDescent="0.25">
      <c r="A1332" s="1">
        <f t="shared" si="19"/>
        <v>43739</v>
      </c>
      <c r="B1332" t="s">
        <v>121</v>
      </c>
      <c r="C1332">
        <v>-1053</v>
      </c>
    </row>
    <row r="1333" spans="1:3" x14ac:dyDescent="0.25">
      <c r="A1333" s="1">
        <f t="shared" si="19"/>
        <v>43739</v>
      </c>
      <c r="B1333" t="s">
        <v>122</v>
      </c>
      <c r="C1333">
        <v>-1438</v>
      </c>
    </row>
    <row r="1334" spans="1:3" x14ac:dyDescent="0.25">
      <c r="A1334" s="1">
        <f t="shared" si="19"/>
        <v>43739</v>
      </c>
      <c r="B1334" t="s">
        <v>123</v>
      </c>
      <c r="C1334">
        <v>-4090</v>
      </c>
    </row>
    <row r="1335" spans="1:3" x14ac:dyDescent="0.25">
      <c r="A1335" s="1">
        <f t="shared" si="19"/>
        <v>43739</v>
      </c>
      <c r="B1335" t="s">
        <v>124</v>
      </c>
      <c r="C1335">
        <v>-9401</v>
      </c>
    </row>
    <row r="1336" spans="1:3" x14ac:dyDescent="0.25">
      <c r="A1336" s="1">
        <f t="shared" si="19"/>
        <v>43739</v>
      </c>
      <c r="B1336" t="s">
        <v>125</v>
      </c>
      <c r="C1336">
        <v>-8153</v>
      </c>
    </row>
    <row r="1337" spans="1:3" x14ac:dyDescent="0.25">
      <c r="A1337" s="1">
        <f t="shared" si="19"/>
        <v>43739</v>
      </c>
      <c r="B1337" t="s">
        <v>126</v>
      </c>
      <c r="C1337">
        <v>-4669</v>
      </c>
    </row>
    <row r="1338" spans="1:3" x14ac:dyDescent="0.25">
      <c r="A1338" s="1">
        <f t="shared" si="19"/>
        <v>43739</v>
      </c>
      <c r="B1338" t="s">
        <v>127</v>
      </c>
      <c r="C1338">
        <v>-1261</v>
      </c>
    </row>
    <row r="1339" spans="1:3" x14ac:dyDescent="0.25">
      <c r="A1339" s="1">
        <f t="shared" si="19"/>
        <v>43739</v>
      </c>
      <c r="B1339" t="s">
        <v>128</v>
      </c>
      <c r="C1339">
        <v>-8888</v>
      </c>
    </row>
    <row r="1340" spans="1:3" x14ac:dyDescent="0.25">
      <c r="A1340" s="1">
        <f t="shared" si="19"/>
        <v>43739</v>
      </c>
      <c r="B1340" t="s">
        <v>129</v>
      </c>
      <c r="C1340">
        <v>-1622</v>
      </c>
    </row>
    <row r="1341" spans="1:3" x14ac:dyDescent="0.25">
      <c r="A1341" s="1">
        <f t="shared" si="19"/>
        <v>43739</v>
      </c>
      <c r="B1341" t="s">
        <v>130</v>
      </c>
      <c r="C1341">
        <v>-2170</v>
      </c>
    </row>
    <row r="1342" spans="1:3" x14ac:dyDescent="0.25">
      <c r="A1342" s="1">
        <f t="shared" si="19"/>
        <v>43739</v>
      </c>
      <c r="B1342" t="s">
        <v>131</v>
      </c>
      <c r="C1342">
        <v>-1513</v>
      </c>
    </row>
    <row r="1343" spans="1:3" x14ac:dyDescent="0.25">
      <c r="A1343" s="1">
        <f t="shared" si="19"/>
        <v>43739</v>
      </c>
      <c r="B1343" t="s">
        <v>132</v>
      </c>
      <c r="C1343">
        <v>-5606</v>
      </c>
    </row>
    <row r="1344" spans="1:3" x14ac:dyDescent="0.25">
      <c r="A1344" s="1">
        <f t="shared" si="19"/>
        <v>43739</v>
      </c>
      <c r="B1344" t="s">
        <v>133</v>
      </c>
      <c r="C1344">
        <v>-6758</v>
      </c>
    </row>
    <row r="1345" spans="1:3" x14ac:dyDescent="0.25">
      <c r="A1345" s="1">
        <f t="shared" si="19"/>
        <v>43739</v>
      </c>
      <c r="B1345" t="s">
        <v>134</v>
      </c>
      <c r="C1345">
        <v>-2306</v>
      </c>
    </row>
    <row r="1346" spans="1:3" x14ac:dyDescent="0.25">
      <c r="A1346" s="1">
        <f t="shared" si="19"/>
        <v>43739</v>
      </c>
      <c r="B1346" t="s">
        <v>135</v>
      </c>
      <c r="C1346">
        <v>-5365</v>
      </c>
    </row>
    <row r="1347" spans="1:3" x14ac:dyDescent="0.25">
      <c r="A1347" s="1">
        <f t="shared" si="19"/>
        <v>43739</v>
      </c>
      <c r="B1347" t="s">
        <v>136</v>
      </c>
      <c r="C1347">
        <v>-5524</v>
      </c>
    </row>
    <row r="1348" spans="1:3" x14ac:dyDescent="0.25">
      <c r="A1348" s="1">
        <f t="shared" si="19"/>
        <v>43739</v>
      </c>
      <c r="B1348" t="s">
        <v>137</v>
      </c>
      <c r="C1348">
        <v>-8919</v>
      </c>
    </row>
    <row r="1349" spans="1:3" x14ac:dyDescent="0.25">
      <c r="A1349" s="1">
        <f t="shared" si="19"/>
        <v>43739</v>
      </c>
      <c r="B1349" t="s">
        <v>138</v>
      </c>
      <c r="C1349">
        <v>-7082</v>
      </c>
    </row>
    <row r="1350" spans="1:3" x14ac:dyDescent="0.25">
      <c r="A1350" s="1">
        <f t="shared" si="19"/>
        <v>43739</v>
      </c>
      <c r="B1350" t="s">
        <v>139</v>
      </c>
      <c r="C1350">
        <v>-7264</v>
      </c>
    </row>
    <row r="1351" spans="1:3" x14ac:dyDescent="0.25">
      <c r="A1351" s="1">
        <f t="shared" si="19"/>
        <v>43739</v>
      </c>
      <c r="B1351" t="s">
        <v>140</v>
      </c>
      <c r="C1351">
        <v>-228233</v>
      </c>
    </row>
    <row r="1352" spans="1:3" x14ac:dyDescent="0.25">
      <c r="A1352" s="1">
        <f t="shared" ref="A1352:A1415" si="20">EDATE(A1212,1)</f>
        <v>43739</v>
      </c>
      <c r="B1352" t="s">
        <v>141</v>
      </c>
      <c r="C1352">
        <v>-115712</v>
      </c>
    </row>
    <row r="1353" spans="1:3" x14ac:dyDescent="0.25">
      <c r="A1353" s="1">
        <f t="shared" si="20"/>
        <v>43739</v>
      </c>
      <c r="B1353" t="s">
        <v>142</v>
      </c>
      <c r="C1353">
        <v>-139704</v>
      </c>
    </row>
    <row r="1354" spans="1:3" x14ac:dyDescent="0.25">
      <c r="A1354" s="1">
        <f t="shared" si="20"/>
        <v>43739</v>
      </c>
      <c r="B1354" t="s">
        <v>143</v>
      </c>
      <c r="C1354">
        <v>-147927</v>
      </c>
    </row>
    <row r="1355" spans="1:3" x14ac:dyDescent="0.25">
      <c r="A1355" s="1">
        <f t="shared" si="20"/>
        <v>43739</v>
      </c>
      <c r="B1355" t="s">
        <v>144</v>
      </c>
      <c r="C1355">
        <v>-275314</v>
      </c>
    </row>
    <row r="1356" spans="1:3" x14ac:dyDescent="0.25">
      <c r="A1356" s="1">
        <f t="shared" si="20"/>
        <v>43739</v>
      </c>
      <c r="B1356" t="s">
        <v>145</v>
      </c>
      <c r="C1356">
        <v>-140436</v>
      </c>
    </row>
    <row r="1357" spans="1:3" x14ac:dyDescent="0.25">
      <c r="A1357" s="1">
        <f t="shared" si="20"/>
        <v>43739</v>
      </c>
      <c r="B1357" t="s">
        <v>146</v>
      </c>
      <c r="C1357">
        <v>-290602</v>
      </c>
    </row>
    <row r="1358" spans="1:3" x14ac:dyDescent="0.25">
      <c r="A1358" s="1">
        <f t="shared" si="20"/>
        <v>43739</v>
      </c>
      <c r="B1358" t="s">
        <v>147</v>
      </c>
      <c r="C1358">
        <v>-78375</v>
      </c>
    </row>
    <row r="1359" spans="1:3" x14ac:dyDescent="0.25">
      <c r="A1359" s="1">
        <f t="shared" si="20"/>
        <v>43739</v>
      </c>
      <c r="B1359" t="s">
        <v>148</v>
      </c>
      <c r="C1359">
        <v>-287092</v>
      </c>
    </row>
    <row r="1360" spans="1:3" x14ac:dyDescent="0.25">
      <c r="A1360" s="1">
        <f t="shared" si="20"/>
        <v>43739</v>
      </c>
      <c r="B1360" t="s">
        <v>149</v>
      </c>
      <c r="C1360">
        <v>-115415</v>
      </c>
    </row>
    <row r="1361" spans="1:3" x14ac:dyDescent="0.25">
      <c r="A1361" s="1">
        <f t="shared" si="20"/>
        <v>43739</v>
      </c>
      <c r="B1361" t="s">
        <v>150</v>
      </c>
      <c r="C1361">
        <v>-116354</v>
      </c>
    </row>
    <row r="1362" spans="1:3" x14ac:dyDescent="0.25">
      <c r="A1362" s="1">
        <f t="shared" si="20"/>
        <v>43739</v>
      </c>
      <c r="B1362" t="s">
        <v>151</v>
      </c>
      <c r="C1362">
        <v>-102134</v>
      </c>
    </row>
    <row r="1363" spans="1:3" x14ac:dyDescent="0.25">
      <c r="A1363" s="1">
        <f t="shared" si="20"/>
        <v>43739</v>
      </c>
      <c r="B1363" t="s">
        <v>152</v>
      </c>
      <c r="C1363">
        <v>-125385</v>
      </c>
    </row>
    <row r="1364" spans="1:3" x14ac:dyDescent="0.25">
      <c r="A1364" s="1">
        <f t="shared" si="20"/>
        <v>43739</v>
      </c>
      <c r="B1364" t="s">
        <v>153</v>
      </c>
      <c r="C1364">
        <v>-169306</v>
      </c>
    </row>
    <row r="1365" spans="1:3" x14ac:dyDescent="0.25">
      <c r="A1365" s="1">
        <f t="shared" si="20"/>
        <v>43739</v>
      </c>
      <c r="B1365" t="s">
        <v>154</v>
      </c>
      <c r="C1365">
        <v>-97849</v>
      </c>
    </row>
    <row r="1366" spans="1:3" x14ac:dyDescent="0.25">
      <c r="A1366" s="1">
        <f t="shared" si="20"/>
        <v>43739</v>
      </c>
      <c r="B1366" t="s">
        <v>155</v>
      </c>
      <c r="C1366">
        <v>-149433</v>
      </c>
    </row>
    <row r="1367" spans="1:3" x14ac:dyDescent="0.25">
      <c r="A1367" s="1">
        <f t="shared" si="20"/>
        <v>43739</v>
      </c>
      <c r="B1367" t="s">
        <v>156</v>
      </c>
      <c r="C1367">
        <v>-143134</v>
      </c>
    </row>
    <row r="1368" spans="1:3" x14ac:dyDescent="0.25">
      <c r="A1368" s="1">
        <f t="shared" si="20"/>
        <v>43739</v>
      </c>
      <c r="B1368" t="s">
        <v>157</v>
      </c>
      <c r="C1368">
        <v>-140327</v>
      </c>
    </row>
    <row r="1369" spans="1:3" x14ac:dyDescent="0.25">
      <c r="A1369" s="1">
        <f t="shared" si="20"/>
        <v>43739</v>
      </c>
      <c r="B1369" t="s">
        <v>158</v>
      </c>
      <c r="C1369">
        <v>-158705</v>
      </c>
    </row>
    <row r="1370" spans="1:3" x14ac:dyDescent="0.25">
      <c r="A1370" s="1">
        <f t="shared" si="20"/>
        <v>43739</v>
      </c>
      <c r="B1370" t="s">
        <v>159</v>
      </c>
      <c r="C1370">
        <v>-282932</v>
      </c>
    </row>
    <row r="1371" spans="1:3" x14ac:dyDescent="0.25">
      <c r="A1371" s="1">
        <f t="shared" si="20"/>
        <v>43739</v>
      </c>
      <c r="B1371" t="s">
        <v>160</v>
      </c>
      <c r="C1371">
        <v>-269997</v>
      </c>
    </row>
    <row r="1372" spans="1:3" x14ac:dyDescent="0.25">
      <c r="A1372" s="1">
        <f t="shared" si="20"/>
        <v>43739</v>
      </c>
      <c r="B1372" t="s">
        <v>161</v>
      </c>
      <c r="C1372">
        <v>-255301</v>
      </c>
    </row>
    <row r="1373" spans="1:3" x14ac:dyDescent="0.25">
      <c r="A1373" s="1">
        <f t="shared" si="20"/>
        <v>43739</v>
      </c>
      <c r="B1373" t="s">
        <v>162</v>
      </c>
      <c r="C1373">
        <v>-293840</v>
      </c>
    </row>
    <row r="1374" spans="1:3" x14ac:dyDescent="0.25">
      <c r="A1374" s="1">
        <f t="shared" si="20"/>
        <v>43739</v>
      </c>
      <c r="B1374" t="s">
        <v>163</v>
      </c>
      <c r="C1374">
        <v>-109779</v>
      </c>
    </row>
    <row r="1375" spans="1:3" x14ac:dyDescent="0.25">
      <c r="A1375" s="1">
        <f t="shared" si="20"/>
        <v>43739</v>
      </c>
      <c r="B1375" t="s">
        <v>164</v>
      </c>
      <c r="C1375">
        <v>-90277</v>
      </c>
    </row>
    <row r="1376" spans="1:3" x14ac:dyDescent="0.25">
      <c r="A1376" s="1">
        <f t="shared" si="20"/>
        <v>43739</v>
      </c>
      <c r="B1376" t="s">
        <v>165</v>
      </c>
      <c r="C1376">
        <v>-58563</v>
      </c>
    </row>
    <row r="1377" spans="1:3" x14ac:dyDescent="0.25">
      <c r="A1377" s="1">
        <f t="shared" si="20"/>
        <v>43739</v>
      </c>
      <c r="B1377" t="s">
        <v>166</v>
      </c>
      <c r="C1377">
        <v>-98781</v>
      </c>
    </row>
    <row r="1378" spans="1:3" x14ac:dyDescent="0.25">
      <c r="A1378" s="1">
        <f t="shared" si="20"/>
        <v>43739</v>
      </c>
      <c r="B1378" t="s">
        <v>167</v>
      </c>
      <c r="C1378">
        <v>-130605</v>
      </c>
    </row>
    <row r="1379" spans="1:3" x14ac:dyDescent="0.25">
      <c r="A1379" s="1">
        <f t="shared" si="20"/>
        <v>43739</v>
      </c>
      <c r="B1379" t="s">
        <v>168</v>
      </c>
      <c r="C1379">
        <v>-224103</v>
      </c>
    </row>
    <row r="1380" spans="1:3" x14ac:dyDescent="0.25">
      <c r="A1380" s="1">
        <f t="shared" si="20"/>
        <v>43739</v>
      </c>
      <c r="B1380" t="s">
        <v>169</v>
      </c>
      <c r="C1380">
        <v>-229826</v>
      </c>
    </row>
    <row r="1381" spans="1:3" x14ac:dyDescent="0.25">
      <c r="A1381" s="1">
        <f t="shared" si="20"/>
        <v>43739</v>
      </c>
      <c r="B1381" t="s">
        <v>170</v>
      </c>
      <c r="C1381">
        <v>-124219</v>
      </c>
    </row>
    <row r="1382" spans="1:3" x14ac:dyDescent="0.25">
      <c r="A1382" s="1">
        <f t="shared" si="20"/>
        <v>43739</v>
      </c>
      <c r="B1382" t="s">
        <v>171</v>
      </c>
      <c r="C1382">
        <v>-337587</v>
      </c>
    </row>
    <row r="1383" spans="1:3" x14ac:dyDescent="0.25">
      <c r="A1383" s="1">
        <f t="shared" si="20"/>
        <v>43739</v>
      </c>
      <c r="B1383" t="s">
        <v>172</v>
      </c>
      <c r="C1383">
        <v>-302501</v>
      </c>
    </row>
    <row r="1384" spans="1:3" x14ac:dyDescent="0.25">
      <c r="A1384" s="1">
        <f t="shared" si="20"/>
        <v>43739</v>
      </c>
      <c r="B1384" t="s">
        <v>173</v>
      </c>
      <c r="C1384">
        <v>-40450</v>
      </c>
    </row>
    <row r="1385" spans="1:3" x14ac:dyDescent="0.25">
      <c r="A1385" s="1">
        <f t="shared" si="20"/>
        <v>43739</v>
      </c>
      <c r="B1385" t="s">
        <v>174</v>
      </c>
      <c r="C1385">
        <v>-43362</v>
      </c>
    </row>
    <row r="1386" spans="1:3" x14ac:dyDescent="0.25">
      <c r="A1386" s="1">
        <f t="shared" si="20"/>
        <v>43739</v>
      </c>
      <c r="B1386" t="s">
        <v>175</v>
      </c>
      <c r="C1386">
        <v>-54081</v>
      </c>
    </row>
    <row r="1387" spans="1:3" x14ac:dyDescent="0.25">
      <c r="A1387" s="1">
        <f t="shared" si="20"/>
        <v>43739</v>
      </c>
      <c r="B1387" t="s">
        <v>176</v>
      </c>
      <c r="C1387">
        <v>-41447</v>
      </c>
    </row>
    <row r="1388" spans="1:3" x14ac:dyDescent="0.25">
      <c r="A1388" s="1">
        <f t="shared" si="20"/>
        <v>43739</v>
      </c>
      <c r="B1388" t="s">
        <v>177</v>
      </c>
      <c r="C1388">
        <v>-48785</v>
      </c>
    </row>
    <row r="1389" spans="1:3" x14ac:dyDescent="0.25">
      <c r="A1389" s="1">
        <f t="shared" si="20"/>
        <v>43739</v>
      </c>
      <c r="B1389" t="s">
        <v>178</v>
      </c>
      <c r="C1389">
        <v>-273839</v>
      </c>
    </row>
    <row r="1390" spans="1:3" x14ac:dyDescent="0.25">
      <c r="A1390" s="1">
        <f t="shared" si="20"/>
        <v>43739</v>
      </c>
      <c r="B1390" t="s">
        <v>179</v>
      </c>
      <c r="C1390">
        <v>-265519</v>
      </c>
    </row>
    <row r="1391" spans="1:3" x14ac:dyDescent="0.25">
      <c r="A1391" s="1">
        <f t="shared" si="20"/>
        <v>43739</v>
      </c>
      <c r="B1391" t="s">
        <v>180</v>
      </c>
      <c r="C1391">
        <v>-255433</v>
      </c>
    </row>
    <row r="1392" spans="1:3" x14ac:dyDescent="0.25">
      <c r="A1392" s="1">
        <f t="shared" si="20"/>
        <v>43739</v>
      </c>
      <c r="B1392" t="s">
        <v>181</v>
      </c>
      <c r="C1392">
        <v>-61694</v>
      </c>
    </row>
    <row r="1393" spans="1:3" x14ac:dyDescent="0.25">
      <c r="A1393" s="1">
        <f t="shared" si="20"/>
        <v>43739</v>
      </c>
      <c r="B1393" t="s">
        <v>182</v>
      </c>
      <c r="C1393">
        <v>-68274</v>
      </c>
    </row>
    <row r="1394" spans="1:3" x14ac:dyDescent="0.25">
      <c r="A1394" s="1">
        <f t="shared" si="20"/>
        <v>43739</v>
      </c>
      <c r="B1394" t="s">
        <v>183</v>
      </c>
      <c r="C1394">
        <v>-84532</v>
      </c>
    </row>
    <row r="1395" spans="1:3" x14ac:dyDescent="0.25">
      <c r="A1395" s="1">
        <f t="shared" si="20"/>
        <v>43739</v>
      </c>
      <c r="B1395" t="s">
        <v>184</v>
      </c>
      <c r="C1395">
        <v>-64146</v>
      </c>
    </row>
    <row r="1396" spans="1:3" x14ac:dyDescent="0.25">
      <c r="A1396" s="1">
        <f t="shared" si="20"/>
        <v>43739</v>
      </c>
      <c r="B1396" t="s">
        <v>185</v>
      </c>
      <c r="C1396">
        <v>-105799</v>
      </c>
    </row>
    <row r="1397" spans="1:3" x14ac:dyDescent="0.25">
      <c r="A1397" s="1">
        <f t="shared" si="20"/>
        <v>43739</v>
      </c>
      <c r="B1397" t="s">
        <v>186</v>
      </c>
      <c r="C1397">
        <v>-118911</v>
      </c>
    </row>
    <row r="1398" spans="1:3" x14ac:dyDescent="0.25">
      <c r="A1398" s="1">
        <f t="shared" si="20"/>
        <v>43739</v>
      </c>
      <c r="B1398" t="s">
        <v>187</v>
      </c>
      <c r="C1398">
        <v>-121556</v>
      </c>
    </row>
    <row r="1399" spans="1:3" x14ac:dyDescent="0.25">
      <c r="A1399" s="1">
        <f t="shared" si="20"/>
        <v>43739</v>
      </c>
      <c r="B1399" t="s">
        <v>188</v>
      </c>
      <c r="C1399">
        <v>-198878</v>
      </c>
    </row>
    <row r="1400" spans="1:3" x14ac:dyDescent="0.25">
      <c r="A1400" s="1">
        <f t="shared" si="20"/>
        <v>43739</v>
      </c>
      <c r="B1400" t="s">
        <v>189</v>
      </c>
      <c r="C1400">
        <v>-10528</v>
      </c>
    </row>
    <row r="1401" spans="1:3" x14ac:dyDescent="0.25">
      <c r="A1401" s="1">
        <f t="shared" si="20"/>
        <v>43739</v>
      </c>
      <c r="B1401" t="s">
        <v>190</v>
      </c>
      <c r="C1401">
        <v>-16647</v>
      </c>
    </row>
    <row r="1402" spans="1:3" x14ac:dyDescent="0.25">
      <c r="A1402" s="1">
        <f t="shared" si="20"/>
        <v>43770</v>
      </c>
      <c r="B1402" t="s">
        <v>51</v>
      </c>
      <c r="C1402">
        <v>646287</v>
      </c>
    </row>
    <row r="1403" spans="1:3" x14ac:dyDescent="0.25">
      <c r="A1403" s="1">
        <f t="shared" si="20"/>
        <v>43770</v>
      </c>
      <c r="B1403" t="s">
        <v>52</v>
      </c>
      <c r="C1403">
        <v>337160</v>
      </c>
    </row>
    <row r="1404" spans="1:3" x14ac:dyDescent="0.25">
      <c r="A1404" s="1">
        <f t="shared" si="20"/>
        <v>43770</v>
      </c>
      <c r="B1404" t="s">
        <v>53</v>
      </c>
      <c r="C1404">
        <v>880454</v>
      </c>
    </row>
    <row r="1405" spans="1:3" x14ac:dyDescent="0.25">
      <c r="A1405" s="1">
        <f t="shared" si="20"/>
        <v>43770</v>
      </c>
      <c r="B1405" t="s">
        <v>54</v>
      </c>
      <c r="C1405">
        <v>987829</v>
      </c>
    </row>
    <row r="1406" spans="1:3" x14ac:dyDescent="0.25">
      <c r="A1406" s="1">
        <f t="shared" si="20"/>
        <v>43770</v>
      </c>
      <c r="B1406" t="s">
        <v>55</v>
      </c>
      <c r="C1406">
        <v>978570</v>
      </c>
    </row>
    <row r="1407" spans="1:3" x14ac:dyDescent="0.25">
      <c r="A1407" s="1">
        <f t="shared" si="20"/>
        <v>43770</v>
      </c>
      <c r="B1407" t="s">
        <v>56</v>
      </c>
      <c r="C1407">
        <v>783900</v>
      </c>
    </row>
    <row r="1408" spans="1:3" x14ac:dyDescent="0.25">
      <c r="A1408" s="1">
        <f t="shared" si="20"/>
        <v>43770</v>
      </c>
      <c r="B1408" t="s">
        <v>57</v>
      </c>
      <c r="C1408">
        <v>534071</v>
      </c>
    </row>
    <row r="1409" spans="1:3" x14ac:dyDescent="0.25">
      <c r="A1409" s="1">
        <f t="shared" si="20"/>
        <v>43770</v>
      </c>
      <c r="B1409" t="s">
        <v>58</v>
      </c>
      <c r="C1409">
        <v>702959</v>
      </c>
    </row>
    <row r="1410" spans="1:3" x14ac:dyDescent="0.25">
      <c r="A1410" s="1">
        <f t="shared" si="20"/>
        <v>43770</v>
      </c>
      <c r="B1410" t="s">
        <v>59</v>
      </c>
      <c r="C1410">
        <v>640590</v>
      </c>
    </row>
    <row r="1411" spans="1:3" x14ac:dyDescent="0.25">
      <c r="A1411" s="1">
        <f t="shared" si="20"/>
        <v>43770</v>
      </c>
      <c r="B1411" t="s">
        <v>60</v>
      </c>
      <c r="C1411">
        <v>315129</v>
      </c>
    </row>
    <row r="1412" spans="1:3" x14ac:dyDescent="0.25">
      <c r="A1412" s="1">
        <f t="shared" si="20"/>
        <v>43770</v>
      </c>
      <c r="B1412" t="s">
        <v>61</v>
      </c>
      <c r="C1412">
        <v>309391</v>
      </c>
    </row>
    <row r="1413" spans="1:3" x14ac:dyDescent="0.25">
      <c r="A1413" s="1">
        <f t="shared" si="20"/>
        <v>43770</v>
      </c>
      <c r="B1413" t="s">
        <v>62</v>
      </c>
      <c r="C1413">
        <v>342593</v>
      </c>
    </row>
    <row r="1414" spans="1:3" x14ac:dyDescent="0.25">
      <c r="A1414" s="1">
        <f t="shared" si="20"/>
        <v>43770</v>
      </c>
      <c r="B1414" t="s">
        <v>63</v>
      </c>
      <c r="C1414">
        <v>337035</v>
      </c>
    </row>
    <row r="1415" spans="1:3" x14ac:dyDescent="0.25">
      <c r="A1415" s="1">
        <f t="shared" si="20"/>
        <v>43770</v>
      </c>
      <c r="B1415" t="s">
        <v>64</v>
      </c>
      <c r="C1415">
        <v>988046</v>
      </c>
    </row>
    <row r="1416" spans="1:3" x14ac:dyDescent="0.25">
      <c r="A1416" s="1">
        <f t="shared" ref="A1416:A1479" si="21">EDATE(A1276,1)</f>
        <v>43770</v>
      </c>
      <c r="B1416" t="s">
        <v>65</v>
      </c>
      <c r="C1416">
        <v>409690</v>
      </c>
    </row>
    <row r="1417" spans="1:3" x14ac:dyDescent="0.25">
      <c r="A1417" s="1">
        <f t="shared" si="21"/>
        <v>43770</v>
      </c>
      <c r="B1417" t="s">
        <v>66</v>
      </c>
      <c r="C1417">
        <v>329773</v>
      </c>
    </row>
    <row r="1418" spans="1:3" x14ac:dyDescent="0.25">
      <c r="A1418" s="1">
        <f t="shared" si="21"/>
        <v>43770</v>
      </c>
      <c r="B1418" t="s">
        <v>67</v>
      </c>
      <c r="C1418">
        <v>328009</v>
      </c>
    </row>
    <row r="1419" spans="1:3" x14ac:dyDescent="0.25">
      <c r="A1419" s="1">
        <f t="shared" si="21"/>
        <v>43770</v>
      </c>
      <c r="B1419" t="s">
        <v>68</v>
      </c>
      <c r="C1419">
        <v>694781</v>
      </c>
    </row>
    <row r="1420" spans="1:3" x14ac:dyDescent="0.25">
      <c r="A1420" s="1">
        <f t="shared" si="21"/>
        <v>43770</v>
      </c>
      <c r="B1420" t="s">
        <v>69</v>
      </c>
      <c r="C1420">
        <v>813625</v>
      </c>
    </row>
    <row r="1421" spans="1:3" x14ac:dyDescent="0.25">
      <c r="A1421" s="1">
        <f t="shared" si="21"/>
        <v>43770</v>
      </c>
      <c r="B1421" t="s">
        <v>70</v>
      </c>
      <c r="C1421">
        <v>613980</v>
      </c>
    </row>
    <row r="1422" spans="1:3" x14ac:dyDescent="0.25">
      <c r="A1422" s="1">
        <f t="shared" si="21"/>
        <v>43770</v>
      </c>
      <c r="B1422" t="s">
        <v>71</v>
      </c>
      <c r="C1422">
        <v>597347</v>
      </c>
    </row>
    <row r="1423" spans="1:3" x14ac:dyDescent="0.25">
      <c r="A1423" s="1">
        <f t="shared" si="21"/>
        <v>43770</v>
      </c>
      <c r="B1423" t="s">
        <v>72</v>
      </c>
      <c r="C1423">
        <v>480942</v>
      </c>
    </row>
    <row r="1424" spans="1:3" x14ac:dyDescent="0.25">
      <c r="A1424" s="1">
        <f t="shared" si="21"/>
        <v>43770</v>
      </c>
      <c r="B1424" t="s">
        <v>73</v>
      </c>
      <c r="C1424">
        <v>188738</v>
      </c>
    </row>
    <row r="1425" spans="1:3" x14ac:dyDescent="0.25">
      <c r="A1425" s="1">
        <f t="shared" si="21"/>
        <v>43770</v>
      </c>
      <c r="B1425" t="s">
        <v>74</v>
      </c>
      <c r="C1425">
        <v>263069</v>
      </c>
    </row>
    <row r="1426" spans="1:3" x14ac:dyDescent="0.25">
      <c r="A1426" s="1">
        <f t="shared" si="21"/>
        <v>43770</v>
      </c>
      <c r="B1426" t="s">
        <v>75</v>
      </c>
      <c r="C1426">
        <v>66425</v>
      </c>
    </row>
    <row r="1427" spans="1:3" x14ac:dyDescent="0.25">
      <c r="A1427" s="1">
        <f t="shared" si="21"/>
        <v>43770</v>
      </c>
      <c r="B1427" t="s">
        <v>76</v>
      </c>
      <c r="C1427">
        <v>57189</v>
      </c>
    </row>
    <row r="1428" spans="1:3" x14ac:dyDescent="0.25">
      <c r="A1428" s="1">
        <f t="shared" si="21"/>
        <v>43770</v>
      </c>
      <c r="B1428" t="s">
        <v>77</v>
      </c>
      <c r="C1428">
        <v>67675</v>
      </c>
    </row>
    <row r="1429" spans="1:3" x14ac:dyDescent="0.25">
      <c r="A1429" s="1">
        <f t="shared" si="21"/>
        <v>43770</v>
      </c>
      <c r="B1429" t="s">
        <v>78</v>
      </c>
      <c r="C1429">
        <v>267615</v>
      </c>
    </row>
    <row r="1430" spans="1:3" x14ac:dyDescent="0.25">
      <c r="A1430" s="1">
        <f t="shared" si="21"/>
        <v>43770</v>
      </c>
      <c r="B1430" t="s">
        <v>79</v>
      </c>
      <c r="C1430">
        <v>127004</v>
      </c>
    </row>
    <row r="1431" spans="1:3" x14ac:dyDescent="0.25">
      <c r="A1431" s="1">
        <f t="shared" si="21"/>
        <v>43770</v>
      </c>
      <c r="B1431" t="s">
        <v>80</v>
      </c>
      <c r="C1431">
        <v>148910</v>
      </c>
    </row>
    <row r="1432" spans="1:3" x14ac:dyDescent="0.25">
      <c r="A1432" s="1">
        <f t="shared" si="21"/>
        <v>43770</v>
      </c>
      <c r="B1432" t="s">
        <v>81</v>
      </c>
      <c r="C1432">
        <v>190784</v>
      </c>
    </row>
    <row r="1433" spans="1:3" x14ac:dyDescent="0.25">
      <c r="A1433" s="1">
        <f t="shared" si="21"/>
        <v>43770</v>
      </c>
      <c r="B1433" t="s">
        <v>82</v>
      </c>
      <c r="C1433">
        <v>184766</v>
      </c>
    </row>
    <row r="1434" spans="1:3" x14ac:dyDescent="0.25">
      <c r="A1434" s="1">
        <f t="shared" si="21"/>
        <v>43770</v>
      </c>
      <c r="B1434" t="s">
        <v>83</v>
      </c>
      <c r="C1434">
        <v>268927</v>
      </c>
    </row>
    <row r="1435" spans="1:3" x14ac:dyDescent="0.25">
      <c r="A1435" s="1">
        <f t="shared" si="21"/>
        <v>43770</v>
      </c>
      <c r="B1435" t="s">
        <v>84</v>
      </c>
      <c r="C1435">
        <v>82436</v>
      </c>
    </row>
    <row r="1436" spans="1:3" x14ac:dyDescent="0.25">
      <c r="A1436" s="1">
        <f t="shared" si="21"/>
        <v>43770</v>
      </c>
      <c r="B1436" t="s">
        <v>85</v>
      </c>
      <c r="C1436">
        <v>159686</v>
      </c>
    </row>
    <row r="1437" spans="1:3" x14ac:dyDescent="0.25">
      <c r="A1437" s="1">
        <f t="shared" si="21"/>
        <v>43770</v>
      </c>
      <c r="B1437" t="s">
        <v>86</v>
      </c>
      <c r="C1437">
        <v>175201</v>
      </c>
    </row>
    <row r="1438" spans="1:3" x14ac:dyDescent="0.25">
      <c r="A1438" s="1">
        <f t="shared" si="21"/>
        <v>43770</v>
      </c>
      <c r="B1438" t="s">
        <v>87</v>
      </c>
      <c r="C1438">
        <v>101859</v>
      </c>
    </row>
    <row r="1439" spans="1:3" x14ac:dyDescent="0.25">
      <c r="A1439" s="1">
        <f t="shared" si="21"/>
        <v>43770</v>
      </c>
      <c r="B1439" t="s">
        <v>88</v>
      </c>
      <c r="C1439">
        <v>224057</v>
      </c>
    </row>
    <row r="1440" spans="1:3" x14ac:dyDescent="0.25">
      <c r="A1440" s="1">
        <f t="shared" si="21"/>
        <v>43770</v>
      </c>
      <c r="B1440" t="s">
        <v>89</v>
      </c>
      <c r="C1440">
        <v>231875</v>
      </c>
    </row>
    <row r="1441" spans="1:3" x14ac:dyDescent="0.25">
      <c r="A1441" s="1">
        <f t="shared" si="21"/>
        <v>43770</v>
      </c>
      <c r="B1441" t="s">
        <v>90</v>
      </c>
      <c r="C1441">
        <v>255642</v>
      </c>
    </row>
    <row r="1442" spans="1:3" x14ac:dyDescent="0.25">
      <c r="A1442" s="1">
        <f t="shared" si="21"/>
        <v>43770</v>
      </c>
      <c r="B1442" t="s">
        <v>91</v>
      </c>
      <c r="C1442">
        <v>241712</v>
      </c>
    </row>
    <row r="1443" spans="1:3" x14ac:dyDescent="0.25">
      <c r="A1443" s="1">
        <f t="shared" si="21"/>
        <v>43770</v>
      </c>
      <c r="B1443" t="s">
        <v>92</v>
      </c>
      <c r="C1443">
        <v>215015</v>
      </c>
    </row>
    <row r="1444" spans="1:3" x14ac:dyDescent="0.25">
      <c r="A1444" s="1">
        <f t="shared" si="21"/>
        <v>43770</v>
      </c>
      <c r="B1444" t="s">
        <v>93</v>
      </c>
      <c r="C1444">
        <v>295253</v>
      </c>
    </row>
    <row r="1445" spans="1:3" x14ac:dyDescent="0.25">
      <c r="A1445" s="1">
        <f t="shared" si="21"/>
        <v>43770</v>
      </c>
      <c r="B1445" t="s">
        <v>94</v>
      </c>
      <c r="C1445">
        <v>170968</v>
      </c>
    </row>
    <row r="1446" spans="1:3" x14ac:dyDescent="0.25">
      <c r="A1446" s="1">
        <f t="shared" si="21"/>
        <v>43770</v>
      </c>
      <c r="B1446" t="s">
        <v>95</v>
      </c>
      <c r="C1446">
        <v>76442</v>
      </c>
    </row>
    <row r="1447" spans="1:3" x14ac:dyDescent="0.25">
      <c r="A1447" s="1">
        <f t="shared" si="21"/>
        <v>43770</v>
      </c>
      <c r="B1447" t="s">
        <v>96</v>
      </c>
      <c r="C1447">
        <v>177625</v>
      </c>
    </row>
    <row r="1448" spans="1:3" x14ac:dyDescent="0.25">
      <c r="A1448" s="1">
        <f t="shared" si="21"/>
        <v>43770</v>
      </c>
      <c r="B1448" t="s">
        <v>97</v>
      </c>
      <c r="C1448">
        <v>62938</v>
      </c>
    </row>
    <row r="1449" spans="1:3" x14ac:dyDescent="0.25">
      <c r="A1449" s="1">
        <f t="shared" si="21"/>
        <v>43770</v>
      </c>
      <c r="B1449" t="s">
        <v>98</v>
      </c>
      <c r="C1449">
        <v>120215</v>
      </c>
    </row>
    <row r="1450" spans="1:3" x14ac:dyDescent="0.25">
      <c r="A1450" s="1">
        <f t="shared" si="21"/>
        <v>43770</v>
      </c>
      <c r="B1450" t="s">
        <v>99</v>
      </c>
      <c r="C1450">
        <v>195868</v>
      </c>
    </row>
    <row r="1451" spans="1:3" x14ac:dyDescent="0.25">
      <c r="A1451" s="1">
        <f t="shared" si="21"/>
        <v>43770</v>
      </c>
      <c r="B1451" t="s">
        <v>100</v>
      </c>
      <c r="C1451">
        <v>222369</v>
      </c>
    </row>
    <row r="1452" spans="1:3" x14ac:dyDescent="0.25">
      <c r="A1452" s="1">
        <f t="shared" si="21"/>
        <v>43770</v>
      </c>
      <c r="B1452" t="s">
        <v>101</v>
      </c>
      <c r="C1452">
        <v>214887</v>
      </c>
    </row>
    <row r="1453" spans="1:3" x14ac:dyDescent="0.25">
      <c r="A1453" s="1">
        <f t="shared" si="21"/>
        <v>43770</v>
      </c>
      <c r="B1453" t="s">
        <v>102</v>
      </c>
      <c r="C1453">
        <v>178158</v>
      </c>
    </row>
    <row r="1454" spans="1:3" x14ac:dyDescent="0.25">
      <c r="A1454" s="1">
        <f t="shared" si="21"/>
        <v>43770</v>
      </c>
      <c r="B1454" t="s">
        <v>103</v>
      </c>
      <c r="C1454">
        <v>134231</v>
      </c>
    </row>
    <row r="1455" spans="1:3" x14ac:dyDescent="0.25">
      <c r="A1455" s="1">
        <f t="shared" si="21"/>
        <v>43770</v>
      </c>
      <c r="B1455" t="s">
        <v>104</v>
      </c>
      <c r="C1455">
        <v>162462</v>
      </c>
    </row>
    <row r="1456" spans="1:3" x14ac:dyDescent="0.25">
      <c r="A1456" s="1">
        <f t="shared" si="21"/>
        <v>43770</v>
      </c>
      <c r="B1456" t="s">
        <v>105</v>
      </c>
      <c r="C1456">
        <v>72909</v>
      </c>
    </row>
    <row r="1457" spans="1:3" x14ac:dyDescent="0.25">
      <c r="A1457" s="1">
        <f t="shared" si="21"/>
        <v>43770</v>
      </c>
      <c r="B1457" t="s">
        <v>106</v>
      </c>
      <c r="C1457">
        <v>280148</v>
      </c>
    </row>
    <row r="1458" spans="1:3" x14ac:dyDescent="0.25">
      <c r="A1458" s="1">
        <f t="shared" si="21"/>
        <v>43770</v>
      </c>
      <c r="B1458" t="s">
        <v>107</v>
      </c>
      <c r="C1458">
        <v>108113</v>
      </c>
    </row>
    <row r="1459" spans="1:3" x14ac:dyDescent="0.25">
      <c r="A1459" s="1">
        <f t="shared" si="21"/>
        <v>43770</v>
      </c>
      <c r="B1459" t="s">
        <v>108</v>
      </c>
      <c r="C1459">
        <v>100737</v>
      </c>
    </row>
    <row r="1460" spans="1:3" x14ac:dyDescent="0.25">
      <c r="A1460" s="1">
        <f t="shared" si="21"/>
        <v>43770</v>
      </c>
      <c r="B1460" t="s">
        <v>109</v>
      </c>
      <c r="C1460">
        <v>287642</v>
      </c>
    </row>
    <row r="1461" spans="1:3" x14ac:dyDescent="0.25">
      <c r="A1461" s="1">
        <f t="shared" si="21"/>
        <v>43770</v>
      </c>
      <c r="B1461" t="s">
        <v>110</v>
      </c>
      <c r="C1461">
        <v>-2568</v>
      </c>
    </row>
    <row r="1462" spans="1:3" x14ac:dyDescent="0.25">
      <c r="A1462" s="1">
        <f t="shared" si="21"/>
        <v>43770</v>
      </c>
      <c r="B1462" t="s">
        <v>111</v>
      </c>
      <c r="C1462">
        <v>-6393</v>
      </c>
    </row>
    <row r="1463" spans="1:3" x14ac:dyDescent="0.25">
      <c r="A1463" s="1">
        <f t="shared" si="21"/>
        <v>43770</v>
      </c>
      <c r="B1463" t="s">
        <v>112</v>
      </c>
      <c r="C1463">
        <v>-1538</v>
      </c>
    </row>
    <row r="1464" spans="1:3" x14ac:dyDescent="0.25">
      <c r="A1464" s="1">
        <f t="shared" si="21"/>
        <v>43770</v>
      </c>
      <c r="B1464" t="s">
        <v>113</v>
      </c>
      <c r="C1464">
        <v>-3905</v>
      </c>
    </row>
    <row r="1465" spans="1:3" x14ac:dyDescent="0.25">
      <c r="A1465" s="1">
        <f t="shared" si="21"/>
        <v>43770</v>
      </c>
      <c r="B1465" t="s">
        <v>114</v>
      </c>
      <c r="C1465">
        <v>-2666</v>
      </c>
    </row>
    <row r="1466" spans="1:3" x14ac:dyDescent="0.25">
      <c r="A1466" s="1">
        <f t="shared" si="21"/>
        <v>43770</v>
      </c>
      <c r="B1466" t="s">
        <v>115</v>
      </c>
      <c r="C1466">
        <v>-3595</v>
      </c>
    </row>
    <row r="1467" spans="1:3" x14ac:dyDescent="0.25">
      <c r="A1467" s="1">
        <f t="shared" si="21"/>
        <v>43770</v>
      </c>
      <c r="B1467" t="s">
        <v>116</v>
      </c>
      <c r="C1467">
        <v>-8891</v>
      </c>
    </row>
    <row r="1468" spans="1:3" x14ac:dyDescent="0.25">
      <c r="A1468" s="1">
        <f t="shared" si="21"/>
        <v>43770</v>
      </c>
      <c r="B1468" t="s">
        <v>117</v>
      </c>
      <c r="C1468">
        <v>-8269</v>
      </c>
    </row>
    <row r="1469" spans="1:3" x14ac:dyDescent="0.25">
      <c r="A1469" s="1">
        <f t="shared" si="21"/>
        <v>43770</v>
      </c>
      <c r="B1469" t="s">
        <v>118</v>
      </c>
      <c r="C1469">
        <v>-8072</v>
      </c>
    </row>
    <row r="1470" spans="1:3" x14ac:dyDescent="0.25">
      <c r="A1470" s="1">
        <f t="shared" si="21"/>
        <v>43770</v>
      </c>
      <c r="B1470" t="s">
        <v>119</v>
      </c>
      <c r="C1470">
        <v>-4616</v>
      </c>
    </row>
    <row r="1471" spans="1:3" x14ac:dyDescent="0.25">
      <c r="A1471" s="1">
        <f t="shared" si="21"/>
        <v>43770</v>
      </c>
      <c r="B1471" t="s">
        <v>120</v>
      </c>
      <c r="C1471">
        <v>-2547</v>
      </c>
    </row>
    <row r="1472" spans="1:3" x14ac:dyDescent="0.25">
      <c r="A1472" s="1">
        <f t="shared" si="21"/>
        <v>43770</v>
      </c>
      <c r="B1472" t="s">
        <v>121</v>
      </c>
      <c r="C1472">
        <v>-8944</v>
      </c>
    </row>
    <row r="1473" spans="1:3" x14ac:dyDescent="0.25">
      <c r="A1473" s="1">
        <f t="shared" si="21"/>
        <v>43770</v>
      </c>
      <c r="B1473" t="s">
        <v>122</v>
      </c>
      <c r="C1473">
        <v>-3708</v>
      </c>
    </row>
    <row r="1474" spans="1:3" x14ac:dyDescent="0.25">
      <c r="A1474" s="1">
        <f t="shared" si="21"/>
        <v>43770</v>
      </c>
      <c r="B1474" t="s">
        <v>123</v>
      </c>
      <c r="C1474">
        <v>-8214</v>
      </c>
    </row>
    <row r="1475" spans="1:3" x14ac:dyDescent="0.25">
      <c r="A1475" s="1">
        <f t="shared" si="21"/>
        <v>43770</v>
      </c>
      <c r="B1475" t="s">
        <v>124</v>
      </c>
      <c r="C1475">
        <v>-5142</v>
      </c>
    </row>
    <row r="1476" spans="1:3" x14ac:dyDescent="0.25">
      <c r="A1476" s="1">
        <f t="shared" si="21"/>
        <v>43770</v>
      </c>
      <c r="B1476" t="s">
        <v>125</v>
      </c>
      <c r="C1476">
        <v>-7140</v>
      </c>
    </row>
    <row r="1477" spans="1:3" x14ac:dyDescent="0.25">
      <c r="A1477" s="1">
        <f t="shared" si="21"/>
        <v>43770</v>
      </c>
      <c r="B1477" t="s">
        <v>126</v>
      </c>
      <c r="C1477">
        <v>-9849</v>
      </c>
    </row>
    <row r="1478" spans="1:3" x14ac:dyDescent="0.25">
      <c r="A1478" s="1">
        <f t="shared" si="21"/>
        <v>43770</v>
      </c>
      <c r="B1478" t="s">
        <v>127</v>
      </c>
      <c r="C1478">
        <v>-2744</v>
      </c>
    </row>
    <row r="1479" spans="1:3" x14ac:dyDescent="0.25">
      <c r="A1479" s="1">
        <f t="shared" si="21"/>
        <v>43770</v>
      </c>
      <c r="B1479" t="s">
        <v>128</v>
      </c>
      <c r="C1479">
        <v>-9147</v>
      </c>
    </row>
    <row r="1480" spans="1:3" x14ac:dyDescent="0.25">
      <c r="A1480" s="1">
        <f t="shared" ref="A1480:A1543" si="22">EDATE(A1340,1)</f>
        <v>43770</v>
      </c>
      <c r="B1480" t="s">
        <v>129</v>
      </c>
      <c r="C1480">
        <v>-8650</v>
      </c>
    </row>
    <row r="1481" spans="1:3" x14ac:dyDescent="0.25">
      <c r="A1481" s="1">
        <f t="shared" si="22"/>
        <v>43770</v>
      </c>
      <c r="B1481" t="s">
        <v>130</v>
      </c>
      <c r="C1481">
        <v>-7258</v>
      </c>
    </row>
    <row r="1482" spans="1:3" x14ac:dyDescent="0.25">
      <c r="A1482" s="1">
        <f t="shared" si="22"/>
        <v>43770</v>
      </c>
      <c r="B1482" t="s">
        <v>131</v>
      </c>
      <c r="C1482">
        <v>-9165</v>
      </c>
    </row>
    <row r="1483" spans="1:3" x14ac:dyDescent="0.25">
      <c r="A1483" s="1">
        <f t="shared" si="22"/>
        <v>43770</v>
      </c>
      <c r="B1483" t="s">
        <v>132</v>
      </c>
      <c r="C1483">
        <v>-8859</v>
      </c>
    </row>
    <row r="1484" spans="1:3" x14ac:dyDescent="0.25">
      <c r="A1484" s="1">
        <f t="shared" si="22"/>
        <v>43770</v>
      </c>
      <c r="B1484" t="s">
        <v>133</v>
      </c>
      <c r="C1484">
        <v>-4867</v>
      </c>
    </row>
    <row r="1485" spans="1:3" x14ac:dyDescent="0.25">
      <c r="A1485" s="1">
        <f t="shared" si="22"/>
        <v>43770</v>
      </c>
      <c r="B1485" t="s">
        <v>134</v>
      </c>
      <c r="C1485">
        <v>-1989</v>
      </c>
    </row>
    <row r="1486" spans="1:3" x14ac:dyDescent="0.25">
      <c r="A1486" s="1">
        <f t="shared" si="22"/>
        <v>43770</v>
      </c>
      <c r="B1486" t="s">
        <v>135</v>
      </c>
      <c r="C1486">
        <v>-9251</v>
      </c>
    </row>
    <row r="1487" spans="1:3" x14ac:dyDescent="0.25">
      <c r="A1487" s="1">
        <f t="shared" si="22"/>
        <v>43770</v>
      </c>
      <c r="B1487" t="s">
        <v>136</v>
      </c>
      <c r="C1487">
        <v>-5834</v>
      </c>
    </row>
    <row r="1488" spans="1:3" x14ac:dyDescent="0.25">
      <c r="A1488" s="1">
        <f t="shared" si="22"/>
        <v>43770</v>
      </c>
      <c r="B1488" t="s">
        <v>137</v>
      </c>
      <c r="C1488">
        <v>-7961</v>
      </c>
    </row>
    <row r="1489" spans="1:3" x14ac:dyDescent="0.25">
      <c r="A1489" s="1">
        <f t="shared" si="22"/>
        <v>43770</v>
      </c>
      <c r="B1489" t="s">
        <v>138</v>
      </c>
      <c r="C1489">
        <v>-7210</v>
      </c>
    </row>
    <row r="1490" spans="1:3" x14ac:dyDescent="0.25">
      <c r="A1490" s="1">
        <f t="shared" si="22"/>
        <v>43770</v>
      </c>
      <c r="B1490" t="s">
        <v>139</v>
      </c>
      <c r="C1490">
        <v>-8211</v>
      </c>
    </row>
    <row r="1491" spans="1:3" x14ac:dyDescent="0.25">
      <c r="A1491" s="1">
        <f t="shared" si="22"/>
        <v>43770</v>
      </c>
      <c r="B1491" t="s">
        <v>140</v>
      </c>
      <c r="C1491">
        <v>-122387</v>
      </c>
    </row>
    <row r="1492" spans="1:3" x14ac:dyDescent="0.25">
      <c r="A1492" s="1">
        <f t="shared" si="22"/>
        <v>43770</v>
      </c>
      <c r="B1492" t="s">
        <v>141</v>
      </c>
      <c r="C1492">
        <v>-128197</v>
      </c>
    </row>
    <row r="1493" spans="1:3" x14ac:dyDescent="0.25">
      <c r="A1493" s="1">
        <f t="shared" si="22"/>
        <v>43770</v>
      </c>
      <c r="B1493" t="s">
        <v>142</v>
      </c>
      <c r="C1493">
        <v>-253004</v>
      </c>
    </row>
    <row r="1494" spans="1:3" x14ac:dyDescent="0.25">
      <c r="A1494" s="1">
        <f t="shared" si="22"/>
        <v>43770</v>
      </c>
      <c r="B1494" t="s">
        <v>143</v>
      </c>
      <c r="C1494">
        <v>-295582</v>
      </c>
    </row>
    <row r="1495" spans="1:3" x14ac:dyDescent="0.25">
      <c r="A1495" s="1">
        <f t="shared" si="22"/>
        <v>43770</v>
      </c>
      <c r="B1495" t="s">
        <v>144</v>
      </c>
      <c r="C1495">
        <v>-83868</v>
      </c>
    </row>
    <row r="1496" spans="1:3" x14ac:dyDescent="0.25">
      <c r="A1496" s="1">
        <f t="shared" si="22"/>
        <v>43770</v>
      </c>
      <c r="B1496" t="s">
        <v>145</v>
      </c>
      <c r="C1496">
        <v>-200493</v>
      </c>
    </row>
    <row r="1497" spans="1:3" x14ac:dyDescent="0.25">
      <c r="A1497" s="1">
        <f t="shared" si="22"/>
        <v>43770</v>
      </c>
      <c r="B1497" t="s">
        <v>146</v>
      </c>
      <c r="C1497">
        <v>-255435</v>
      </c>
    </row>
    <row r="1498" spans="1:3" x14ac:dyDescent="0.25">
      <c r="A1498" s="1">
        <f t="shared" si="22"/>
        <v>43770</v>
      </c>
      <c r="B1498" t="s">
        <v>147</v>
      </c>
      <c r="C1498">
        <v>-95588</v>
      </c>
    </row>
    <row r="1499" spans="1:3" x14ac:dyDescent="0.25">
      <c r="A1499" s="1">
        <f t="shared" si="22"/>
        <v>43770</v>
      </c>
      <c r="B1499" t="s">
        <v>148</v>
      </c>
      <c r="C1499">
        <v>-259832</v>
      </c>
    </row>
    <row r="1500" spans="1:3" x14ac:dyDescent="0.25">
      <c r="A1500" s="1">
        <f t="shared" si="22"/>
        <v>43770</v>
      </c>
      <c r="B1500" t="s">
        <v>149</v>
      </c>
      <c r="C1500">
        <v>-205534</v>
      </c>
    </row>
    <row r="1501" spans="1:3" x14ac:dyDescent="0.25">
      <c r="A1501" s="1">
        <f t="shared" si="22"/>
        <v>43770</v>
      </c>
      <c r="B1501" t="s">
        <v>150</v>
      </c>
      <c r="C1501">
        <v>-255191</v>
      </c>
    </row>
    <row r="1502" spans="1:3" x14ac:dyDescent="0.25">
      <c r="A1502" s="1">
        <f t="shared" si="22"/>
        <v>43770</v>
      </c>
      <c r="B1502" t="s">
        <v>151</v>
      </c>
      <c r="C1502">
        <v>-240035</v>
      </c>
    </row>
    <row r="1503" spans="1:3" x14ac:dyDescent="0.25">
      <c r="A1503" s="1">
        <f t="shared" si="22"/>
        <v>43770</v>
      </c>
      <c r="B1503" t="s">
        <v>152</v>
      </c>
      <c r="C1503">
        <v>-196250</v>
      </c>
    </row>
    <row r="1504" spans="1:3" x14ac:dyDescent="0.25">
      <c r="A1504" s="1">
        <f t="shared" si="22"/>
        <v>43770</v>
      </c>
      <c r="B1504" t="s">
        <v>153</v>
      </c>
      <c r="C1504">
        <v>-205892</v>
      </c>
    </row>
    <row r="1505" spans="1:3" x14ac:dyDescent="0.25">
      <c r="A1505" s="1">
        <f t="shared" si="22"/>
        <v>43770</v>
      </c>
      <c r="B1505" t="s">
        <v>154</v>
      </c>
      <c r="C1505">
        <v>-143068</v>
      </c>
    </row>
    <row r="1506" spans="1:3" x14ac:dyDescent="0.25">
      <c r="A1506" s="1">
        <f t="shared" si="22"/>
        <v>43770</v>
      </c>
      <c r="B1506" t="s">
        <v>155</v>
      </c>
      <c r="C1506">
        <v>-85943</v>
      </c>
    </row>
    <row r="1507" spans="1:3" x14ac:dyDescent="0.25">
      <c r="A1507" s="1">
        <f t="shared" si="22"/>
        <v>43770</v>
      </c>
      <c r="B1507" t="s">
        <v>156</v>
      </c>
      <c r="C1507">
        <v>-115406</v>
      </c>
    </row>
    <row r="1508" spans="1:3" x14ac:dyDescent="0.25">
      <c r="A1508" s="1">
        <f t="shared" si="22"/>
        <v>43770</v>
      </c>
      <c r="B1508" t="s">
        <v>157</v>
      </c>
      <c r="C1508">
        <v>-282475</v>
      </c>
    </row>
    <row r="1509" spans="1:3" x14ac:dyDescent="0.25">
      <c r="A1509" s="1">
        <f t="shared" si="22"/>
        <v>43770</v>
      </c>
      <c r="B1509" t="s">
        <v>158</v>
      </c>
      <c r="C1509">
        <v>-91449</v>
      </c>
    </row>
    <row r="1510" spans="1:3" x14ac:dyDescent="0.25">
      <c r="A1510" s="1">
        <f t="shared" si="22"/>
        <v>43770</v>
      </c>
      <c r="B1510" t="s">
        <v>159</v>
      </c>
      <c r="C1510">
        <v>-211701</v>
      </c>
    </row>
    <row r="1511" spans="1:3" x14ac:dyDescent="0.25">
      <c r="A1511" s="1">
        <f t="shared" si="22"/>
        <v>43770</v>
      </c>
      <c r="B1511" t="s">
        <v>160</v>
      </c>
      <c r="C1511">
        <v>-81738</v>
      </c>
    </row>
    <row r="1512" spans="1:3" x14ac:dyDescent="0.25">
      <c r="A1512" s="1">
        <f t="shared" si="22"/>
        <v>43770</v>
      </c>
      <c r="B1512" t="s">
        <v>161</v>
      </c>
      <c r="C1512">
        <v>-91376</v>
      </c>
    </row>
    <row r="1513" spans="1:3" x14ac:dyDescent="0.25">
      <c r="A1513" s="1">
        <f t="shared" si="22"/>
        <v>43770</v>
      </c>
      <c r="B1513" t="s">
        <v>162</v>
      </c>
      <c r="C1513">
        <v>-203752</v>
      </c>
    </row>
    <row r="1514" spans="1:3" x14ac:dyDescent="0.25">
      <c r="A1514" s="1">
        <f t="shared" si="22"/>
        <v>43770</v>
      </c>
      <c r="B1514" t="s">
        <v>163</v>
      </c>
      <c r="C1514">
        <v>-164675</v>
      </c>
    </row>
    <row r="1515" spans="1:3" x14ac:dyDescent="0.25">
      <c r="A1515" s="1">
        <f t="shared" si="22"/>
        <v>43770</v>
      </c>
      <c r="B1515" t="s">
        <v>164</v>
      </c>
      <c r="C1515">
        <v>-51400</v>
      </c>
    </row>
    <row r="1516" spans="1:3" x14ac:dyDescent="0.25">
      <c r="A1516" s="1">
        <f t="shared" si="22"/>
        <v>43770</v>
      </c>
      <c r="B1516" t="s">
        <v>165</v>
      </c>
      <c r="C1516">
        <v>-62386</v>
      </c>
    </row>
    <row r="1517" spans="1:3" x14ac:dyDescent="0.25">
      <c r="A1517" s="1">
        <f t="shared" si="22"/>
        <v>43770</v>
      </c>
      <c r="B1517" t="s">
        <v>166</v>
      </c>
      <c r="C1517">
        <v>-89676</v>
      </c>
    </row>
    <row r="1518" spans="1:3" x14ac:dyDescent="0.25">
      <c r="A1518" s="1">
        <f t="shared" si="22"/>
        <v>43770</v>
      </c>
      <c r="B1518" t="s">
        <v>167</v>
      </c>
      <c r="C1518">
        <v>-343433</v>
      </c>
    </row>
    <row r="1519" spans="1:3" x14ac:dyDescent="0.25">
      <c r="A1519" s="1">
        <f t="shared" si="22"/>
        <v>43770</v>
      </c>
      <c r="B1519" t="s">
        <v>168</v>
      </c>
      <c r="C1519">
        <v>-310881</v>
      </c>
    </row>
    <row r="1520" spans="1:3" x14ac:dyDescent="0.25">
      <c r="A1520" s="1">
        <f t="shared" si="22"/>
        <v>43770</v>
      </c>
      <c r="B1520" t="s">
        <v>169</v>
      </c>
      <c r="C1520">
        <v>-387469</v>
      </c>
    </row>
    <row r="1521" spans="1:3" x14ac:dyDescent="0.25">
      <c r="A1521" s="1">
        <f t="shared" si="22"/>
        <v>43770</v>
      </c>
      <c r="B1521" t="s">
        <v>170</v>
      </c>
      <c r="C1521">
        <v>-399729</v>
      </c>
    </row>
    <row r="1522" spans="1:3" x14ac:dyDescent="0.25">
      <c r="A1522" s="1">
        <f t="shared" si="22"/>
        <v>43770</v>
      </c>
      <c r="B1522" t="s">
        <v>171</v>
      </c>
      <c r="C1522">
        <v>-275820</v>
      </c>
    </row>
    <row r="1523" spans="1:3" x14ac:dyDescent="0.25">
      <c r="A1523" s="1">
        <f t="shared" si="22"/>
        <v>43770</v>
      </c>
      <c r="B1523" t="s">
        <v>172</v>
      </c>
      <c r="C1523">
        <v>-92517</v>
      </c>
    </row>
    <row r="1524" spans="1:3" x14ac:dyDescent="0.25">
      <c r="A1524" s="1">
        <f t="shared" si="22"/>
        <v>43770</v>
      </c>
      <c r="B1524" t="s">
        <v>173</v>
      </c>
      <c r="C1524">
        <v>-51575</v>
      </c>
    </row>
    <row r="1525" spans="1:3" x14ac:dyDescent="0.25">
      <c r="A1525" s="1">
        <f t="shared" si="22"/>
        <v>43770</v>
      </c>
      <c r="B1525" t="s">
        <v>174</v>
      </c>
      <c r="C1525">
        <v>-44260</v>
      </c>
    </row>
    <row r="1526" spans="1:3" x14ac:dyDescent="0.25">
      <c r="A1526" s="1">
        <f t="shared" si="22"/>
        <v>43770</v>
      </c>
      <c r="B1526" t="s">
        <v>175</v>
      </c>
      <c r="C1526">
        <v>-51829</v>
      </c>
    </row>
    <row r="1527" spans="1:3" x14ac:dyDescent="0.25">
      <c r="A1527" s="1">
        <f t="shared" si="22"/>
        <v>43770</v>
      </c>
      <c r="B1527" t="s">
        <v>176</v>
      </c>
      <c r="C1527">
        <v>-59943</v>
      </c>
    </row>
    <row r="1528" spans="1:3" x14ac:dyDescent="0.25">
      <c r="A1528" s="1">
        <f t="shared" si="22"/>
        <v>43770</v>
      </c>
      <c r="B1528" t="s">
        <v>177</v>
      </c>
      <c r="C1528">
        <v>-44101</v>
      </c>
    </row>
    <row r="1529" spans="1:3" x14ac:dyDescent="0.25">
      <c r="A1529" s="1">
        <f t="shared" si="22"/>
        <v>43770</v>
      </c>
      <c r="B1529" t="s">
        <v>178</v>
      </c>
      <c r="C1529">
        <v>-226523</v>
      </c>
    </row>
    <row r="1530" spans="1:3" x14ac:dyDescent="0.25">
      <c r="A1530" s="1">
        <f t="shared" si="22"/>
        <v>43770</v>
      </c>
      <c r="B1530" t="s">
        <v>179</v>
      </c>
      <c r="C1530">
        <v>-244648</v>
      </c>
    </row>
    <row r="1531" spans="1:3" x14ac:dyDescent="0.25">
      <c r="A1531" s="1">
        <f t="shared" si="22"/>
        <v>43770</v>
      </c>
      <c r="B1531" t="s">
        <v>180</v>
      </c>
      <c r="C1531">
        <v>-124497</v>
      </c>
    </row>
    <row r="1532" spans="1:3" x14ac:dyDescent="0.25">
      <c r="A1532" s="1">
        <f t="shared" si="22"/>
        <v>43770</v>
      </c>
      <c r="B1532" t="s">
        <v>181</v>
      </c>
      <c r="C1532">
        <v>-67799</v>
      </c>
    </row>
    <row r="1533" spans="1:3" x14ac:dyDescent="0.25">
      <c r="A1533" s="1">
        <f t="shared" si="22"/>
        <v>43770</v>
      </c>
      <c r="B1533" t="s">
        <v>182</v>
      </c>
      <c r="C1533">
        <v>-66772</v>
      </c>
    </row>
    <row r="1534" spans="1:3" x14ac:dyDescent="0.25">
      <c r="A1534" s="1">
        <f t="shared" si="22"/>
        <v>43770</v>
      </c>
      <c r="B1534" t="s">
        <v>183</v>
      </c>
      <c r="C1534">
        <v>-51459</v>
      </c>
    </row>
    <row r="1535" spans="1:3" x14ac:dyDescent="0.25">
      <c r="A1535" s="1">
        <f t="shared" si="22"/>
        <v>43770</v>
      </c>
      <c r="B1535" t="s">
        <v>184</v>
      </c>
      <c r="C1535">
        <v>-53177</v>
      </c>
    </row>
    <row r="1536" spans="1:3" x14ac:dyDescent="0.25">
      <c r="A1536" s="1">
        <f t="shared" si="22"/>
        <v>43770</v>
      </c>
      <c r="B1536" t="s">
        <v>185</v>
      </c>
      <c r="C1536">
        <v>-87012</v>
      </c>
    </row>
    <row r="1537" spans="1:3" x14ac:dyDescent="0.25">
      <c r="A1537" s="1">
        <f t="shared" si="22"/>
        <v>43770</v>
      </c>
      <c r="B1537" t="s">
        <v>186</v>
      </c>
      <c r="C1537">
        <v>-83809</v>
      </c>
    </row>
    <row r="1538" spans="1:3" x14ac:dyDescent="0.25">
      <c r="A1538" s="1">
        <f t="shared" si="22"/>
        <v>43770</v>
      </c>
      <c r="B1538" t="s">
        <v>187</v>
      </c>
      <c r="C1538">
        <v>-183949</v>
      </c>
    </row>
    <row r="1539" spans="1:3" x14ac:dyDescent="0.25">
      <c r="A1539" s="1">
        <f t="shared" si="22"/>
        <v>43770</v>
      </c>
      <c r="B1539" t="s">
        <v>188</v>
      </c>
      <c r="C1539">
        <v>-127086</v>
      </c>
    </row>
    <row r="1540" spans="1:3" x14ac:dyDescent="0.25">
      <c r="A1540" s="1">
        <f t="shared" si="22"/>
        <v>43770</v>
      </c>
      <c r="B1540" t="s">
        <v>189</v>
      </c>
      <c r="C1540">
        <v>-9191</v>
      </c>
    </row>
    <row r="1541" spans="1:3" x14ac:dyDescent="0.25">
      <c r="A1541" s="1">
        <f t="shared" si="22"/>
        <v>43770</v>
      </c>
      <c r="B1541" t="s">
        <v>190</v>
      </c>
      <c r="C1541">
        <v>-25643</v>
      </c>
    </row>
    <row r="1542" spans="1:3" x14ac:dyDescent="0.25">
      <c r="A1542" s="1">
        <f t="shared" si="22"/>
        <v>43800</v>
      </c>
      <c r="B1542" t="s">
        <v>51</v>
      </c>
      <c r="C1542">
        <v>808946</v>
      </c>
    </row>
    <row r="1543" spans="1:3" x14ac:dyDescent="0.25">
      <c r="A1543" s="1">
        <f t="shared" si="22"/>
        <v>43800</v>
      </c>
      <c r="B1543" t="s">
        <v>52</v>
      </c>
      <c r="C1543">
        <v>655584</v>
      </c>
    </row>
    <row r="1544" spans="1:3" x14ac:dyDescent="0.25">
      <c r="A1544" s="1">
        <f t="shared" ref="A1544:A1607" si="23">EDATE(A1404,1)</f>
        <v>43800</v>
      </c>
      <c r="B1544" t="s">
        <v>53</v>
      </c>
      <c r="C1544">
        <v>845863</v>
      </c>
    </row>
    <row r="1545" spans="1:3" x14ac:dyDescent="0.25">
      <c r="A1545" s="1">
        <f t="shared" si="23"/>
        <v>43800</v>
      </c>
      <c r="B1545" t="s">
        <v>54</v>
      </c>
      <c r="C1545">
        <v>441980</v>
      </c>
    </row>
    <row r="1546" spans="1:3" x14ac:dyDescent="0.25">
      <c r="A1546" s="1">
        <f t="shared" si="23"/>
        <v>43800</v>
      </c>
      <c r="B1546" t="s">
        <v>55</v>
      </c>
      <c r="C1546">
        <v>976654</v>
      </c>
    </row>
    <row r="1547" spans="1:3" x14ac:dyDescent="0.25">
      <c r="A1547" s="1">
        <f t="shared" si="23"/>
        <v>43800</v>
      </c>
      <c r="B1547" t="s">
        <v>56</v>
      </c>
      <c r="C1547">
        <v>716480</v>
      </c>
    </row>
    <row r="1548" spans="1:3" x14ac:dyDescent="0.25">
      <c r="A1548" s="1">
        <f t="shared" si="23"/>
        <v>43800</v>
      </c>
      <c r="B1548" t="s">
        <v>57</v>
      </c>
      <c r="C1548">
        <v>460181</v>
      </c>
    </row>
    <row r="1549" spans="1:3" x14ac:dyDescent="0.25">
      <c r="A1549" s="1">
        <f t="shared" si="23"/>
        <v>43800</v>
      </c>
      <c r="B1549" t="s">
        <v>58</v>
      </c>
      <c r="C1549">
        <v>781965</v>
      </c>
    </row>
    <row r="1550" spans="1:3" x14ac:dyDescent="0.25">
      <c r="A1550" s="1">
        <f t="shared" si="23"/>
        <v>43800</v>
      </c>
      <c r="B1550" t="s">
        <v>59</v>
      </c>
      <c r="C1550">
        <v>871710</v>
      </c>
    </row>
    <row r="1551" spans="1:3" x14ac:dyDescent="0.25">
      <c r="A1551" s="1">
        <f t="shared" si="23"/>
        <v>43800</v>
      </c>
      <c r="B1551" t="s">
        <v>60</v>
      </c>
      <c r="C1551">
        <v>693122</v>
      </c>
    </row>
    <row r="1552" spans="1:3" x14ac:dyDescent="0.25">
      <c r="A1552" s="1">
        <f t="shared" si="23"/>
        <v>43800</v>
      </c>
      <c r="B1552" t="s">
        <v>61</v>
      </c>
      <c r="C1552">
        <v>763177</v>
      </c>
    </row>
    <row r="1553" spans="1:3" x14ac:dyDescent="0.25">
      <c r="A1553" s="1">
        <f t="shared" si="23"/>
        <v>43800</v>
      </c>
      <c r="B1553" t="s">
        <v>62</v>
      </c>
      <c r="C1553">
        <v>334174</v>
      </c>
    </row>
    <row r="1554" spans="1:3" x14ac:dyDescent="0.25">
      <c r="A1554" s="1">
        <f t="shared" si="23"/>
        <v>43800</v>
      </c>
      <c r="B1554" t="s">
        <v>63</v>
      </c>
      <c r="C1554">
        <v>665503</v>
      </c>
    </row>
    <row r="1555" spans="1:3" x14ac:dyDescent="0.25">
      <c r="A1555" s="1">
        <f t="shared" si="23"/>
        <v>43800</v>
      </c>
      <c r="B1555" t="s">
        <v>64</v>
      </c>
      <c r="C1555">
        <v>553342</v>
      </c>
    </row>
    <row r="1556" spans="1:3" x14ac:dyDescent="0.25">
      <c r="A1556" s="1">
        <f t="shared" si="23"/>
        <v>43800</v>
      </c>
      <c r="B1556" t="s">
        <v>65</v>
      </c>
      <c r="C1556">
        <v>859436</v>
      </c>
    </row>
    <row r="1557" spans="1:3" x14ac:dyDescent="0.25">
      <c r="A1557" s="1">
        <f t="shared" si="23"/>
        <v>43800</v>
      </c>
      <c r="B1557" t="s">
        <v>66</v>
      </c>
      <c r="C1557">
        <v>393268</v>
      </c>
    </row>
    <row r="1558" spans="1:3" x14ac:dyDescent="0.25">
      <c r="A1558" s="1">
        <f t="shared" si="23"/>
        <v>43800</v>
      </c>
      <c r="B1558" t="s">
        <v>67</v>
      </c>
      <c r="C1558">
        <v>324856</v>
      </c>
    </row>
    <row r="1559" spans="1:3" x14ac:dyDescent="0.25">
      <c r="A1559" s="1">
        <f t="shared" si="23"/>
        <v>43800</v>
      </c>
      <c r="B1559" t="s">
        <v>68</v>
      </c>
      <c r="C1559">
        <v>947797</v>
      </c>
    </row>
    <row r="1560" spans="1:3" x14ac:dyDescent="0.25">
      <c r="A1560" s="1">
        <f t="shared" si="23"/>
        <v>43800</v>
      </c>
      <c r="B1560" t="s">
        <v>69</v>
      </c>
      <c r="C1560">
        <v>959400</v>
      </c>
    </row>
    <row r="1561" spans="1:3" x14ac:dyDescent="0.25">
      <c r="A1561" s="1">
        <f t="shared" si="23"/>
        <v>43800</v>
      </c>
      <c r="B1561" t="s">
        <v>70</v>
      </c>
      <c r="C1561">
        <v>347452</v>
      </c>
    </row>
    <row r="1562" spans="1:3" x14ac:dyDescent="0.25">
      <c r="A1562" s="1">
        <f t="shared" si="23"/>
        <v>43800</v>
      </c>
      <c r="B1562" t="s">
        <v>71</v>
      </c>
      <c r="C1562">
        <v>479454</v>
      </c>
    </row>
    <row r="1563" spans="1:3" x14ac:dyDescent="0.25">
      <c r="A1563" s="1">
        <f t="shared" si="23"/>
        <v>43800</v>
      </c>
      <c r="B1563" t="s">
        <v>72</v>
      </c>
      <c r="C1563">
        <v>485175</v>
      </c>
    </row>
    <row r="1564" spans="1:3" x14ac:dyDescent="0.25">
      <c r="A1564" s="1">
        <f t="shared" si="23"/>
        <v>43800</v>
      </c>
      <c r="B1564" t="s">
        <v>73</v>
      </c>
      <c r="C1564">
        <v>253074</v>
      </c>
    </row>
    <row r="1565" spans="1:3" x14ac:dyDescent="0.25">
      <c r="A1565" s="1">
        <f t="shared" si="23"/>
        <v>43800</v>
      </c>
      <c r="B1565" t="s">
        <v>74</v>
      </c>
      <c r="C1565">
        <v>168337</v>
      </c>
    </row>
    <row r="1566" spans="1:3" x14ac:dyDescent="0.25">
      <c r="A1566" s="1">
        <f t="shared" si="23"/>
        <v>43800</v>
      </c>
      <c r="B1566" t="s">
        <v>75</v>
      </c>
      <c r="C1566">
        <v>211202</v>
      </c>
    </row>
    <row r="1567" spans="1:3" x14ac:dyDescent="0.25">
      <c r="A1567" s="1">
        <f t="shared" si="23"/>
        <v>43800</v>
      </c>
      <c r="B1567" t="s">
        <v>76</v>
      </c>
      <c r="C1567">
        <v>240661</v>
      </c>
    </row>
    <row r="1568" spans="1:3" x14ac:dyDescent="0.25">
      <c r="A1568" s="1">
        <f t="shared" si="23"/>
        <v>43800</v>
      </c>
      <c r="B1568" t="s">
        <v>77</v>
      </c>
      <c r="C1568">
        <v>63163</v>
      </c>
    </row>
    <row r="1569" spans="1:3" x14ac:dyDescent="0.25">
      <c r="A1569" s="1">
        <f t="shared" si="23"/>
        <v>43800</v>
      </c>
      <c r="B1569" t="s">
        <v>78</v>
      </c>
      <c r="C1569">
        <v>261600</v>
      </c>
    </row>
    <row r="1570" spans="1:3" x14ac:dyDescent="0.25">
      <c r="A1570" s="1">
        <f t="shared" si="23"/>
        <v>43800</v>
      </c>
      <c r="B1570" t="s">
        <v>79</v>
      </c>
      <c r="C1570">
        <v>82599</v>
      </c>
    </row>
    <row r="1571" spans="1:3" x14ac:dyDescent="0.25">
      <c r="A1571" s="1">
        <f t="shared" si="23"/>
        <v>43800</v>
      </c>
      <c r="B1571" t="s">
        <v>80</v>
      </c>
      <c r="C1571">
        <v>248824</v>
      </c>
    </row>
    <row r="1572" spans="1:3" x14ac:dyDescent="0.25">
      <c r="A1572" s="1">
        <f t="shared" si="23"/>
        <v>43800</v>
      </c>
      <c r="B1572" t="s">
        <v>81</v>
      </c>
      <c r="C1572">
        <v>138619</v>
      </c>
    </row>
    <row r="1573" spans="1:3" x14ac:dyDescent="0.25">
      <c r="A1573" s="1">
        <f t="shared" si="23"/>
        <v>43800</v>
      </c>
      <c r="B1573" t="s">
        <v>82</v>
      </c>
      <c r="C1573">
        <v>94660</v>
      </c>
    </row>
    <row r="1574" spans="1:3" x14ac:dyDescent="0.25">
      <c r="A1574" s="1">
        <f t="shared" si="23"/>
        <v>43800</v>
      </c>
      <c r="B1574" t="s">
        <v>83</v>
      </c>
      <c r="C1574">
        <v>170624</v>
      </c>
    </row>
    <row r="1575" spans="1:3" x14ac:dyDescent="0.25">
      <c r="A1575" s="1">
        <f t="shared" si="23"/>
        <v>43800</v>
      </c>
      <c r="B1575" t="s">
        <v>84</v>
      </c>
      <c r="C1575">
        <v>237258</v>
      </c>
    </row>
    <row r="1576" spans="1:3" x14ac:dyDescent="0.25">
      <c r="A1576" s="1">
        <f t="shared" si="23"/>
        <v>43800</v>
      </c>
      <c r="B1576" t="s">
        <v>85</v>
      </c>
      <c r="C1576">
        <v>296356</v>
      </c>
    </row>
    <row r="1577" spans="1:3" x14ac:dyDescent="0.25">
      <c r="A1577" s="1">
        <f t="shared" si="23"/>
        <v>43800</v>
      </c>
      <c r="B1577" t="s">
        <v>86</v>
      </c>
      <c r="C1577">
        <v>76619</v>
      </c>
    </row>
    <row r="1578" spans="1:3" x14ac:dyDescent="0.25">
      <c r="A1578" s="1">
        <f t="shared" si="23"/>
        <v>43800</v>
      </c>
      <c r="B1578" t="s">
        <v>87</v>
      </c>
      <c r="C1578">
        <v>237752</v>
      </c>
    </row>
    <row r="1579" spans="1:3" x14ac:dyDescent="0.25">
      <c r="A1579" s="1">
        <f t="shared" si="23"/>
        <v>43800</v>
      </c>
      <c r="B1579" t="s">
        <v>88</v>
      </c>
      <c r="C1579">
        <v>271515</v>
      </c>
    </row>
    <row r="1580" spans="1:3" x14ac:dyDescent="0.25">
      <c r="A1580" s="1">
        <f t="shared" si="23"/>
        <v>43800</v>
      </c>
      <c r="B1580" t="s">
        <v>89</v>
      </c>
      <c r="C1580">
        <v>173446</v>
      </c>
    </row>
    <row r="1581" spans="1:3" x14ac:dyDescent="0.25">
      <c r="A1581" s="1">
        <f t="shared" si="23"/>
        <v>43800</v>
      </c>
      <c r="B1581" t="s">
        <v>90</v>
      </c>
      <c r="C1581">
        <v>210358</v>
      </c>
    </row>
    <row r="1582" spans="1:3" x14ac:dyDescent="0.25">
      <c r="A1582" s="1">
        <f t="shared" si="23"/>
        <v>43800</v>
      </c>
      <c r="B1582" t="s">
        <v>91</v>
      </c>
      <c r="C1582">
        <v>71949</v>
      </c>
    </row>
    <row r="1583" spans="1:3" x14ac:dyDescent="0.25">
      <c r="A1583" s="1">
        <f t="shared" si="23"/>
        <v>43800</v>
      </c>
      <c r="B1583" t="s">
        <v>92</v>
      </c>
      <c r="C1583">
        <v>96491</v>
      </c>
    </row>
    <row r="1584" spans="1:3" x14ac:dyDescent="0.25">
      <c r="A1584" s="1">
        <f t="shared" si="23"/>
        <v>43800</v>
      </c>
      <c r="B1584" t="s">
        <v>93</v>
      </c>
      <c r="C1584">
        <v>292792</v>
      </c>
    </row>
    <row r="1585" spans="1:3" x14ac:dyDescent="0.25">
      <c r="A1585" s="1">
        <f t="shared" si="23"/>
        <v>43800</v>
      </c>
      <c r="B1585" t="s">
        <v>94</v>
      </c>
      <c r="C1585">
        <v>205372</v>
      </c>
    </row>
    <row r="1586" spans="1:3" x14ac:dyDescent="0.25">
      <c r="A1586" s="1">
        <f t="shared" si="23"/>
        <v>43800</v>
      </c>
      <c r="B1586" t="s">
        <v>95</v>
      </c>
      <c r="C1586">
        <v>51287</v>
      </c>
    </row>
    <row r="1587" spans="1:3" x14ac:dyDescent="0.25">
      <c r="A1587" s="1">
        <f t="shared" si="23"/>
        <v>43800</v>
      </c>
      <c r="B1587" t="s">
        <v>96</v>
      </c>
      <c r="C1587">
        <v>203921</v>
      </c>
    </row>
    <row r="1588" spans="1:3" x14ac:dyDescent="0.25">
      <c r="A1588" s="1">
        <f t="shared" si="23"/>
        <v>43800</v>
      </c>
      <c r="B1588" t="s">
        <v>97</v>
      </c>
      <c r="C1588">
        <v>230776</v>
      </c>
    </row>
    <row r="1589" spans="1:3" x14ac:dyDescent="0.25">
      <c r="A1589" s="1">
        <f t="shared" si="23"/>
        <v>43800</v>
      </c>
      <c r="B1589" t="s">
        <v>98</v>
      </c>
      <c r="C1589">
        <v>121477</v>
      </c>
    </row>
    <row r="1590" spans="1:3" x14ac:dyDescent="0.25">
      <c r="A1590" s="1">
        <f t="shared" si="23"/>
        <v>43800</v>
      </c>
      <c r="B1590" t="s">
        <v>99</v>
      </c>
      <c r="C1590">
        <v>294900</v>
      </c>
    </row>
    <row r="1591" spans="1:3" x14ac:dyDescent="0.25">
      <c r="A1591" s="1">
        <f t="shared" si="23"/>
        <v>43800</v>
      </c>
      <c r="B1591" t="s">
        <v>100</v>
      </c>
      <c r="C1591">
        <v>260341</v>
      </c>
    </row>
    <row r="1592" spans="1:3" x14ac:dyDescent="0.25">
      <c r="A1592" s="1">
        <f t="shared" si="23"/>
        <v>43800</v>
      </c>
      <c r="B1592" t="s">
        <v>101</v>
      </c>
      <c r="C1592">
        <v>171920</v>
      </c>
    </row>
    <row r="1593" spans="1:3" x14ac:dyDescent="0.25">
      <c r="A1593" s="1">
        <f t="shared" si="23"/>
        <v>43800</v>
      </c>
      <c r="B1593" t="s">
        <v>102</v>
      </c>
      <c r="C1593">
        <v>150715</v>
      </c>
    </row>
    <row r="1594" spans="1:3" x14ac:dyDescent="0.25">
      <c r="A1594" s="1">
        <f t="shared" si="23"/>
        <v>43800</v>
      </c>
      <c r="B1594" t="s">
        <v>103</v>
      </c>
      <c r="C1594">
        <v>73420</v>
      </c>
    </row>
    <row r="1595" spans="1:3" x14ac:dyDescent="0.25">
      <c r="A1595" s="1">
        <f t="shared" si="23"/>
        <v>43800</v>
      </c>
      <c r="B1595" t="s">
        <v>104</v>
      </c>
      <c r="C1595">
        <v>273685</v>
      </c>
    </row>
    <row r="1596" spans="1:3" x14ac:dyDescent="0.25">
      <c r="A1596" s="1">
        <f t="shared" si="23"/>
        <v>43800</v>
      </c>
      <c r="B1596" t="s">
        <v>105</v>
      </c>
      <c r="C1596">
        <v>280984</v>
      </c>
    </row>
    <row r="1597" spans="1:3" x14ac:dyDescent="0.25">
      <c r="A1597" s="1">
        <f t="shared" si="23"/>
        <v>43800</v>
      </c>
      <c r="B1597" t="s">
        <v>106</v>
      </c>
      <c r="C1597">
        <v>138927</v>
      </c>
    </row>
    <row r="1598" spans="1:3" x14ac:dyDescent="0.25">
      <c r="A1598" s="1">
        <f t="shared" si="23"/>
        <v>43800</v>
      </c>
      <c r="B1598" t="s">
        <v>107</v>
      </c>
      <c r="C1598">
        <v>121174</v>
      </c>
    </row>
    <row r="1599" spans="1:3" x14ac:dyDescent="0.25">
      <c r="A1599" s="1">
        <f t="shared" si="23"/>
        <v>43800</v>
      </c>
      <c r="B1599" t="s">
        <v>108</v>
      </c>
      <c r="C1599">
        <v>95611</v>
      </c>
    </row>
    <row r="1600" spans="1:3" x14ac:dyDescent="0.25">
      <c r="A1600" s="1">
        <f t="shared" si="23"/>
        <v>43800</v>
      </c>
      <c r="B1600" t="s">
        <v>109</v>
      </c>
      <c r="C1600">
        <v>193143</v>
      </c>
    </row>
    <row r="1601" spans="1:3" x14ac:dyDescent="0.25">
      <c r="A1601" s="1">
        <f t="shared" si="23"/>
        <v>43800</v>
      </c>
      <c r="B1601" t="s">
        <v>110</v>
      </c>
      <c r="C1601">
        <v>-3421</v>
      </c>
    </row>
    <row r="1602" spans="1:3" x14ac:dyDescent="0.25">
      <c r="A1602" s="1">
        <f t="shared" si="23"/>
        <v>43800</v>
      </c>
      <c r="B1602" t="s">
        <v>111</v>
      </c>
      <c r="C1602">
        <v>-8960</v>
      </c>
    </row>
    <row r="1603" spans="1:3" x14ac:dyDescent="0.25">
      <c r="A1603" s="1">
        <f t="shared" si="23"/>
        <v>43800</v>
      </c>
      <c r="B1603" t="s">
        <v>112</v>
      </c>
      <c r="C1603">
        <v>-5590</v>
      </c>
    </row>
    <row r="1604" spans="1:3" x14ac:dyDescent="0.25">
      <c r="A1604" s="1">
        <f t="shared" si="23"/>
        <v>43800</v>
      </c>
      <c r="B1604" t="s">
        <v>113</v>
      </c>
      <c r="C1604">
        <v>-3889</v>
      </c>
    </row>
    <row r="1605" spans="1:3" x14ac:dyDescent="0.25">
      <c r="A1605" s="1">
        <f t="shared" si="23"/>
        <v>43800</v>
      </c>
      <c r="B1605" t="s">
        <v>114</v>
      </c>
      <c r="C1605">
        <v>-8230</v>
      </c>
    </row>
    <row r="1606" spans="1:3" x14ac:dyDescent="0.25">
      <c r="A1606" s="1">
        <f t="shared" si="23"/>
        <v>43800</v>
      </c>
      <c r="B1606" t="s">
        <v>115</v>
      </c>
      <c r="C1606">
        <v>-5399</v>
      </c>
    </row>
    <row r="1607" spans="1:3" x14ac:dyDescent="0.25">
      <c r="A1607" s="1">
        <f t="shared" si="23"/>
        <v>43800</v>
      </c>
      <c r="B1607" t="s">
        <v>116</v>
      </c>
      <c r="C1607">
        <v>-8717</v>
      </c>
    </row>
    <row r="1608" spans="1:3" x14ac:dyDescent="0.25">
      <c r="A1608" s="1">
        <f t="shared" ref="A1608:A1671" si="24">EDATE(A1468,1)</f>
        <v>43800</v>
      </c>
      <c r="B1608" t="s">
        <v>117</v>
      </c>
      <c r="C1608">
        <v>-3243</v>
      </c>
    </row>
    <row r="1609" spans="1:3" x14ac:dyDescent="0.25">
      <c r="A1609" s="1">
        <f t="shared" si="24"/>
        <v>43800</v>
      </c>
      <c r="B1609" t="s">
        <v>118</v>
      </c>
      <c r="C1609">
        <v>-3857</v>
      </c>
    </row>
    <row r="1610" spans="1:3" x14ac:dyDescent="0.25">
      <c r="A1610" s="1">
        <f t="shared" si="24"/>
        <v>43800</v>
      </c>
      <c r="B1610" t="s">
        <v>119</v>
      </c>
      <c r="C1610">
        <v>-6872</v>
      </c>
    </row>
    <row r="1611" spans="1:3" x14ac:dyDescent="0.25">
      <c r="A1611" s="1">
        <f t="shared" si="24"/>
        <v>43800</v>
      </c>
      <c r="B1611" t="s">
        <v>120</v>
      </c>
      <c r="C1611">
        <v>-1837</v>
      </c>
    </row>
    <row r="1612" spans="1:3" x14ac:dyDescent="0.25">
      <c r="A1612" s="1">
        <f t="shared" si="24"/>
        <v>43800</v>
      </c>
      <c r="B1612" t="s">
        <v>121</v>
      </c>
      <c r="C1612">
        <v>-1408</v>
      </c>
    </row>
    <row r="1613" spans="1:3" x14ac:dyDescent="0.25">
      <c r="A1613" s="1">
        <f t="shared" si="24"/>
        <v>43800</v>
      </c>
      <c r="B1613" t="s">
        <v>122</v>
      </c>
      <c r="C1613">
        <v>-2042</v>
      </c>
    </row>
    <row r="1614" spans="1:3" x14ac:dyDescent="0.25">
      <c r="A1614" s="1">
        <f t="shared" si="24"/>
        <v>43800</v>
      </c>
      <c r="B1614" t="s">
        <v>123</v>
      </c>
      <c r="C1614">
        <v>-3532</v>
      </c>
    </row>
    <row r="1615" spans="1:3" x14ac:dyDescent="0.25">
      <c r="A1615" s="1">
        <f t="shared" si="24"/>
        <v>43800</v>
      </c>
      <c r="B1615" t="s">
        <v>124</v>
      </c>
      <c r="C1615">
        <v>-4590</v>
      </c>
    </row>
    <row r="1616" spans="1:3" x14ac:dyDescent="0.25">
      <c r="A1616" s="1">
        <f t="shared" si="24"/>
        <v>43800</v>
      </c>
      <c r="B1616" t="s">
        <v>125</v>
      </c>
      <c r="C1616">
        <v>-9836</v>
      </c>
    </row>
    <row r="1617" spans="1:3" x14ac:dyDescent="0.25">
      <c r="A1617" s="1">
        <f t="shared" si="24"/>
        <v>43800</v>
      </c>
      <c r="B1617" t="s">
        <v>126</v>
      </c>
      <c r="C1617">
        <v>-1942</v>
      </c>
    </row>
    <row r="1618" spans="1:3" x14ac:dyDescent="0.25">
      <c r="A1618" s="1">
        <f t="shared" si="24"/>
        <v>43800</v>
      </c>
      <c r="B1618" t="s">
        <v>127</v>
      </c>
      <c r="C1618">
        <v>-1883</v>
      </c>
    </row>
    <row r="1619" spans="1:3" x14ac:dyDescent="0.25">
      <c r="A1619" s="1">
        <f t="shared" si="24"/>
        <v>43800</v>
      </c>
      <c r="B1619" t="s">
        <v>128</v>
      </c>
      <c r="C1619">
        <v>-9800</v>
      </c>
    </row>
    <row r="1620" spans="1:3" x14ac:dyDescent="0.25">
      <c r="A1620" s="1">
        <f t="shared" si="24"/>
        <v>43800</v>
      </c>
      <c r="B1620" t="s">
        <v>129</v>
      </c>
      <c r="C1620">
        <v>-4342</v>
      </c>
    </row>
    <row r="1621" spans="1:3" x14ac:dyDescent="0.25">
      <c r="A1621" s="1">
        <f t="shared" si="24"/>
        <v>43800</v>
      </c>
      <c r="B1621" t="s">
        <v>130</v>
      </c>
      <c r="C1621">
        <v>-7035</v>
      </c>
    </row>
    <row r="1622" spans="1:3" x14ac:dyDescent="0.25">
      <c r="A1622" s="1">
        <f t="shared" si="24"/>
        <v>43800</v>
      </c>
      <c r="B1622" t="s">
        <v>131</v>
      </c>
      <c r="C1622">
        <v>-6753</v>
      </c>
    </row>
    <row r="1623" spans="1:3" x14ac:dyDescent="0.25">
      <c r="A1623" s="1">
        <f t="shared" si="24"/>
        <v>43800</v>
      </c>
      <c r="B1623" t="s">
        <v>132</v>
      </c>
      <c r="C1623">
        <v>-8986</v>
      </c>
    </row>
    <row r="1624" spans="1:3" x14ac:dyDescent="0.25">
      <c r="A1624" s="1">
        <f t="shared" si="24"/>
        <v>43800</v>
      </c>
      <c r="B1624" t="s">
        <v>133</v>
      </c>
      <c r="C1624">
        <v>-4507</v>
      </c>
    </row>
    <row r="1625" spans="1:3" x14ac:dyDescent="0.25">
      <c r="A1625" s="1">
        <f t="shared" si="24"/>
        <v>43800</v>
      </c>
      <c r="B1625" t="s">
        <v>134</v>
      </c>
      <c r="C1625">
        <v>-4776</v>
      </c>
    </row>
    <row r="1626" spans="1:3" x14ac:dyDescent="0.25">
      <c r="A1626" s="1">
        <f t="shared" si="24"/>
        <v>43800</v>
      </c>
      <c r="B1626" t="s">
        <v>135</v>
      </c>
      <c r="C1626">
        <v>-3342</v>
      </c>
    </row>
    <row r="1627" spans="1:3" x14ac:dyDescent="0.25">
      <c r="A1627" s="1">
        <f t="shared" si="24"/>
        <v>43800</v>
      </c>
      <c r="B1627" t="s">
        <v>136</v>
      </c>
      <c r="C1627">
        <v>-9483</v>
      </c>
    </row>
    <row r="1628" spans="1:3" x14ac:dyDescent="0.25">
      <c r="A1628" s="1">
        <f t="shared" si="24"/>
        <v>43800</v>
      </c>
      <c r="B1628" t="s">
        <v>137</v>
      </c>
      <c r="C1628">
        <v>-9944</v>
      </c>
    </row>
    <row r="1629" spans="1:3" x14ac:dyDescent="0.25">
      <c r="A1629" s="1">
        <f t="shared" si="24"/>
        <v>43800</v>
      </c>
      <c r="B1629" t="s">
        <v>138</v>
      </c>
      <c r="C1629">
        <v>-8384</v>
      </c>
    </row>
    <row r="1630" spans="1:3" x14ac:dyDescent="0.25">
      <c r="A1630" s="1">
        <f t="shared" si="24"/>
        <v>43800</v>
      </c>
      <c r="B1630" t="s">
        <v>139</v>
      </c>
      <c r="C1630">
        <v>-7827</v>
      </c>
    </row>
    <row r="1631" spans="1:3" x14ac:dyDescent="0.25">
      <c r="A1631" s="1">
        <f t="shared" si="24"/>
        <v>43800</v>
      </c>
      <c r="B1631" t="s">
        <v>140</v>
      </c>
      <c r="C1631">
        <v>-145995</v>
      </c>
    </row>
    <row r="1632" spans="1:3" x14ac:dyDescent="0.25">
      <c r="A1632" s="1">
        <f t="shared" si="24"/>
        <v>43800</v>
      </c>
      <c r="B1632" t="s">
        <v>141</v>
      </c>
      <c r="C1632">
        <v>-227175</v>
      </c>
    </row>
    <row r="1633" spans="1:3" x14ac:dyDescent="0.25">
      <c r="A1633" s="1">
        <f t="shared" si="24"/>
        <v>43800</v>
      </c>
      <c r="B1633" t="s">
        <v>142</v>
      </c>
      <c r="C1633">
        <v>-131213</v>
      </c>
    </row>
    <row r="1634" spans="1:3" x14ac:dyDescent="0.25">
      <c r="A1634" s="1">
        <f t="shared" si="24"/>
        <v>43800</v>
      </c>
      <c r="B1634" t="s">
        <v>143</v>
      </c>
      <c r="C1634">
        <v>-153560</v>
      </c>
    </row>
    <row r="1635" spans="1:3" x14ac:dyDescent="0.25">
      <c r="A1635" s="1">
        <f t="shared" si="24"/>
        <v>43800</v>
      </c>
      <c r="B1635" t="s">
        <v>144</v>
      </c>
      <c r="C1635">
        <v>-120169</v>
      </c>
    </row>
    <row r="1636" spans="1:3" x14ac:dyDescent="0.25">
      <c r="A1636" s="1">
        <f t="shared" si="24"/>
        <v>43800</v>
      </c>
      <c r="B1636" t="s">
        <v>145</v>
      </c>
      <c r="C1636">
        <v>-244738</v>
      </c>
    </row>
    <row r="1637" spans="1:3" x14ac:dyDescent="0.25">
      <c r="A1637" s="1">
        <f t="shared" si="24"/>
        <v>43800</v>
      </c>
      <c r="B1637" t="s">
        <v>146</v>
      </c>
      <c r="C1637">
        <v>-293621</v>
      </c>
    </row>
    <row r="1638" spans="1:3" x14ac:dyDescent="0.25">
      <c r="A1638" s="1">
        <f t="shared" si="24"/>
        <v>43800</v>
      </c>
      <c r="B1638" t="s">
        <v>147</v>
      </c>
      <c r="C1638">
        <v>-228867</v>
      </c>
    </row>
    <row r="1639" spans="1:3" x14ac:dyDescent="0.25">
      <c r="A1639" s="1">
        <f t="shared" si="24"/>
        <v>43800</v>
      </c>
      <c r="B1639" t="s">
        <v>148</v>
      </c>
      <c r="C1639">
        <v>-106815</v>
      </c>
    </row>
    <row r="1640" spans="1:3" x14ac:dyDescent="0.25">
      <c r="A1640" s="1">
        <f t="shared" si="24"/>
        <v>43800</v>
      </c>
      <c r="B1640" t="s">
        <v>149</v>
      </c>
      <c r="C1640">
        <v>-249627</v>
      </c>
    </row>
    <row r="1641" spans="1:3" x14ac:dyDescent="0.25">
      <c r="A1641" s="1">
        <f t="shared" si="24"/>
        <v>43800</v>
      </c>
      <c r="B1641" t="s">
        <v>150</v>
      </c>
      <c r="C1641">
        <v>-151377</v>
      </c>
    </row>
    <row r="1642" spans="1:3" x14ac:dyDescent="0.25">
      <c r="A1642" s="1">
        <f t="shared" si="24"/>
        <v>43800</v>
      </c>
      <c r="B1642" t="s">
        <v>151</v>
      </c>
      <c r="C1642">
        <v>-80241</v>
      </c>
    </row>
    <row r="1643" spans="1:3" x14ac:dyDescent="0.25">
      <c r="A1643" s="1">
        <f t="shared" si="24"/>
        <v>43800</v>
      </c>
      <c r="B1643" t="s">
        <v>152</v>
      </c>
      <c r="C1643">
        <v>-230504</v>
      </c>
    </row>
    <row r="1644" spans="1:3" x14ac:dyDescent="0.25">
      <c r="A1644" s="1">
        <f t="shared" si="24"/>
        <v>43800</v>
      </c>
      <c r="B1644" t="s">
        <v>153</v>
      </c>
      <c r="C1644">
        <v>-182149</v>
      </c>
    </row>
    <row r="1645" spans="1:3" x14ac:dyDescent="0.25">
      <c r="A1645" s="1">
        <f t="shared" si="24"/>
        <v>43800</v>
      </c>
      <c r="B1645" t="s">
        <v>154</v>
      </c>
      <c r="C1645">
        <v>-156248</v>
      </c>
    </row>
    <row r="1646" spans="1:3" x14ac:dyDescent="0.25">
      <c r="A1646" s="1">
        <f t="shared" si="24"/>
        <v>43800</v>
      </c>
      <c r="B1646" t="s">
        <v>155</v>
      </c>
      <c r="C1646">
        <v>-182492</v>
      </c>
    </row>
    <row r="1647" spans="1:3" x14ac:dyDescent="0.25">
      <c r="A1647" s="1">
        <f t="shared" si="24"/>
        <v>43800</v>
      </c>
      <c r="B1647" t="s">
        <v>156</v>
      </c>
      <c r="C1647">
        <v>-122879</v>
      </c>
    </row>
    <row r="1648" spans="1:3" x14ac:dyDescent="0.25">
      <c r="A1648" s="1">
        <f t="shared" si="24"/>
        <v>43800</v>
      </c>
      <c r="B1648" t="s">
        <v>157</v>
      </c>
      <c r="C1648">
        <v>-149583</v>
      </c>
    </row>
    <row r="1649" spans="1:3" x14ac:dyDescent="0.25">
      <c r="A1649" s="1">
        <f t="shared" si="24"/>
        <v>43800</v>
      </c>
      <c r="B1649" t="s">
        <v>158</v>
      </c>
      <c r="C1649">
        <v>-255450</v>
      </c>
    </row>
    <row r="1650" spans="1:3" x14ac:dyDescent="0.25">
      <c r="A1650" s="1">
        <f t="shared" si="24"/>
        <v>43800</v>
      </c>
      <c r="B1650" t="s">
        <v>159</v>
      </c>
      <c r="C1650">
        <v>-273019</v>
      </c>
    </row>
    <row r="1651" spans="1:3" x14ac:dyDescent="0.25">
      <c r="A1651" s="1">
        <f t="shared" si="24"/>
        <v>43800</v>
      </c>
      <c r="B1651" t="s">
        <v>160</v>
      </c>
      <c r="C1651">
        <v>-196840</v>
      </c>
    </row>
    <row r="1652" spans="1:3" x14ac:dyDescent="0.25">
      <c r="A1652" s="1">
        <f t="shared" si="24"/>
        <v>43800</v>
      </c>
      <c r="B1652" t="s">
        <v>161</v>
      </c>
      <c r="C1652">
        <v>-116347</v>
      </c>
    </row>
    <row r="1653" spans="1:3" x14ac:dyDescent="0.25">
      <c r="A1653" s="1">
        <f t="shared" si="24"/>
        <v>43800</v>
      </c>
      <c r="B1653" t="s">
        <v>162</v>
      </c>
      <c r="C1653">
        <v>-175515</v>
      </c>
    </row>
    <row r="1654" spans="1:3" x14ac:dyDescent="0.25">
      <c r="A1654" s="1">
        <f t="shared" si="24"/>
        <v>43800</v>
      </c>
      <c r="B1654" t="s">
        <v>163</v>
      </c>
      <c r="C1654">
        <v>-244117</v>
      </c>
    </row>
    <row r="1655" spans="1:3" x14ac:dyDescent="0.25">
      <c r="A1655" s="1">
        <f t="shared" si="24"/>
        <v>43800</v>
      </c>
      <c r="B1655" t="s">
        <v>164</v>
      </c>
      <c r="C1655">
        <v>-59229</v>
      </c>
    </row>
    <row r="1656" spans="1:3" x14ac:dyDescent="0.25">
      <c r="A1656" s="1">
        <f t="shared" si="24"/>
        <v>43800</v>
      </c>
      <c r="B1656" t="s">
        <v>165</v>
      </c>
      <c r="C1656">
        <v>-91309</v>
      </c>
    </row>
    <row r="1657" spans="1:3" x14ac:dyDescent="0.25">
      <c r="A1657" s="1">
        <f t="shared" si="24"/>
        <v>43800</v>
      </c>
      <c r="B1657" t="s">
        <v>166</v>
      </c>
      <c r="C1657">
        <v>-50476</v>
      </c>
    </row>
    <row r="1658" spans="1:3" x14ac:dyDescent="0.25">
      <c r="A1658" s="1">
        <f t="shared" si="24"/>
        <v>43800</v>
      </c>
      <c r="B1658" t="s">
        <v>167</v>
      </c>
      <c r="C1658">
        <v>-346694</v>
      </c>
    </row>
    <row r="1659" spans="1:3" x14ac:dyDescent="0.25">
      <c r="A1659" s="1">
        <f t="shared" si="24"/>
        <v>43800</v>
      </c>
      <c r="B1659" t="s">
        <v>168</v>
      </c>
      <c r="C1659">
        <v>-330841</v>
      </c>
    </row>
    <row r="1660" spans="1:3" x14ac:dyDescent="0.25">
      <c r="A1660" s="1">
        <f t="shared" si="24"/>
        <v>43800</v>
      </c>
      <c r="B1660" t="s">
        <v>169</v>
      </c>
      <c r="C1660">
        <v>-288824</v>
      </c>
    </row>
    <row r="1661" spans="1:3" x14ac:dyDescent="0.25">
      <c r="A1661" s="1">
        <f t="shared" si="24"/>
        <v>43800</v>
      </c>
      <c r="B1661" t="s">
        <v>170</v>
      </c>
      <c r="C1661">
        <v>-232191</v>
      </c>
    </row>
    <row r="1662" spans="1:3" x14ac:dyDescent="0.25">
      <c r="A1662" s="1">
        <f t="shared" si="24"/>
        <v>43800</v>
      </c>
      <c r="B1662" t="s">
        <v>171</v>
      </c>
      <c r="C1662">
        <v>-390712</v>
      </c>
    </row>
    <row r="1663" spans="1:3" x14ac:dyDescent="0.25">
      <c r="A1663" s="1">
        <f t="shared" si="24"/>
        <v>43800</v>
      </c>
      <c r="B1663" t="s">
        <v>172</v>
      </c>
      <c r="C1663">
        <v>-361468</v>
      </c>
    </row>
    <row r="1664" spans="1:3" x14ac:dyDescent="0.25">
      <c r="A1664" s="1">
        <f t="shared" si="24"/>
        <v>43800</v>
      </c>
      <c r="B1664" t="s">
        <v>173</v>
      </c>
      <c r="C1664">
        <v>-51924</v>
      </c>
    </row>
    <row r="1665" spans="1:3" x14ac:dyDescent="0.25">
      <c r="A1665" s="1">
        <f t="shared" si="24"/>
        <v>43800</v>
      </c>
      <c r="B1665" t="s">
        <v>174</v>
      </c>
      <c r="C1665">
        <v>-58831</v>
      </c>
    </row>
    <row r="1666" spans="1:3" x14ac:dyDescent="0.25">
      <c r="A1666" s="1">
        <f t="shared" si="24"/>
        <v>43800</v>
      </c>
      <c r="B1666" t="s">
        <v>175</v>
      </c>
      <c r="C1666">
        <v>-45607</v>
      </c>
    </row>
    <row r="1667" spans="1:3" x14ac:dyDescent="0.25">
      <c r="A1667" s="1">
        <f t="shared" si="24"/>
        <v>43800</v>
      </c>
      <c r="B1667" t="s">
        <v>176</v>
      </c>
      <c r="C1667">
        <v>-41776</v>
      </c>
    </row>
    <row r="1668" spans="1:3" x14ac:dyDescent="0.25">
      <c r="A1668" s="1">
        <f t="shared" si="24"/>
        <v>43800</v>
      </c>
      <c r="B1668" t="s">
        <v>177</v>
      </c>
      <c r="C1668">
        <v>-47624</v>
      </c>
    </row>
    <row r="1669" spans="1:3" x14ac:dyDescent="0.25">
      <c r="A1669" s="1">
        <f t="shared" si="24"/>
        <v>43800</v>
      </c>
      <c r="B1669" t="s">
        <v>178</v>
      </c>
      <c r="C1669">
        <v>-126429</v>
      </c>
    </row>
    <row r="1670" spans="1:3" x14ac:dyDescent="0.25">
      <c r="A1670" s="1">
        <f t="shared" si="24"/>
        <v>43800</v>
      </c>
      <c r="B1670" t="s">
        <v>179</v>
      </c>
      <c r="C1670">
        <v>-133324</v>
      </c>
    </row>
    <row r="1671" spans="1:3" x14ac:dyDescent="0.25">
      <c r="A1671" s="1">
        <f t="shared" si="24"/>
        <v>43800</v>
      </c>
      <c r="B1671" t="s">
        <v>180</v>
      </c>
      <c r="C1671">
        <v>-107921</v>
      </c>
    </row>
    <row r="1672" spans="1:3" x14ac:dyDescent="0.25">
      <c r="A1672" s="1">
        <f t="shared" ref="A1672:A1681" si="25">EDATE(A1532,1)</f>
        <v>43800</v>
      </c>
      <c r="B1672" t="s">
        <v>181</v>
      </c>
      <c r="C1672">
        <v>-61724</v>
      </c>
    </row>
    <row r="1673" spans="1:3" x14ac:dyDescent="0.25">
      <c r="A1673" s="1">
        <f t="shared" si="25"/>
        <v>43800</v>
      </c>
      <c r="B1673" t="s">
        <v>182</v>
      </c>
      <c r="C1673">
        <v>-61836</v>
      </c>
    </row>
    <row r="1674" spans="1:3" x14ac:dyDescent="0.25">
      <c r="A1674" s="1">
        <f t="shared" si="25"/>
        <v>43800</v>
      </c>
      <c r="B1674" t="s">
        <v>183</v>
      </c>
      <c r="C1674">
        <v>-50442</v>
      </c>
    </row>
    <row r="1675" spans="1:3" x14ac:dyDescent="0.25">
      <c r="A1675" s="1">
        <f t="shared" si="25"/>
        <v>43800</v>
      </c>
      <c r="B1675" t="s">
        <v>184</v>
      </c>
      <c r="C1675">
        <v>-65877</v>
      </c>
    </row>
    <row r="1676" spans="1:3" x14ac:dyDescent="0.25">
      <c r="A1676" s="1">
        <f t="shared" si="25"/>
        <v>43800</v>
      </c>
      <c r="B1676" t="s">
        <v>185</v>
      </c>
      <c r="C1676">
        <v>-90568</v>
      </c>
    </row>
    <row r="1677" spans="1:3" x14ac:dyDescent="0.25">
      <c r="A1677" s="1">
        <f t="shared" si="25"/>
        <v>43800</v>
      </c>
      <c r="B1677" t="s">
        <v>186</v>
      </c>
      <c r="C1677">
        <v>-111898</v>
      </c>
    </row>
    <row r="1678" spans="1:3" x14ac:dyDescent="0.25">
      <c r="A1678" s="1">
        <f t="shared" si="25"/>
        <v>43800</v>
      </c>
      <c r="B1678" t="s">
        <v>187</v>
      </c>
      <c r="C1678">
        <v>-115982</v>
      </c>
    </row>
    <row r="1679" spans="1:3" x14ac:dyDescent="0.25">
      <c r="A1679" s="1">
        <f t="shared" si="25"/>
        <v>43800</v>
      </c>
      <c r="B1679" t="s">
        <v>188</v>
      </c>
      <c r="C1679">
        <v>-136656</v>
      </c>
    </row>
    <row r="1680" spans="1:3" x14ac:dyDescent="0.25">
      <c r="A1680" s="1">
        <f t="shared" si="25"/>
        <v>43800</v>
      </c>
      <c r="B1680" t="s">
        <v>189</v>
      </c>
      <c r="C1680">
        <v>-9688</v>
      </c>
    </row>
    <row r="1681" spans="1:3" x14ac:dyDescent="0.25">
      <c r="A1681" s="1">
        <f t="shared" si="25"/>
        <v>43800</v>
      </c>
      <c r="B1681" t="s">
        <v>190</v>
      </c>
      <c r="C1681">
        <v>-18108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0AA8-98AC-48EF-88F3-027D54C6FDA1}">
  <dimension ref="A1:E1681"/>
  <sheetViews>
    <sheetView showGridLines="0" workbookViewId="0">
      <selection activeCell="H442" sqref="H442"/>
    </sheetView>
  </sheetViews>
  <sheetFormatPr defaultRowHeight="15" x14ac:dyDescent="0.25"/>
  <cols>
    <col min="1" max="1" width="11.42578125" style="5" customWidth="1"/>
    <col min="2" max="2" width="10" style="5" bestFit="1" customWidth="1"/>
    <col min="3" max="3" width="14.5703125" style="5" customWidth="1"/>
    <col min="4" max="4" width="20.85546875" style="5" customWidth="1"/>
    <col min="5" max="5" width="22.7109375" style="5" customWidth="1"/>
    <col min="6" max="16384" width="9.140625" style="5"/>
  </cols>
  <sheetData>
    <row r="1" spans="1:5" x14ac:dyDescent="0.25">
      <c r="A1" s="5" t="s">
        <v>191</v>
      </c>
      <c r="B1" s="5" t="s">
        <v>6</v>
      </c>
      <c r="C1" s="5" t="s">
        <v>194</v>
      </c>
      <c r="D1" s="5" t="s">
        <v>8</v>
      </c>
      <c r="E1" s="5" t="s">
        <v>9</v>
      </c>
    </row>
    <row r="2" spans="1:5" hidden="1" x14ac:dyDescent="0.25">
      <c r="A2" s="23">
        <v>43466</v>
      </c>
      <c r="B2" s="5" t="s">
        <v>51</v>
      </c>
      <c r="C2" s="5">
        <v>810137</v>
      </c>
      <c r="D2" s="5" t="str">
        <f>_xlfn.XLOOKUP(fRealizado5[[#This Row],[Conta]],'Plano de Contas'!A:A,'Plano de Contas'!C:C)</f>
        <v>(+) RECEITA BRUTA</v>
      </c>
      <c r="E2" s="5" t="str">
        <f>_xlfn.XLOOKUP(fRealizado5[[#This Row],[Conta]],'Plano de Contas'!A:A,'Plano de Contas'!D:D)</f>
        <v>01 - Vendas de Produtos</v>
      </c>
    </row>
    <row r="3" spans="1:5" hidden="1" x14ac:dyDescent="0.25">
      <c r="A3" s="23">
        <v>43466</v>
      </c>
      <c r="B3" s="5" t="s">
        <v>52</v>
      </c>
      <c r="C3" s="5">
        <v>850100</v>
      </c>
      <c r="D3" s="5" t="str">
        <f>_xlfn.XLOOKUP(fRealizado5[[#This Row],[Conta]],'Plano de Contas'!A:A,'Plano de Contas'!C:C)</f>
        <v>(+) RECEITA BRUTA</v>
      </c>
      <c r="E3" s="5" t="str">
        <f>_xlfn.XLOOKUP(fRealizado5[[#This Row],[Conta]],'Plano de Contas'!A:A,'Plano de Contas'!D:D)</f>
        <v>01 - Vendas de Produtos</v>
      </c>
    </row>
    <row r="4" spans="1:5" hidden="1" x14ac:dyDescent="0.25">
      <c r="A4" s="23">
        <v>43466</v>
      </c>
      <c r="B4" s="5" t="s">
        <v>53</v>
      </c>
      <c r="C4" s="5">
        <v>299588</v>
      </c>
      <c r="D4" s="5" t="str">
        <f>_xlfn.XLOOKUP(fRealizado5[[#This Row],[Conta]],'Plano de Contas'!A:A,'Plano de Contas'!C:C)</f>
        <v>(+) RECEITA BRUTA</v>
      </c>
      <c r="E4" s="5" t="str">
        <f>_xlfn.XLOOKUP(fRealizado5[[#This Row],[Conta]],'Plano de Contas'!A:A,'Plano de Contas'!D:D)</f>
        <v>01 - Vendas de Produtos</v>
      </c>
    </row>
    <row r="5" spans="1:5" hidden="1" x14ac:dyDescent="0.25">
      <c r="A5" s="23">
        <v>43466</v>
      </c>
      <c r="B5" s="5" t="s">
        <v>54</v>
      </c>
      <c r="C5" s="5">
        <v>506754</v>
      </c>
      <c r="D5" s="5" t="str">
        <f>_xlfn.XLOOKUP(fRealizado5[[#This Row],[Conta]],'Plano de Contas'!A:A,'Plano de Contas'!C:C)</f>
        <v>(+) RECEITA BRUTA</v>
      </c>
      <c r="E5" s="5" t="str">
        <f>_xlfn.XLOOKUP(fRealizado5[[#This Row],[Conta]],'Plano de Contas'!A:A,'Plano de Contas'!D:D)</f>
        <v>01 - Vendas de Produtos</v>
      </c>
    </row>
    <row r="6" spans="1:5" hidden="1" x14ac:dyDescent="0.25">
      <c r="A6" s="23">
        <v>43466</v>
      </c>
      <c r="B6" s="5" t="s">
        <v>55</v>
      </c>
      <c r="C6" s="5">
        <v>586151</v>
      </c>
      <c r="D6" s="5" t="str">
        <f>_xlfn.XLOOKUP(fRealizado5[[#This Row],[Conta]],'Plano de Contas'!A:A,'Plano de Contas'!C:C)</f>
        <v>(+) RECEITA BRUTA</v>
      </c>
      <c r="E6" s="5" t="str">
        <f>_xlfn.XLOOKUP(fRealizado5[[#This Row],[Conta]],'Plano de Contas'!A:A,'Plano de Contas'!D:D)</f>
        <v>01 - Vendas de Produtos</v>
      </c>
    </row>
    <row r="7" spans="1:5" hidden="1" x14ac:dyDescent="0.25">
      <c r="A7" s="23">
        <v>43466</v>
      </c>
      <c r="B7" s="5" t="s">
        <v>56</v>
      </c>
      <c r="C7" s="5">
        <v>554691</v>
      </c>
      <c r="D7" s="5" t="str">
        <f>_xlfn.XLOOKUP(fRealizado5[[#This Row],[Conta]],'Plano de Contas'!A:A,'Plano de Contas'!C:C)</f>
        <v>(+) RECEITA BRUTA</v>
      </c>
      <c r="E7" s="5" t="str">
        <f>_xlfn.XLOOKUP(fRealizado5[[#This Row],[Conta]],'Plano de Contas'!A:A,'Plano de Contas'!D:D)</f>
        <v>01 - Vendas de Produtos</v>
      </c>
    </row>
    <row r="8" spans="1:5" hidden="1" x14ac:dyDescent="0.25">
      <c r="A8" s="23">
        <v>43466</v>
      </c>
      <c r="B8" s="5" t="s">
        <v>57</v>
      </c>
      <c r="C8" s="5">
        <v>954172</v>
      </c>
      <c r="D8" s="5" t="str">
        <f>_xlfn.XLOOKUP(fRealizado5[[#This Row],[Conta]],'Plano de Contas'!A:A,'Plano de Contas'!C:C)</f>
        <v>(+) RECEITA BRUTA</v>
      </c>
      <c r="E8" s="5" t="str">
        <f>_xlfn.XLOOKUP(fRealizado5[[#This Row],[Conta]],'Plano de Contas'!A:A,'Plano de Contas'!D:D)</f>
        <v>01 - Vendas de Produtos</v>
      </c>
    </row>
    <row r="9" spans="1:5" hidden="1" x14ac:dyDescent="0.25">
      <c r="A9" s="23">
        <v>43466</v>
      </c>
      <c r="B9" s="5" t="s">
        <v>58</v>
      </c>
      <c r="C9" s="5">
        <v>431512</v>
      </c>
      <c r="D9" s="5" t="str">
        <f>_xlfn.XLOOKUP(fRealizado5[[#This Row],[Conta]],'Plano de Contas'!A:A,'Plano de Contas'!C:C)</f>
        <v>(+) RECEITA BRUTA</v>
      </c>
      <c r="E9" s="5" t="str">
        <f>_xlfn.XLOOKUP(fRealizado5[[#This Row],[Conta]],'Plano de Contas'!A:A,'Plano de Contas'!D:D)</f>
        <v>01 - Vendas de Produtos</v>
      </c>
    </row>
    <row r="10" spans="1:5" hidden="1" x14ac:dyDescent="0.25">
      <c r="A10" s="23">
        <v>43466</v>
      </c>
      <c r="B10" s="5" t="s">
        <v>59</v>
      </c>
      <c r="C10" s="5">
        <v>500702</v>
      </c>
      <c r="D10" s="5" t="str">
        <f>_xlfn.XLOOKUP(fRealizado5[[#This Row],[Conta]],'Plano de Contas'!A:A,'Plano de Contas'!C:C)</f>
        <v>(+) RECEITA BRUTA</v>
      </c>
      <c r="E10" s="5" t="str">
        <f>_xlfn.XLOOKUP(fRealizado5[[#This Row],[Conta]],'Plano de Contas'!A:A,'Plano de Contas'!D:D)</f>
        <v>01 - Vendas de Produtos</v>
      </c>
    </row>
    <row r="11" spans="1:5" hidden="1" x14ac:dyDescent="0.25">
      <c r="A11" s="23">
        <v>43466</v>
      </c>
      <c r="B11" s="5" t="s">
        <v>60</v>
      </c>
      <c r="C11" s="5">
        <v>980377</v>
      </c>
      <c r="D11" s="5" t="str">
        <f>_xlfn.XLOOKUP(fRealizado5[[#This Row],[Conta]],'Plano de Contas'!A:A,'Plano de Contas'!C:C)</f>
        <v>(+) RECEITA BRUTA</v>
      </c>
      <c r="E11" s="5" t="str">
        <f>_xlfn.XLOOKUP(fRealizado5[[#This Row],[Conta]],'Plano de Contas'!A:A,'Plano de Contas'!D:D)</f>
        <v>01 - Vendas de Produtos</v>
      </c>
    </row>
    <row r="12" spans="1:5" hidden="1" x14ac:dyDescent="0.25">
      <c r="A12" s="23">
        <v>43466</v>
      </c>
      <c r="B12" s="5" t="s">
        <v>61</v>
      </c>
      <c r="C12" s="5">
        <v>449918</v>
      </c>
      <c r="D12" s="5" t="str">
        <f>_xlfn.XLOOKUP(fRealizado5[[#This Row],[Conta]],'Plano de Contas'!A:A,'Plano de Contas'!C:C)</f>
        <v>(+) RECEITA BRUTA</v>
      </c>
      <c r="E12" s="5" t="str">
        <f>_xlfn.XLOOKUP(fRealizado5[[#This Row],[Conta]],'Plano de Contas'!A:A,'Plano de Contas'!D:D)</f>
        <v>01 - Vendas de Produtos</v>
      </c>
    </row>
    <row r="13" spans="1:5" hidden="1" x14ac:dyDescent="0.25">
      <c r="A13" s="23">
        <v>43466</v>
      </c>
      <c r="B13" s="5" t="s">
        <v>62</v>
      </c>
      <c r="C13" s="5">
        <v>607684</v>
      </c>
      <c r="D13" s="5" t="str">
        <f>_xlfn.XLOOKUP(fRealizado5[[#This Row],[Conta]],'Plano de Contas'!A:A,'Plano de Contas'!C:C)</f>
        <v>(+) RECEITA BRUTA</v>
      </c>
      <c r="E13" s="5" t="str">
        <f>_xlfn.XLOOKUP(fRealizado5[[#This Row],[Conta]],'Plano de Contas'!A:A,'Plano de Contas'!D:D)</f>
        <v>01 - Vendas de Produtos</v>
      </c>
    </row>
    <row r="14" spans="1:5" hidden="1" x14ac:dyDescent="0.25">
      <c r="A14" s="23">
        <v>43466</v>
      </c>
      <c r="B14" s="5" t="s">
        <v>63</v>
      </c>
      <c r="C14" s="5">
        <v>709801</v>
      </c>
      <c r="D14" s="5" t="str">
        <f>_xlfn.XLOOKUP(fRealizado5[[#This Row],[Conta]],'Plano de Contas'!A:A,'Plano de Contas'!C:C)</f>
        <v>(+) RECEITA BRUTA</v>
      </c>
      <c r="E14" s="5" t="str">
        <f>_xlfn.XLOOKUP(fRealizado5[[#This Row],[Conta]],'Plano de Contas'!A:A,'Plano de Contas'!D:D)</f>
        <v>01 - Vendas de Produtos</v>
      </c>
    </row>
    <row r="15" spans="1:5" hidden="1" x14ac:dyDescent="0.25">
      <c r="A15" s="23">
        <v>43466</v>
      </c>
      <c r="B15" s="5" t="s">
        <v>64</v>
      </c>
      <c r="C15" s="5">
        <v>563157</v>
      </c>
      <c r="D15" s="5" t="str">
        <f>_xlfn.XLOOKUP(fRealizado5[[#This Row],[Conta]],'Plano de Contas'!A:A,'Plano de Contas'!C:C)</f>
        <v>(+) RECEITA BRUTA</v>
      </c>
      <c r="E15" s="5" t="str">
        <f>_xlfn.XLOOKUP(fRealizado5[[#This Row],[Conta]],'Plano de Contas'!A:A,'Plano de Contas'!D:D)</f>
        <v>01 - Vendas de Produtos</v>
      </c>
    </row>
    <row r="16" spans="1:5" hidden="1" x14ac:dyDescent="0.25">
      <c r="A16" s="23">
        <v>43466</v>
      </c>
      <c r="B16" s="5" t="s">
        <v>65</v>
      </c>
      <c r="C16" s="5">
        <v>899985</v>
      </c>
      <c r="D16" s="5" t="str">
        <f>_xlfn.XLOOKUP(fRealizado5[[#This Row],[Conta]],'Plano de Contas'!A:A,'Plano de Contas'!C:C)</f>
        <v>(+) RECEITA BRUTA</v>
      </c>
      <c r="E16" s="5" t="str">
        <f>_xlfn.XLOOKUP(fRealizado5[[#This Row],[Conta]],'Plano de Contas'!A:A,'Plano de Contas'!D:D)</f>
        <v>01 - Vendas de Produtos</v>
      </c>
    </row>
    <row r="17" spans="1:5" hidden="1" x14ac:dyDescent="0.25">
      <c r="A17" s="23">
        <v>43466</v>
      </c>
      <c r="B17" s="5" t="s">
        <v>66</v>
      </c>
      <c r="C17" s="5">
        <v>660206</v>
      </c>
      <c r="D17" s="5" t="str">
        <f>_xlfn.XLOOKUP(fRealizado5[[#This Row],[Conta]],'Plano de Contas'!A:A,'Plano de Contas'!C:C)</f>
        <v>(+) RECEITA BRUTA</v>
      </c>
      <c r="E17" s="5" t="str">
        <f>_xlfn.XLOOKUP(fRealizado5[[#This Row],[Conta]],'Plano de Contas'!A:A,'Plano de Contas'!D:D)</f>
        <v>01 - Vendas de Produtos</v>
      </c>
    </row>
    <row r="18" spans="1:5" hidden="1" x14ac:dyDescent="0.25">
      <c r="A18" s="23">
        <v>43466</v>
      </c>
      <c r="B18" s="5" t="s">
        <v>67</v>
      </c>
      <c r="C18" s="5">
        <v>573589</v>
      </c>
      <c r="D18" s="5" t="str">
        <f>_xlfn.XLOOKUP(fRealizado5[[#This Row],[Conta]],'Plano de Contas'!A:A,'Plano de Contas'!C:C)</f>
        <v>(+) RECEITA BRUTA</v>
      </c>
      <c r="E18" s="5" t="str">
        <f>_xlfn.XLOOKUP(fRealizado5[[#This Row],[Conta]],'Plano de Contas'!A:A,'Plano de Contas'!D:D)</f>
        <v>01 - Vendas de Produtos</v>
      </c>
    </row>
    <row r="19" spans="1:5" hidden="1" x14ac:dyDescent="0.25">
      <c r="A19" s="23">
        <v>43466</v>
      </c>
      <c r="B19" s="5" t="s">
        <v>68</v>
      </c>
      <c r="C19" s="5">
        <v>485633</v>
      </c>
      <c r="D19" s="5" t="str">
        <f>_xlfn.XLOOKUP(fRealizado5[[#This Row],[Conta]],'Plano de Contas'!A:A,'Plano de Contas'!C:C)</f>
        <v>(+) RECEITA BRUTA</v>
      </c>
      <c r="E19" s="5" t="str">
        <f>_xlfn.XLOOKUP(fRealizado5[[#This Row],[Conta]],'Plano de Contas'!A:A,'Plano de Contas'!D:D)</f>
        <v>01 - Vendas de Produtos</v>
      </c>
    </row>
    <row r="20" spans="1:5" hidden="1" x14ac:dyDescent="0.25">
      <c r="A20" s="23">
        <v>43466</v>
      </c>
      <c r="B20" s="5" t="s">
        <v>69</v>
      </c>
      <c r="C20" s="5">
        <v>720917</v>
      </c>
      <c r="D20" s="5" t="str">
        <f>_xlfn.XLOOKUP(fRealizado5[[#This Row],[Conta]],'Plano de Contas'!A:A,'Plano de Contas'!C:C)</f>
        <v>(+) RECEITA BRUTA</v>
      </c>
      <c r="E20" s="5" t="str">
        <f>_xlfn.XLOOKUP(fRealizado5[[#This Row],[Conta]],'Plano de Contas'!A:A,'Plano de Contas'!D:D)</f>
        <v>01 - Vendas de Produtos</v>
      </c>
    </row>
    <row r="21" spans="1:5" hidden="1" x14ac:dyDescent="0.25">
      <c r="A21" s="23">
        <v>43466</v>
      </c>
      <c r="B21" s="5" t="s">
        <v>70</v>
      </c>
      <c r="C21" s="5">
        <v>461375</v>
      </c>
      <c r="D21" s="5" t="str">
        <f>_xlfn.XLOOKUP(fRealizado5[[#This Row],[Conta]],'Plano de Contas'!A:A,'Plano de Contas'!C:C)</f>
        <v>(+) RECEITA BRUTA</v>
      </c>
      <c r="E21" s="5" t="str">
        <f>_xlfn.XLOOKUP(fRealizado5[[#This Row],[Conta]],'Plano de Contas'!A:A,'Plano de Contas'!D:D)</f>
        <v>01 - Vendas de Produtos</v>
      </c>
    </row>
    <row r="22" spans="1:5" hidden="1" x14ac:dyDescent="0.25">
      <c r="A22" s="23">
        <v>43466</v>
      </c>
      <c r="B22" s="5" t="s">
        <v>71</v>
      </c>
      <c r="C22" s="5">
        <v>736040</v>
      </c>
      <c r="D22" s="5" t="str">
        <f>_xlfn.XLOOKUP(fRealizado5[[#This Row],[Conta]],'Plano de Contas'!A:A,'Plano de Contas'!C:C)</f>
        <v>(+) RECEITA BRUTA</v>
      </c>
      <c r="E22" s="5" t="str">
        <f>_xlfn.XLOOKUP(fRealizado5[[#This Row],[Conta]],'Plano de Contas'!A:A,'Plano de Contas'!D:D)</f>
        <v>01 - Vendas de Produtos</v>
      </c>
    </row>
    <row r="23" spans="1:5" hidden="1" x14ac:dyDescent="0.25">
      <c r="A23" s="23">
        <v>43466</v>
      </c>
      <c r="B23" s="5" t="s">
        <v>72</v>
      </c>
      <c r="C23" s="5">
        <v>718496</v>
      </c>
      <c r="D23" s="5" t="str">
        <f>_xlfn.XLOOKUP(fRealizado5[[#This Row],[Conta]],'Plano de Contas'!A:A,'Plano de Contas'!C:C)</f>
        <v>(+) RECEITA BRUTA</v>
      </c>
      <c r="E23" s="5" t="str">
        <f>_xlfn.XLOOKUP(fRealizado5[[#This Row],[Conta]],'Plano de Contas'!A:A,'Plano de Contas'!D:D)</f>
        <v>01 - Vendas de Produtos</v>
      </c>
    </row>
    <row r="24" spans="1:5" hidden="1" x14ac:dyDescent="0.25">
      <c r="A24" s="23">
        <v>43466</v>
      </c>
      <c r="B24" s="5" t="s">
        <v>73</v>
      </c>
      <c r="C24" s="5">
        <v>60172</v>
      </c>
      <c r="D24" s="5" t="str">
        <f>_xlfn.XLOOKUP(fRealizado5[[#This Row],[Conta]],'Plano de Contas'!A:A,'Plano de Contas'!C:C)</f>
        <v>(+) RECEITA BRUTA</v>
      </c>
      <c r="E24" s="5" t="str">
        <f>_xlfn.XLOOKUP(fRealizado5[[#This Row],[Conta]],'Plano de Contas'!A:A,'Plano de Contas'!D:D)</f>
        <v>01 - Vendas de Produtos</v>
      </c>
    </row>
    <row r="25" spans="1:5" hidden="1" x14ac:dyDescent="0.25">
      <c r="A25" s="23">
        <v>43466</v>
      </c>
      <c r="B25" s="5" t="s">
        <v>74</v>
      </c>
      <c r="C25" s="5">
        <v>242979</v>
      </c>
      <c r="D25" s="5" t="str">
        <f>_xlfn.XLOOKUP(fRealizado5[[#This Row],[Conta]],'Plano de Contas'!A:A,'Plano de Contas'!C:C)</f>
        <v>(+) RECEITA BRUTA</v>
      </c>
      <c r="E25" s="5" t="str">
        <f>_xlfn.XLOOKUP(fRealizado5[[#This Row],[Conta]],'Plano de Contas'!A:A,'Plano de Contas'!D:D)</f>
        <v>01 - Vendas de Produtos</v>
      </c>
    </row>
    <row r="26" spans="1:5" hidden="1" x14ac:dyDescent="0.25">
      <c r="A26" s="23">
        <v>43466</v>
      </c>
      <c r="B26" s="5" t="s">
        <v>75</v>
      </c>
      <c r="C26" s="5">
        <v>90494</v>
      </c>
      <c r="D26" s="5" t="str">
        <f>_xlfn.XLOOKUP(fRealizado5[[#This Row],[Conta]],'Plano de Contas'!A:A,'Plano de Contas'!C:C)</f>
        <v>(+) RECEITA BRUTA</v>
      </c>
      <c r="E26" s="5" t="str">
        <f>_xlfn.XLOOKUP(fRealizado5[[#This Row],[Conta]],'Plano de Contas'!A:A,'Plano de Contas'!D:D)</f>
        <v>02 - Outras Receitas</v>
      </c>
    </row>
    <row r="27" spans="1:5" hidden="1" x14ac:dyDescent="0.25">
      <c r="A27" s="23">
        <v>43466</v>
      </c>
      <c r="B27" s="5" t="s">
        <v>76</v>
      </c>
      <c r="C27" s="5">
        <v>274668</v>
      </c>
      <c r="D27" s="5" t="str">
        <f>_xlfn.XLOOKUP(fRealizado5[[#This Row],[Conta]],'Plano de Contas'!A:A,'Plano de Contas'!C:C)</f>
        <v>(+) RECEITA BRUTA</v>
      </c>
      <c r="E27" s="5" t="str">
        <f>_xlfn.XLOOKUP(fRealizado5[[#This Row],[Conta]],'Plano de Contas'!A:A,'Plano de Contas'!D:D)</f>
        <v>02 - Outras Receitas</v>
      </c>
    </row>
    <row r="28" spans="1:5" hidden="1" x14ac:dyDescent="0.25">
      <c r="A28" s="23">
        <v>43466</v>
      </c>
      <c r="B28" s="5" t="s">
        <v>77</v>
      </c>
      <c r="C28" s="5">
        <v>295238</v>
      </c>
      <c r="D28" s="5" t="str">
        <f>_xlfn.XLOOKUP(fRealizado5[[#This Row],[Conta]],'Plano de Contas'!A:A,'Plano de Contas'!C:C)</f>
        <v>(+) RECEITA BRUTA</v>
      </c>
      <c r="E28" s="5" t="str">
        <f>_xlfn.XLOOKUP(fRealizado5[[#This Row],[Conta]],'Plano de Contas'!A:A,'Plano de Contas'!D:D)</f>
        <v>02 - Outras Receitas</v>
      </c>
    </row>
    <row r="29" spans="1:5" hidden="1" x14ac:dyDescent="0.25">
      <c r="A29" s="23">
        <v>43466</v>
      </c>
      <c r="B29" s="5" t="s">
        <v>78</v>
      </c>
      <c r="C29" s="5">
        <v>282454</v>
      </c>
      <c r="D29" s="5" t="str">
        <f>_xlfn.XLOOKUP(fRealizado5[[#This Row],[Conta]],'Plano de Contas'!A:A,'Plano de Contas'!C:C)</f>
        <v>(+) RECEITA BRUTA</v>
      </c>
      <c r="E29" s="5" t="str">
        <f>_xlfn.XLOOKUP(fRealizado5[[#This Row],[Conta]],'Plano de Contas'!A:A,'Plano de Contas'!D:D)</f>
        <v>02 - Outras Receitas</v>
      </c>
    </row>
    <row r="30" spans="1:5" hidden="1" x14ac:dyDescent="0.25">
      <c r="A30" s="23">
        <v>43466</v>
      </c>
      <c r="B30" s="5" t="s">
        <v>79</v>
      </c>
      <c r="C30" s="5">
        <v>58521</v>
      </c>
      <c r="D30" s="5" t="str">
        <f>_xlfn.XLOOKUP(fRealizado5[[#This Row],[Conta]],'Plano de Contas'!A:A,'Plano de Contas'!C:C)</f>
        <v>(+) RECEITA BRUTA</v>
      </c>
      <c r="E30" s="5" t="str">
        <f>_xlfn.XLOOKUP(fRealizado5[[#This Row],[Conta]],'Plano de Contas'!A:A,'Plano de Contas'!D:D)</f>
        <v>02 - Outras Receitas</v>
      </c>
    </row>
    <row r="31" spans="1:5" hidden="1" x14ac:dyDescent="0.25">
      <c r="A31" s="23">
        <v>43466</v>
      </c>
      <c r="B31" s="5" t="s">
        <v>80</v>
      </c>
      <c r="C31" s="5">
        <v>124972</v>
      </c>
      <c r="D31" s="5" t="str">
        <f>_xlfn.XLOOKUP(fRealizado5[[#This Row],[Conta]],'Plano de Contas'!A:A,'Plano de Contas'!C:C)</f>
        <v>(+) RECEITA BRUTA</v>
      </c>
      <c r="E31" s="5" t="str">
        <f>_xlfn.XLOOKUP(fRealizado5[[#This Row],[Conta]],'Plano de Contas'!A:A,'Plano de Contas'!D:D)</f>
        <v>02 - Outras Receitas</v>
      </c>
    </row>
    <row r="32" spans="1:5" hidden="1" x14ac:dyDescent="0.25">
      <c r="A32" s="23">
        <v>43466</v>
      </c>
      <c r="B32" s="5" t="s">
        <v>81</v>
      </c>
      <c r="C32" s="5">
        <v>118613</v>
      </c>
      <c r="D32" s="5" t="str">
        <f>_xlfn.XLOOKUP(fRealizado5[[#This Row],[Conta]],'Plano de Contas'!A:A,'Plano de Contas'!C:C)</f>
        <v>(+) RECEITA BRUTA</v>
      </c>
      <c r="E32" s="5" t="str">
        <f>_xlfn.XLOOKUP(fRealizado5[[#This Row],[Conta]],'Plano de Contas'!A:A,'Plano de Contas'!D:D)</f>
        <v>02 - Outras Receitas</v>
      </c>
    </row>
    <row r="33" spans="1:5" hidden="1" x14ac:dyDescent="0.25">
      <c r="A33" s="23">
        <v>43466</v>
      </c>
      <c r="B33" s="5" t="s">
        <v>82</v>
      </c>
      <c r="C33" s="5">
        <v>112657</v>
      </c>
      <c r="D33" s="5" t="str">
        <f>_xlfn.XLOOKUP(fRealizado5[[#This Row],[Conta]],'Plano de Contas'!A:A,'Plano de Contas'!C:C)</f>
        <v>(+) RECEITA BRUTA</v>
      </c>
      <c r="E33" s="5" t="str">
        <f>_xlfn.XLOOKUP(fRealizado5[[#This Row],[Conta]],'Plano de Contas'!A:A,'Plano de Contas'!D:D)</f>
        <v>02 - Outras Receitas</v>
      </c>
    </row>
    <row r="34" spans="1:5" hidden="1" x14ac:dyDescent="0.25">
      <c r="A34" s="23">
        <v>43466</v>
      </c>
      <c r="B34" s="5" t="s">
        <v>83</v>
      </c>
      <c r="C34" s="5">
        <v>276681</v>
      </c>
      <c r="D34" s="5" t="str">
        <f>_xlfn.XLOOKUP(fRealizado5[[#This Row],[Conta]],'Plano de Contas'!A:A,'Plano de Contas'!C:C)</f>
        <v>(+) RECEITA BRUTA</v>
      </c>
      <c r="E34" s="5" t="str">
        <f>_xlfn.XLOOKUP(fRealizado5[[#This Row],[Conta]],'Plano de Contas'!A:A,'Plano de Contas'!D:D)</f>
        <v>02 - Outras Receitas</v>
      </c>
    </row>
    <row r="35" spans="1:5" hidden="1" x14ac:dyDescent="0.25">
      <c r="A35" s="23">
        <v>43466</v>
      </c>
      <c r="B35" s="5" t="s">
        <v>84</v>
      </c>
      <c r="C35" s="5">
        <v>82655</v>
      </c>
      <c r="D35" s="5" t="str">
        <f>_xlfn.XLOOKUP(fRealizado5[[#This Row],[Conta]],'Plano de Contas'!A:A,'Plano de Contas'!C:C)</f>
        <v>(+) RECEITA BRUTA</v>
      </c>
      <c r="E35" s="5" t="str">
        <f>_xlfn.XLOOKUP(fRealizado5[[#This Row],[Conta]],'Plano de Contas'!A:A,'Plano de Contas'!D:D)</f>
        <v>02 - Outras Receitas</v>
      </c>
    </row>
    <row r="36" spans="1:5" hidden="1" x14ac:dyDescent="0.25">
      <c r="A36" s="23">
        <v>43466</v>
      </c>
      <c r="B36" s="5" t="s">
        <v>85</v>
      </c>
      <c r="C36" s="5">
        <v>96651</v>
      </c>
      <c r="D36" s="5" t="str">
        <f>_xlfn.XLOOKUP(fRealizado5[[#This Row],[Conta]],'Plano de Contas'!A:A,'Plano de Contas'!C:C)</f>
        <v>(+) RECEITA BRUTA</v>
      </c>
      <c r="E36" s="5" t="str">
        <f>_xlfn.XLOOKUP(fRealizado5[[#This Row],[Conta]],'Plano de Contas'!A:A,'Plano de Contas'!D:D)</f>
        <v>02 - Outras Receitas</v>
      </c>
    </row>
    <row r="37" spans="1:5" hidden="1" x14ac:dyDescent="0.25">
      <c r="A37" s="23">
        <v>43466</v>
      </c>
      <c r="B37" s="5" t="s">
        <v>86</v>
      </c>
      <c r="C37" s="5">
        <v>118037</v>
      </c>
      <c r="D37" s="5" t="str">
        <f>_xlfn.XLOOKUP(fRealizado5[[#This Row],[Conta]],'Plano de Contas'!A:A,'Plano de Contas'!C:C)</f>
        <v>(+) RECEITA BRUTA</v>
      </c>
      <c r="E37" s="5" t="str">
        <f>_xlfn.XLOOKUP(fRealizado5[[#This Row],[Conta]],'Plano de Contas'!A:A,'Plano de Contas'!D:D)</f>
        <v>02 - Outras Receitas</v>
      </c>
    </row>
    <row r="38" spans="1:5" hidden="1" x14ac:dyDescent="0.25">
      <c r="A38" s="23">
        <v>43466</v>
      </c>
      <c r="B38" s="5" t="s">
        <v>87</v>
      </c>
      <c r="C38" s="5">
        <v>112103</v>
      </c>
      <c r="D38" s="5" t="str">
        <f>_xlfn.XLOOKUP(fRealizado5[[#This Row],[Conta]],'Plano de Contas'!A:A,'Plano de Contas'!C:C)</f>
        <v>(+) RECEITA BRUTA</v>
      </c>
      <c r="E38" s="5" t="str">
        <f>_xlfn.XLOOKUP(fRealizado5[[#This Row],[Conta]],'Plano de Contas'!A:A,'Plano de Contas'!D:D)</f>
        <v>02 - Outras Receitas</v>
      </c>
    </row>
    <row r="39" spans="1:5" hidden="1" x14ac:dyDescent="0.25">
      <c r="A39" s="23">
        <v>43466</v>
      </c>
      <c r="B39" s="5" t="s">
        <v>88</v>
      </c>
      <c r="C39" s="5">
        <v>226004</v>
      </c>
      <c r="D39" s="5" t="str">
        <f>_xlfn.XLOOKUP(fRealizado5[[#This Row],[Conta]],'Plano de Contas'!A:A,'Plano de Contas'!C:C)</f>
        <v>(+) RECEITA BRUTA</v>
      </c>
      <c r="E39" s="5" t="str">
        <f>_xlfn.XLOOKUP(fRealizado5[[#This Row],[Conta]],'Plano de Contas'!A:A,'Plano de Contas'!D:D)</f>
        <v>02 - Outras Receitas</v>
      </c>
    </row>
    <row r="40" spans="1:5" hidden="1" x14ac:dyDescent="0.25">
      <c r="A40" s="23">
        <v>43466</v>
      </c>
      <c r="B40" s="5" t="s">
        <v>89</v>
      </c>
      <c r="C40" s="5">
        <v>181343</v>
      </c>
      <c r="D40" s="5" t="str">
        <f>_xlfn.XLOOKUP(fRealizado5[[#This Row],[Conta]],'Plano de Contas'!A:A,'Plano de Contas'!C:C)</f>
        <v>(+) RECEITA BRUTA</v>
      </c>
      <c r="E40" s="5" t="str">
        <f>_xlfn.XLOOKUP(fRealizado5[[#This Row],[Conta]],'Plano de Contas'!A:A,'Plano de Contas'!D:D)</f>
        <v>02 - Outras Receitas</v>
      </c>
    </row>
    <row r="41" spans="1:5" hidden="1" x14ac:dyDescent="0.25">
      <c r="A41" s="23">
        <v>43466</v>
      </c>
      <c r="B41" s="5" t="s">
        <v>90</v>
      </c>
      <c r="C41" s="5">
        <v>213650</v>
      </c>
      <c r="D41" s="5" t="str">
        <f>_xlfn.XLOOKUP(fRealizado5[[#This Row],[Conta]],'Plano de Contas'!A:A,'Plano de Contas'!C:C)</f>
        <v>(+) RECEITA BRUTA</v>
      </c>
      <c r="E41" s="5" t="str">
        <f>_xlfn.XLOOKUP(fRealizado5[[#This Row],[Conta]],'Plano de Contas'!A:A,'Plano de Contas'!D:D)</f>
        <v>02 - Outras Receitas</v>
      </c>
    </row>
    <row r="42" spans="1:5" hidden="1" x14ac:dyDescent="0.25">
      <c r="A42" s="23">
        <v>43466</v>
      </c>
      <c r="B42" s="5" t="s">
        <v>91</v>
      </c>
      <c r="C42" s="5">
        <v>234902</v>
      </c>
      <c r="D42" s="5" t="str">
        <f>_xlfn.XLOOKUP(fRealizado5[[#This Row],[Conta]],'Plano de Contas'!A:A,'Plano de Contas'!C:C)</f>
        <v>(+) RECEITA BRUTA</v>
      </c>
      <c r="E42" s="5" t="str">
        <f>_xlfn.XLOOKUP(fRealizado5[[#This Row],[Conta]],'Plano de Contas'!A:A,'Plano de Contas'!D:D)</f>
        <v>02 - Outras Receitas</v>
      </c>
    </row>
    <row r="43" spans="1:5" hidden="1" x14ac:dyDescent="0.25">
      <c r="A43" s="23">
        <v>43466</v>
      </c>
      <c r="B43" s="5" t="s">
        <v>92</v>
      </c>
      <c r="C43" s="5">
        <v>279668</v>
      </c>
      <c r="D43" s="5" t="str">
        <f>_xlfn.XLOOKUP(fRealizado5[[#This Row],[Conta]],'Plano de Contas'!A:A,'Plano de Contas'!C:C)</f>
        <v>(+) RECEITA BRUTA</v>
      </c>
      <c r="E43" s="5" t="str">
        <f>_xlfn.XLOOKUP(fRealizado5[[#This Row],[Conta]],'Plano de Contas'!A:A,'Plano de Contas'!D:D)</f>
        <v>02 - Outras Receitas</v>
      </c>
    </row>
    <row r="44" spans="1:5" hidden="1" x14ac:dyDescent="0.25">
      <c r="A44" s="23">
        <v>43466</v>
      </c>
      <c r="B44" s="5" t="s">
        <v>93</v>
      </c>
      <c r="C44" s="5">
        <v>59203</v>
      </c>
      <c r="D44" s="5" t="str">
        <f>_xlfn.XLOOKUP(fRealizado5[[#This Row],[Conta]],'Plano de Contas'!A:A,'Plano de Contas'!C:C)</f>
        <v>(+) RECEITA BRUTA</v>
      </c>
      <c r="E44" s="5" t="str">
        <f>_xlfn.XLOOKUP(fRealizado5[[#This Row],[Conta]],'Plano de Contas'!A:A,'Plano de Contas'!D:D)</f>
        <v>02 - Outras Receitas</v>
      </c>
    </row>
    <row r="45" spans="1:5" hidden="1" x14ac:dyDescent="0.25">
      <c r="A45" s="23">
        <v>43466</v>
      </c>
      <c r="B45" s="5" t="s">
        <v>94</v>
      </c>
      <c r="C45" s="5">
        <v>175987</v>
      </c>
      <c r="D45" s="5" t="str">
        <f>_xlfn.XLOOKUP(fRealizado5[[#This Row],[Conta]],'Plano de Contas'!A:A,'Plano de Contas'!C:C)</f>
        <v>(+) RECEITA BRUTA</v>
      </c>
      <c r="E45" s="5" t="str">
        <f>_xlfn.XLOOKUP(fRealizado5[[#This Row],[Conta]],'Plano de Contas'!A:A,'Plano de Contas'!D:D)</f>
        <v>02 - Outras Receitas</v>
      </c>
    </row>
    <row r="46" spans="1:5" hidden="1" x14ac:dyDescent="0.25">
      <c r="A46" s="23">
        <v>43466</v>
      </c>
      <c r="B46" s="5" t="s">
        <v>95</v>
      </c>
      <c r="C46" s="5">
        <v>128208</v>
      </c>
      <c r="D46" s="5" t="str">
        <f>_xlfn.XLOOKUP(fRealizado5[[#This Row],[Conta]],'Plano de Contas'!A:A,'Plano de Contas'!C:C)</f>
        <v>(+) RECEITA BRUTA</v>
      </c>
      <c r="E46" s="5" t="str">
        <f>_xlfn.XLOOKUP(fRealizado5[[#This Row],[Conta]],'Plano de Contas'!A:A,'Plano de Contas'!D:D)</f>
        <v>02 - Outras Receitas</v>
      </c>
    </row>
    <row r="47" spans="1:5" hidden="1" x14ac:dyDescent="0.25">
      <c r="A47" s="23">
        <v>43466</v>
      </c>
      <c r="B47" s="5" t="s">
        <v>96</v>
      </c>
      <c r="C47" s="5">
        <v>66734</v>
      </c>
      <c r="D47" s="5" t="str">
        <f>_xlfn.XLOOKUP(fRealizado5[[#This Row],[Conta]],'Plano de Contas'!A:A,'Plano de Contas'!C:C)</f>
        <v>(+) RECEITA BRUTA</v>
      </c>
      <c r="E47" s="5" t="str">
        <f>_xlfn.XLOOKUP(fRealizado5[[#This Row],[Conta]],'Plano de Contas'!A:A,'Plano de Contas'!D:D)</f>
        <v>02 - Outras Receitas</v>
      </c>
    </row>
    <row r="48" spans="1:5" hidden="1" x14ac:dyDescent="0.25">
      <c r="A48" s="23">
        <v>43466</v>
      </c>
      <c r="B48" s="5" t="s">
        <v>97</v>
      </c>
      <c r="C48" s="5">
        <v>223085</v>
      </c>
      <c r="D48" s="5" t="str">
        <f>_xlfn.XLOOKUP(fRealizado5[[#This Row],[Conta]],'Plano de Contas'!A:A,'Plano de Contas'!C:C)</f>
        <v>(+) RECEITA BRUTA</v>
      </c>
      <c r="E48" s="5" t="str">
        <f>_xlfn.XLOOKUP(fRealizado5[[#This Row],[Conta]],'Plano de Contas'!A:A,'Plano de Contas'!D:D)</f>
        <v>02 - Outras Receitas</v>
      </c>
    </row>
    <row r="49" spans="1:5" hidden="1" x14ac:dyDescent="0.25">
      <c r="A49" s="23">
        <v>43466</v>
      </c>
      <c r="B49" s="5" t="s">
        <v>98</v>
      </c>
      <c r="C49" s="5">
        <v>85397</v>
      </c>
      <c r="D49" s="5" t="str">
        <f>_xlfn.XLOOKUP(fRealizado5[[#This Row],[Conta]],'Plano de Contas'!A:A,'Plano de Contas'!C:C)</f>
        <v>(+) RECEITA BRUTA</v>
      </c>
      <c r="E49" s="5" t="str">
        <f>_xlfn.XLOOKUP(fRealizado5[[#This Row],[Conta]],'Plano de Contas'!A:A,'Plano de Contas'!D:D)</f>
        <v>02 - Outras Receitas</v>
      </c>
    </row>
    <row r="50" spans="1:5" hidden="1" x14ac:dyDescent="0.25">
      <c r="A50" s="23">
        <v>43466</v>
      </c>
      <c r="B50" s="5" t="s">
        <v>99</v>
      </c>
      <c r="C50" s="5">
        <v>138645</v>
      </c>
      <c r="D50" s="5" t="str">
        <f>_xlfn.XLOOKUP(fRealizado5[[#This Row],[Conta]],'Plano de Contas'!A:A,'Plano de Contas'!C:C)</f>
        <v>(+) RECEITA BRUTA</v>
      </c>
      <c r="E50" s="5" t="str">
        <f>_xlfn.XLOOKUP(fRealizado5[[#This Row],[Conta]],'Plano de Contas'!A:A,'Plano de Contas'!D:D)</f>
        <v>02 - Outras Receitas</v>
      </c>
    </row>
    <row r="51" spans="1:5" hidden="1" x14ac:dyDescent="0.25">
      <c r="A51" s="23">
        <v>43466</v>
      </c>
      <c r="B51" s="5" t="s">
        <v>100</v>
      </c>
      <c r="C51" s="5">
        <v>89884</v>
      </c>
      <c r="D51" s="5" t="str">
        <f>_xlfn.XLOOKUP(fRealizado5[[#This Row],[Conta]],'Plano de Contas'!A:A,'Plano de Contas'!C:C)</f>
        <v>(+) RECEITA BRUTA</v>
      </c>
      <c r="E51" s="5" t="str">
        <f>_xlfn.XLOOKUP(fRealizado5[[#This Row],[Conta]],'Plano de Contas'!A:A,'Plano de Contas'!D:D)</f>
        <v>02 - Outras Receitas</v>
      </c>
    </row>
    <row r="52" spans="1:5" hidden="1" x14ac:dyDescent="0.25">
      <c r="A52" s="23">
        <v>43466</v>
      </c>
      <c r="B52" s="5" t="s">
        <v>101</v>
      </c>
      <c r="C52" s="5">
        <v>167132</v>
      </c>
      <c r="D52" s="5" t="str">
        <f>_xlfn.XLOOKUP(fRealizado5[[#This Row],[Conta]],'Plano de Contas'!A:A,'Plano de Contas'!C:C)</f>
        <v>(+) RECEITA BRUTA</v>
      </c>
      <c r="E52" s="5" t="str">
        <f>_xlfn.XLOOKUP(fRealizado5[[#This Row],[Conta]],'Plano de Contas'!A:A,'Plano de Contas'!D:D)</f>
        <v>02 - Outras Receitas</v>
      </c>
    </row>
    <row r="53" spans="1:5" hidden="1" x14ac:dyDescent="0.25">
      <c r="A53" s="23">
        <v>43466</v>
      </c>
      <c r="B53" s="5" t="s">
        <v>102</v>
      </c>
      <c r="C53" s="5">
        <v>125171</v>
      </c>
      <c r="D53" s="5" t="str">
        <f>_xlfn.XLOOKUP(fRealizado5[[#This Row],[Conta]],'Plano de Contas'!A:A,'Plano de Contas'!C:C)</f>
        <v>(+) RECEITA BRUTA</v>
      </c>
      <c r="E53" s="5" t="str">
        <f>_xlfn.XLOOKUP(fRealizado5[[#This Row],[Conta]],'Plano de Contas'!A:A,'Plano de Contas'!D:D)</f>
        <v>02 - Outras Receitas</v>
      </c>
    </row>
    <row r="54" spans="1:5" hidden="1" x14ac:dyDescent="0.25">
      <c r="A54" s="23">
        <v>43466</v>
      </c>
      <c r="B54" s="5" t="s">
        <v>103</v>
      </c>
      <c r="C54" s="5">
        <v>87125</v>
      </c>
      <c r="D54" s="5" t="str">
        <f>_xlfn.XLOOKUP(fRealizado5[[#This Row],[Conta]],'Plano de Contas'!A:A,'Plano de Contas'!C:C)</f>
        <v>(+) RECEITA BRUTA</v>
      </c>
      <c r="E54" s="5" t="str">
        <f>_xlfn.XLOOKUP(fRealizado5[[#This Row],[Conta]],'Plano de Contas'!A:A,'Plano de Contas'!D:D)</f>
        <v>02 - Outras Receitas</v>
      </c>
    </row>
    <row r="55" spans="1:5" hidden="1" x14ac:dyDescent="0.25">
      <c r="A55" s="23">
        <v>43466</v>
      </c>
      <c r="B55" s="5" t="s">
        <v>104</v>
      </c>
      <c r="C55" s="5">
        <v>173390</v>
      </c>
      <c r="D55" s="5" t="str">
        <f>_xlfn.XLOOKUP(fRealizado5[[#This Row],[Conta]],'Plano de Contas'!A:A,'Plano de Contas'!C:C)</f>
        <v>(+) RECEITA BRUTA</v>
      </c>
      <c r="E55" s="5" t="str">
        <f>_xlfn.XLOOKUP(fRealizado5[[#This Row],[Conta]],'Plano de Contas'!A:A,'Plano de Contas'!D:D)</f>
        <v>02 - Outras Receitas</v>
      </c>
    </row>
    <row r="56" spans="1:5" hidden="1" x14ac:dyDescent="0.25">
      <c r="A56" s="23">
        <v>43466</v>
      </c>
      <c r="B56" s="5" t="s">
        <v>105</v>
      </c>
      <c r="C56" s="5">
        <v>258659</v>
      </c>
      <c r="D56" s="5" t="str">
        <f>_xlfn.XLOOKUP(fRealizado5[[#This Row],[Conta]],'Plano de Contas'!A:A,'Plano de Contas'!C:C)</f>
        <v>(+) RECEITA BRUTA</v>
      </c>
      <c r="E56" s="5" t="str">
        <f>_xlfn.XLOOKUP(fRealizado5[[#This Row],[Conta]],'Plano de Contas'!A:A,'Plano de Contas'!D:D)</f>
        <v>02 - Outras Receitas</v>
      </c>
    </row>
    <row r="57" spans="1:5" hidden="1" x14ac:dyDescent="0.25">
      <c r="A57" s="23">
        <v>43466</v>
      </c>
      <c r="B57" s="5" t="s">
        <v>106</v>
      </c>
      <c r="C57" s="5">
        <v>199237</v>
      </c>
      <c r="D57" s="5" t="str">
        <f>_xlfn.XLOOKUP(fRealizado5[[#This Row],[Conta]],'Plano de Contas'!A:A,'Plano de Contas'!C:C)</f>
        <v>(+) RECEITA BRUTA</v>
      </c>
      <c r="E57" s="5" t="str">
        <f>_xlfn.XLOOKUP(fRealizado5[[#This Row],[Conta]],'Plano de Contas'!A:A,'Plano de Contas'!D:D)</f>
        <v>02 - Outras Receitas</v>
      </c>
    </row>
    <row r="58" spans="1:5" hidden="1" x14ac:dyDescent="0.25">
      <c r="A58" s="23">
        <v>43466</v>
      </c>
      <c r="B58" s="5" t="s">
        <v>107</v>
      </c>
      <c r="C58" s="5">
        <v>160410</v>
      </c>
      <c r="D58" s="5" t="str">
        <f>_xlfn.XLOOKUP(fRealizado5[[#This Row],[Conta]],'Plano de Contas'!A:A,'Plano de Contas'!C:C)</f>
        <v>(+) RECEITA BRUTA</v>
      </c>
      <c r="E58" s="5" t="str">
        <f>_xlfn.XLOOKUP(fRealizado5[[#This Row],[Conta]],'Plano de Contas'!A:A,'Plano de Contas'!D:D)</f>
        <v>02 - Outras Receitas</v>
      </c>
    </row>
    <row r="59" spans="1:5" hidden="1" x14ac:dyDescent="0.25">
      <c r="A59" s="23">
        <v>43466</v>
      </c>
      <c r="B59" s="5" t="s">
        <v>108</v>
      </c>
      <c r="C59" s="5">
        <v>282562</v>
      </c>
      <c r="D59" s="5" t="str">
        <f>_xlfn.XLOOKUP(fRealizado5[[#This Row],[Conta]],'Plano de Contas'!A:A,'Plano de Contas'!C:C)</f>
        <v>(+) RECEITA BRUTA</v>
      </c>
      <c r="E59" s="5" t="str">
        <f>_xlfn.XLOOKUP(fRealizado5[[#This Row],[Conta]],'Plano de Contas'!A:A,'Plano de Contas'!D:D)</f>
        <v>02 - Outras Receitas</v>
      </c>
    </row>
    <row r="60" spans="1:5" hidden="1" x14ac:dyDescent="0.25">
      <c r="A60" s="23">
        <v>43466</v>
      </c>
      <c r="B60" s="5" t="s">
        <v>109</v>
      </c>
      <c r="C60" s="5">
        <v>86640</v>
      </c>
      <c r="D60" s="5" t="str">
        <f>_xlfn.XLOOKUP(fRealizado5[[#This Row],[Conta]],'Plano de Contas'!A:A,'Plano de Contas'!C:C)</f>
        <v>(+) RECEITA BRUTA</v>
      </c>
      <c r="E60" s="5" t="str">
        <f>_xlfn.XLOOKUP(fRealizado5[[#This Row],[Conta]],'Plano de Contas'!A:A,'Plano de Contas'!D:D)</f>
        <v>02 - Outras Receitas</v>
      </c>
    </row>
    <row r="61" spans="1:5" hidden="1" x14ac:dyDescent="0.25">
      <c r="A61" s="23">
        <v>43466</v>
      </c>
      <c r="B61" s="5" t="s">
        <v>110</v>
      </c>
      <c r="C61" s="5">
        <v>-3165</v>
      </c>
      <c r="D61" s="5" t="str">
        <f>_xlfn.XLOOKUP(fRealizado5[[#This Row],[Conta]],'Plano de Contas'!A:A,'Plano de Contas'!C:C)</f>
        <v>(-) Deduções da Receita</v>
      </c>
      <c r="E61" s="5" t="str">
        <f>_xlfn.XLOOKUP(fRealizado5[[#This Row],[Conta]],'Plano de Contas'!A:A,'Plano de Contas'!D:D)</f>
        <v>03 - Devoluções de Produtos</v>
      </c>
    </row>
    <row r="62" spans="1:5" hidden="1" x14ac:dyDescent="0.25">
      <c r="A62" s="23">
        <v>43466</v>
      </c>
      <c r="B62" s="5" t="s">
        <v>111</v>
      </c>
      <c r="C62" s="5">
        <v>-9079</v>
      </c>
      <c r="D62" s="5" t="str">
        <f>_xlfn.XLOOKUP(fRealizado5[[#This Row],[Conta]],'Plano de Contas'!A:A,'Plano de Contas'!C:C)</f>
        <v>(-) Deduções da Receita</v>
      </c>
      <c r="E62" s="5" t="str">
        <f>_xlfn.XLOOKUP(fRealizado5[[#This Row],[Conta]],'Plano de Contas'!A:A,'Plano de Contas'!D:D)</f>
        <v>03 - Devoluções de Produtos</v>
      </c>
    </row>
    <row r="63" spans="1:5" hidden="1" x14ac:dyDescent="0.25">
      <c r="A63" s="23">
        <v>43466</v>
      </c>
      <c r="B63" s="5" t="s">
        <v>112</v>
      </c>
      <c r="C63" s="5">
        <v>-5135</v>
      </c>
      <c r="D63" s="5" t="str">
        <f>_xlfn.XLOOKUP(fRealizado5[[#This Row],[Conta]],'Plano de Contas'!A:A,'Plano de Contas'!C:C)</f>
        <v>(-) Deduções da Receita</v>
      </c>
      <c r="E63" s="5" t="str">
        <f>_xlfn.XLOOKUP(fRealizado5[[#This Row],[Conta]],'Plano de Contas'!A:A,'Plano de Contas'!D:D)</f>
        <v>03 - Devoluções de Produtos</v>
      </c>
    </row>
    <row r="64" spans="1:5" hidden="1" x14ac:dyDescent="0.25">
      <c r="A64" s="23">
        <v>43466</v>
      </c>
      <c r="B64" s="5" t="s">
        <v>113</v>
      </c>
      <c r="C64" s="5">
        <v>-4352</v>
      </c>
      <c r="D64" s="5" t="str">
        <f>_xlfn.XLOOKUP(fRealizado5[[#This Row],[Conta]],'Plano de Contas'!A:A,'Plano de Contas'!C:C)</f>
        <v>(-) Deduções da Receita</v>
      </c>
      <c r="E64" s="5" t="str">
        <f>_xlfn.XLOOKUP(fRealizado5[[#This Row],[Conta]],'Plano de Contas'!A:A,'Plano de Contas'!D:D)</f>
        <v>03 - Devoluções de Produtos</v>
      </c>
    </row>
    <row r="65" spans="1:5" hidden="1" x14ac:dyDescent="0.25">
      <c r="A65" s="23">
        <v>43466</v>
      </c>
      <c r="B65" s="5" t="s">
        <v>114</v>
      </c>
      <c r="C65" s="5">
        <v>-3466</v>
      </c>
      <c r="D65" s="5" t="str">
        <f>_xlfn.XLOOKUP(fRealizado5[[#This Row],[Conta]],'Plano de Contas'!A:A,'Plano de Contas'!C:C)</f>
        <v>(-) Deduções da Receita</v>
      </c>
      <c r="E65" s="5" t="str">
        <f>_xlfn.XLOOKUP(fRealizado5[[#This Row],[Conta]],'Plano de Contas'!A:A,'Plano de Contas'!D:D)</f>
        <v>03 - Devoluções de Produtos</v>
      </c>
    </row>
    <row r="66" spans="1:5" hidden="1" x14ac:dyDescent="0.25">
      <c r="A66" s="23">
        <v>43466</v>
      </c>
      <c r="B66" s="5" t="s">
        <v>115</v>
      </c>
      <c r="C66" s="5">
        <v>-7975</v>
      </c>
      <c r="D66" s="5" t="str">
        <f>_xlfn.XLOOKUP(fRealizado5[[#This Row],[Conta]],'Plano de Contas'!A:A,'Plano de Contas'!C:C)</f>
        <v>(-) Deduções da Receita</v>
      </c>
      <c r="E66" s="5" t="str">
        <f>_xlfn.XLOOKUP(fRealizado5[[#This Row],[Conta]],'Plano de Contas'!A:A,'Plano de Contas'!D:D)</f>
        <v>03 - Devoluções de Produtos</v>
      </c>
    </row>
    <row r="67" spans="1:5" hidden="1" x14ac:dyDescent="0.25">
      <c r="A67" s="23">
        <v>43466</v>
      </c>
      <c r="B67" s="5" t="s">
        <v>116</v>
      </c>
      <c r="C67" s="5">
        <v>-5140</v>
      </c>
      <c r="D67" s="5" t="str">
        <f>_xlfn.XLOOKUP(fRealizado5[[#This Row],[Conta]],'Plano de Contas'!A:A,'Plano de Contas'!C:C)</f>
        <v>(-) Deduções da Receita</v>
      </c>
      <c r="E67" s="5" t="str">
        <f>_xlfn.XLOOKUP(fRealizado5[[#This Row],[Conta]],'Plano de Contas'!A:A,'Plano de Contas'!D:D)</f>
        <v>03 - Devoluções de Produtos</v>
      </c>
    </row>
    <row r="68" spans="1:5" hidden="1" x14ac:dyDescent="0.25">
      <c r="A68" s="23">
        <v>43466</v>
      </c>
      <c r="B68" s="5" t="s">
        <v>117</v>
      </c>
      <c r="C68" s="5">
        <v>-9692</v>
      </c>
      <c r="D68" s="5" t="str">
        <f>_xlfn.XLOOKUP(fRealizado5[[#This Row],[Conta]],'Plano de Contas'!A:A,'Plano de Contas'!C:C)</f>
        <v>(-) Deduções da Receita</v>
      </c>
      <c r="E68" s="5" t="str">
        <f>_xlfn.XLOOKUP(fRealizado5[[#This Row],[Conta]],'Plano de Contas'!A:A,'Plano de Contas'!D:D)</f>
        <v>03 - Devoluções de Produtos</v>
      </c>
    </row>
    <row r="69" spans="1:5" hidden="1" x14ac:dyDescent="0.25">
      <c r="A69" s="23">
        <v>43466</v>
      </c>
      <c r="B69" s="5" t="s">
        <v>118</v>
      </c>
      <c r="C69" s="5">
        <v>-3625</v>
      </c>
      <c r="D69" s="5" t="str">
        <f>_xlfn.XLOOKUP(fRealizado5[[#This Row],[Conta]],'Plano de Contas'!A:A,'Plano de Contas'!C:C)</f>
        <v>(-) Deduções da Receita</v>
      </c>
      <c r="E69" s="5" t="str">
        <f>_xlfn.XLOOKUP(fRealizado5[[#This Row],[Conta]],'Plano de Contas'!A:A,'Plano de Contas'!D:D)</f>
        <v>03 - Devoluções de Produtos</v>
      </c>
    </row>
    <row r="70" spans="1:5" hidden="1" x14ac:dyDescent="0.25">
      <c r="A70" s="23">
        <v>43466</v>
      </c>
      <c r="B70" s="5" t="s">
        <v>119</v>
      </c>
      <c r="C70" s="5">
        <v>-4887</v>
      </c>
      <c r="D70" s="5" t="str">
        <f>_xlfn.XLOOKUP(fRealizado5[[#This Row],[Conta]],'Plano de Contas'!A:A,'Plano de Contas'!C:C)</f>
        <v>(-) Deduções da Receita</v>
      </c>
      <c r="E70" s="5" t="str">
        <f>_xlfn.XLOOKUP(fRealizado5[[#This Row],[Conta]],'Plano de Contas'!A:A,'Plano de Contas'!D:D)</f>
        <v>03 - Devoluções de Produtos</v>
      </c>
    </row>
    <row r="71" spans="1:5" hidden="1" x14ac:dyDescent="0.25">
      <c r="A71" s="23">
        <v>43466</v>
      </c>
      <c r="B71" s="5" t="s">
        <v>120</v>
      </c>
      <c r="C71" s="5">
        <v>-8452</v>
      </c>
      <c r="D71" s="5" t="str">
        <f>_xlfn.XLOOKUP(fRealizado5[[#This Row],[Conta]],'Plano de Contas'!A:A,'Plano de Contas'!C:C)</f>
        <v>(-) Deduções da Receita</v>
      </c>
      <c r="E71" s="5" t="str">
        <f>_xlfn.XLOOKUP(fRealizado5[[#This Row],[Conta]],'Plano de Contas'!A:A,'Plano de Contas'!D:D)</f>
        <v>03 - Devoluções de Produtos</v>
      </c>
    </row>
    <row r="72" spans="1:5" hidden="1" x14ac:dyDescent="0.25">
      <c r="A72" s="23">
        <v>43466</v>
      </c>
      <c r="B72" s="5" t="s">
        <v>121</v>
      </c>
      <c r="C72" s="5">
        <v>-6927</v>
      </c>
      <c r="D72" s="5" t="str">
        <f>_xlfn.XLOOKUP(fRealizado5[[#This Row],[Conta]],'Plano de Contas'!A:A,'Plano de Contas'!C:C)</f>
        <v>(-) Deduções da Receita</v>
      </c>
      <c r="E72" s="5" t="str">
        <f>_xlfn.XLOOKUP(fRealizado5[[#This Row],[Conta]],'Plano de Contas'!A:A,'Plano de Contas'!D:D)</f>
        <v>03 - Devoluções de Produtos</v>
      </c>
    </row>
    <row r="73" spans="1:5" hidden="1" x14ac:dyDescent="0.25">
      <c r="A73" s="23">
        <v>43466</v>
      </c>
      <c r="B73" s="5" t="s">
        <v>122</v>
      </c>
      <c r="C73" s="5">
        <v>-7692</v>
      </c>
      <c r="D73" s="5" t="str">
        <f>_xlfn.XLOOKUP(fRealizado5[[#This Row],[Conta]],'Plano de Contas'!A:A,'Plano de Contas'!C:C)</f>
        <v>(-) Deduções da Receita</v>
      </c>
      <c r="E73" s="5" t="str">
        <f>_xlfn.XLOOKUP(fRealizado5[[#This Row],[Conta]],'Plano de Contas'!A:A,'Plano de Contas'!D:D)</f>
        <v>03 - Devoluções de Produtos</v>
      </c>
    </row>
    <row r="74" spans="1:5" hidden="1" x14ac:dyDescent="0.25">
      <c r="A74" s="23">
        <v>43466</v>
      </c>
      <c r="B74" s="5" t="s">
        <v>123</v>
      </c>
      <c r="C74" s="5">
        <v>-9663</v>
      </c>
      <c r="D74" s="5" t="str">
        <f>_xlfn.XLOOKUP(fRealizado5[[#This Row],[Conta]],'Plano de Contas'!A:A,'Plano de Contas'!C:C)</f>
        <v>(-) Deduções da Receita</v>
      </c>
      <c r="E74" s="5" t="str">
        <f>_xlfn.XLOOKUP(fRealizado5[[#This Row],[Conta]],'Plano de Contas'!A:A,'Plano de Contas'!D:D)</f>
        <v>03 - Devoluções de Produtos</v>
      </c>
    </row>
    <row r="75" spans="1:5" hidden="1" x14ac:dyDescent="0.25">
      <c r="A75" s="23">
        <v>43466</v>
      </c>
      <c r="B75" s="5" t="s">
        <v>124</v>
      </c>
      <c r="C75" s="5">
        <v>-7218</v>
      </c>
      <c r="D75" s="5" t="str">
        <f>_xlfn.XLOOKUP(fRealizado5[[#This Row],[Conta]],'Plano de Contas'!A:A,'Plano de Contas'!C:C)</f>
        <v>(-) Deduções da Receita</v>
      </c>
      <c r="E75" s="5" t="str">
        <f>_xlfn.XLOOKUP(fRealizado5[[#This Row],[Conta]],'Plano de Contas'!A:A,'Plano de Contas'!D:D)</f>
        <v>03 - Devoluções de Produtos</v>
      </c>
    </row>
    <row r="76" spans="1:5" hidden="1" x14ac:dyDescent="0.25">
      <c r="A76" s="23">
        <v>43466</v>
      </c>
      <c r="B76" s="5" t="s">
        <v>125</v>
      </c>
      <c r="C76" s="5">
        <v>-4497</v>
      </c>
      <c r="D76" s="5" t="str">
        <f>_xlfn.XLOOKUP(fRealizado5[[#This Row],[Conta]],'Plano de Contas'!A:A,'Plano de Contas'!C:C)</f>
        <v>(-) Deduções da Receita</v>
      </c>
      <c r="E76" s="5" t="str">
        <f>_xlfn.XLOOKUP(fRealizado5[[#This Row],[Conta]],'Plano de Contas'!A:A,'Plano de Contas'!D:D)</f>
        <v>03 - Devoluções de Produtos</v>
      </c>
    </row>
    <row r="77" spans="1:5" hidden="1" x14ac:dyDescent="0.25">
      <c r="A77" s="23">
        <v>43466</v>
      </c>
      <c r="B77" s="5" t="s">
        <v>126</v>
      </c>
      <c r="C77" s="5">
        <v>-8269</v>
      </c>
      <c r="D77" s="5" t="str">
        <f>_xlfn.XLOOKUP(fRealizado5[[#This Row],[Conta]],'Plano de Contas'!A:A,'Plano de Contas'!C:C)</f>
        <v>(-) Deduções da Receita</v>
      </c>
      <c r="E77" s="5" t="str">
        <f>_xlfn.XLOOKUP(fRealizado5[[#This Row],[Conta]],'Plano de Contas'!A:A,'Plano de Contas'!D:D)</f>
        <v>03 - Devoluções de Produtos</v>
      </c>
    </row>
    <row r="78" spans="1:5" hidden="1" x14ac:dyDescent="0.25">
      <c r="A78" s="23">
        <v>43466</v>
      </c>
      <c r="B78" s="5" t="s">
        <v>127</v>
      </c>
      <c r="C78" s="5">
        <v>-6526</v>
      </c>
      <c r="D78" s="5" t="str">
        <f>_xlfn.XLOOKUP(fRealizado5[[#This Row],[Conta]],'Plano de Contas'!A:A,'Plano de Contas'!C:C)</f>
        <v>(-) Deduções da Receita</v>
      </c>
      <c r="E78" s="5" t="str">
        <f>_xlfn.XLOOKUP(fRealizado5[[#This Row],[Conta]],'Plano de Contas'!A:A,'Plano de Contas'!D:D)</f>
        <v>03 - Devoluções de Produtos</v>
      </c>
    </row>
    <row r="79" spans="1:5" hidden="1" x14ac:dyDescent="0.25">
      <c r="A79" s="23">
        <v>43466</v>
      </c>
      <c r="B79" s="5" t="s">
        <v>128</v>
      </c>
      <c r="C79" s="5">
        <v>-5970</v>
      </c>
      <c r="D79" s="5" t="str">
        <f>_xlfn.XLOOKUP(fRealizado5[[#This Row],[Conta]],'Plano de Contas'!A:A,'Plano de Contas'!C:C)</f>
        <v>(-) Deduções da Receita</v>
      </c>
      <c r="E79" s="5" t="str">
        <f>_xlfn.XLOOKUP(fRealizado5[[#This Row],[Conta]],'Plano de Contas'!A:A,'Plano de Contas'!D:D)</f>
        <v>03 - Devoluções de Produtos</v>
      </c>
    </row>
    <row r="80" spans="1:5" hidden="1" x14ac:dyDescent="0.25">
      <c r="A80" s="23">
        <v>43466</v>
      </c>
      <c r="B80" s="5" t="s">
        <v>129</v>
      </c>
      <c r="C80" s="5">
        <v>-1885</v>
      </c>
      <c r="D80" s="5" t="str">
        <f>_xlfn.XLOOKUP(fRealizado5[[#This Row],[Conta]],'Plano de Contas'!A:A,'Plano de Contas'!C:C)</f>
        <v>(-) Deduções da Receita</v>
      </c>
      <c r="E80" s="5" t="str">
        <f>_xlfn.XLOOKUP(fRealizado5[[#This Row],[Conta]],'Plano de Contas'!A:A,'Plano de Contas'!D:D)</f>
        <v>03 - Devoluções de Produtos</v>
      </c>
    </row>
    <row r="81" spans="1:5" hidden="1" x14ac:dyDescent="0.25">
      <c r="A81" s="23">
        <v>43466</v>
      </c>
      <c r="B81" s="5" t="s">
        <v>130</v>
      </c>
      <c r="C81" s="5">
        <v>-3313</v>
      </c>
      <c r="D81" s="5" t="str">
        <f>_xlfn.XLOOKUP(fRealizado5[[#This Row],[Conta]],'Plano de Contas'!A:A,'Plano de Contas'!C:C)</f>
        <v>(-) Deduções da Receita</v>
      </c>
      <c r="E81" s="5" t="str">
        <f>_xlfn.XLOOKUP(fRealizado5[[#This Row],[Conta]],'Plano de Contas'!A:A,'Plano de Contas'!D:D)</f>
        <v>03 - Devoluções de Produtos</v>
      </c>
    </row>
    <row r="82" spans="1:5" hidden="1" x14ac:dyDescent="0.25">
      <c r="A82" s="23">
        <v>43466</v>
      </c>
      <c r="B82" s="5" t="s">
        <v>131</v>
      </c>
      <c r="C82" s="5">
        <v>-4453</v>
      </c>
      <c r="D82" s="5" t="str">
        <f>_xlfn.XLOOKUP(fRealizado5[[#This Row],[Conta]],'Plano de Contas'!A:A,'Plano de Contas'!C:C)</f>
        <v>(-) Deduções da Receita</v>
      </c>
      <c r="E82" s="5" t="str">
        <f>_xlfn.XLOOKUP(fRealizado5[[#This Row],[Conta]],'Plano de Contas'!A:A,'Plano de Contas'!D:D)</f>
        <v>03 - Devoluções de Produtos</v>
      </c>
    </row>
    <row r="83" spans="1:5" hidden="1" x14ac:dyDescent="0.25">
      <c r="A83" s="23">
        <v>43466</v>
      </c>
      <c r="B83" s="5" t="s">
        <v>132</v>
      </c>
      <c r="C83" s="5">
        <v>-2925</v>
      </c>
      <c r="D83" s="5" t="str">
        <f>_xlfn.XLOOKUP(fRealizado5[[#This Row],[Conta]],'Plano de Contas'!A:A,'Plano de Contas'!C:C)</f>
        <v>(-) Deduções da Receita</v>
      </c>
      <c r="E83" s="5" t="str">
        <f>_xlfn.XLOOKUP(fRealizado5[[#This Row],[Conta]],'Plano de Contas'!A:A,'Plano de Contas'!D:D)</f>
        <v>03 - Devoluções de Produtos</v>
      </c>
    </row>
    <row r="84" spans="1:5" hidden="1" x14ac:dyDescent="0.25">
      <c r="A84" s="23">
        <v>43466</v>
      </c>
      <c r="B84" s="5" t="s">
        <v>133</v>
      </c>
      <c r="C84" s="5">
        <v>-7916</v>
      </c>
      <c r="D84" s="5" t="str">
        <f>_xlfn.XLOOKUP(fRealizado5[[#This Row],[Conta]],'Plano de Contas'!A:A,'Plano de Contas'!C:C)</f>
        <v>(-) Deduções da Receita</v>
      </c>
      <c r="E84" s="5" t="str">
        <f>_xlfn.XLOOKUP(fRealizado5[[#This Row],[Conta]],'Plano de Contas'!A:A,'Plano de Contas'!D:D)</f>
        <v>03 - Devoluções de Produtos</v>
      </c>
    </row>
    <row r="85" spans="1:5" hidden="1" x14ac:dyDescent="0.25">
      <c r="A85" s="23">
        <v>43466</v>
      </c>
      <c r="B85" s="5" t="s">
        <v>134</v>
      </c>
      <c r="C85" s="5">
        <v>-4938</v>
      </c>
      <c r="D85" s="5" t="str">
        <f>_xlfn.XLOOKUP(fRealizado5[[#This Row],[Conta]],'Plano de Contas'!A:A,'Plano de Contas'!C:C)</f>
        <v>(-) Deduções da Receita</v>
      </c>
      <c r="E85" s="5" t="str">
        <f>_xlfn.XLOOKUP(fRealizado5[[#This Row],[Conta]],'Plano de Contas'!A:A,'Plano de Contas'!D:D)</f>
        <v>03 - Devoluções de Produtos</v>
      </c>
    </row>
    <row r="86" spans="1:5" hidden="1" x14ac:dyDescent="0.25">
      <c r="A86" s="23">
        <v>43466</v>
      </c>
      <c r="B86" s="5" t="s">
        <v>135</v>
      </c>
      <c r="C86" s="5">
        <v>-2234</v>
      </c>
      <c r="D86" s="5" t="str">
        <f>_xlfn.XLOOKUP(fRealizado5[[#This Row],[Conta]],'Plano de Contas'!A:A,'Plano de Contas'!C:C)</f>
        <v>(-) Deduções da Receita</v>
      </c>
      <c r="E86" s="5" t="str">
        <f>_xlfn.XLOOKUP(fRealizado5[[#This Row],[Conta]],'Plano de Contas'!A:A,'Plano de Contas'!D:D)</f>
        <v>03 - Devoluções de Produtos</v>
      </c>
    </row>
    <row r="87" spans="1:5" hidden="1" x14ac:dyDescent="0.25">
      <c r="A87" s="23">
        <v>43466</v>
      </c>
      <c r="B87" s="5" t="s">
        <v>136</v>
      </c>
      <c r="C87" s="5">
        <v>-7957</v>
      </c>
      <c r="D87" s="5" t="str">
        <f>_xlfn.XLOOKUP(fRealizado5[[#This Row],[Conta]],'Plano de Contas'!A:A,'Plano de Contas'!C:C)</f>
        <v>(-) Deduções da Receita</v>
      </c>
      <c r="E87" s="5" t="str">
        <f>_xlfn.XLOOKUP(fRealizado5[[#This Row],[Conta]],'Plano de Contas'!A:A,'Plano de Contas'!D:D)</f>
        <v>04 - Taxas de Serviço</v>
      </c>
    </row>
    <row r="88" spans="1:5" hidden="1" x14ac:dyDescent="0.25">
      <c r="A88" s="23">
        <v>43466</v>
      </c>
      <c r="B88" s="5" t="s">
        <v>137</v>
      </c>
      <c r="C88" s="5">
        <v>-9972</v>
      </c>
      <c r="D88" s="5" t="str">
        <f>_xlfn.XLOOKUP(fRealizado5[[#This Row],[Conta]],'Plano de Contas'!A:A,'Plano de Contas'!C:C)</f>
        <v>(-) Deduções da Receita</v>
      </c>
      <c r="E88" s="5" t="str">
        <f>_xlfn.XLOOKUP(fRealizado5[[#This Row],[Conta]],'Plano de Contas'!A:A,'Plano de Contas'!D:D)</f>
        <v>04 - Taxas de Serviço</v>
      </c>
    </row>
    <row r="89" spans="1:5" hidden="1" x14ac:dyDescent="0.25">
      <c r="A89" s="23">
        <v>43466</v>
      </c>
      <c r="B89" s="5" t="s">
        <v>138</v>
      </c>
      <c r="C89" s="5">
        <v>-9416</v>
      </c>
      <c r="D89" s="5" t="str">
        <f>_xlfn.XLOOKUP(fRealizado5[[#This Row],[Conta]],'Plano de Contas'!A:A,'Plano de Contas'!C:C)</f>
        <v>(-) Deduções da Receita</v>
      </c>
      <c r="E89" s="5" t="str">
        <f>_xlfn.XLOOKUP(fRealizado5[[#This Row],[Conta]],'Plano de Contas'!A:A,'Plano de Contas'!D:D)</f>
        <v>04 - Taxas de Serviço</v>
      </c>
    </row>
    <row r="90" spans="1:5" hidden="1" x14ac:dyDescent="0.25">
      <c r="A90" s="23">
        <v>43466</v>
      </c>
      <c r="B90" s="5" t="s">
        <v>139</v>
      </c>
      <c r="C90" s="5">
        <v>-8359</v>
      </c>
      <c r="D90" s="5" t="str">
        <f>_xlfn.XLOOKUP(fRealizado5[[#This Row],[Conta]],'Plano de Contas'!A:A,'Plano de Contas'!C:C)</f>
        <v>(-) Deduções da Receita</v>
      </c>
      <c r="E90" s="5" t="str">
        <f>_xlfn.XLOOKUP(fRealizado5[[#This Row],[Conta]],'Plano de Contas'!A:A,'Plano de Contas'!D:D)</f>
        <v>04 - Taxas de Serviço</v>
      </c>
    </row>
    <row r="91" spans="1:5" hidden="1" x14ac:dyDescent="0.25">
      <c r="A91" s="23">
        <v>43466</v>
      </c>
      <c r="B91" s="5" t="s">
        <v>140</v>
      </c>
      <c r="C91" s="5">
        <v>-249091</v>
      </c>
      <c r="D91" s="5" t="str">
        <f>_xlfn.XLOOKUP(fRealizado5[[#This Row],[Conta]],'Plano de Contas'!A:A,'Plano de Contas'!C:C)</f>
        <v>(-) Custos de Vendas</v>
      </c>
      <c r="E91" s="5" t="str">
        <f>_xlfn.XLOOKUP(fRealizado5[[#This Row],[Conta]],'Plano de Contas'!A:A,'Plano de Contas'!D:D)</f>
        <v>05 - Custo do Produto</v>
      </c>
    </row>
    <row r="92" spans="1:5" hidden="1" x14ac:dyDescent="0.25">
      <c r="A92" s="23">
        <v>43466</v>
      </c>
      <c r="B92" s="5" t="s">
        <v>141</v>
      </c>
      <c r="C92" s="5">
        <v>-188373</v>
      </c>
      <c r="D92" s="5" t="str">
        <f>_xlfn.XLOOKUP(fRealizado5[[#This Row],[Conta]],'Plano de Contas'!A:A,'Plano de Contas'!C:C)</f>
        <v>(-) Custos de Vendas</v>
      </c>
      <c r="E92" s="5" t="str">
        <f>_xlfn.XLOOKUP(fRealizado5[[#This Row],[Conta]],'Plano de Contas'!A:A,'Plano de Contas'!D:D)</f>
        <v>05 - Custo do Produto</v>
      </c>
    </row>
    <row r="93" spans="1:5" hidden="1" x14ac:dyDescent="0.25">
      <c r="A93" s="23">
        <v>43466</v>
      </c>
      <c r="B93" s="5" t="s">
        <v>142</v>
      </c>
      <c r="C93" s="5">
        <v>-194002</v>
      </c>
      <c r="D93" s="5" t="str">
        <f>_xlfn.XLOOKUP(fRealizado5[[#This Row],[Conta]],'Plano de Contas'!A:A,'Plano de Contas'!C:C)</f>
        <v>(-) Custos de Vendas</v>
      </c>
      <c r="E93" s="5" t="str">
        <f>_xlfn.XLOOKUP(fRealizado5[[#This Row],[Conta]],'Plano de Contas'!A:A,'Plano de Contas'!D:D)</f>
        <v>05 - Custo do Produto</v>
      </c>
    </row>
    <row r="94" spans="1:5" hidden="1" x14ac:dyDescent="0.25">
      <c r="A94" s="23">
        <v>43466</v>
      </c>
      <c r="B94" s="5" t="s">
        <v>143</v>
      </c>
      <c r="C94" s="5">
        <v>-287170</v>
      </c>
      <c r="D94" s="5" t="str">
        <f>_xlfn.XLOOKUP(fRealizado5[[#This Row],[Conta]],'Plano de Contas'!A:A,'Plano de Contas'!C:C)</f>
        <v>(-) Custos de Vendas</v>
      </c>
      <c r="E94" s="5" t="str">
        <f>_xlfn.XLOOKUP(fRealizado5[[#This Row],[Conta]],'Plano de Contas'!A:A,'Plano de Contas'!D:D)</f>
        <v>05 - Custo do Produto</v>
      </c>
    </row>
    <row r="95" spans="1:5" hidden="1" x14ac:dyDescent="0.25">
      <c r="A95" s="23">
        <v>43466</v>
      </c>
      <c r="B95" s="5" t="s">
        <v>144</v>
      </c>
      <c r="C95" s="5">
        <v>-252509</v>
      </c>
      <c r="D95" s="5" t="str">
        <f>_xlfn.XLOOKUP(fRealizado5[[#This Row],[Conta]],'Plano de Contas'!A:A,'Plano de Contas'!C:C)</f>
        <v>(-) Custos de Vendas</v>
      </c>
      <c r="E95" s="5" t="str">
        <f>_xlfn.XLOOKUP(fRealizado5[[#This Row],[Conta]],'Plano de Contas'!A:A,'Plano de Contas'!D:D)</f>
        <v>05 - Custo do Produto</v>
      </c>
    </row>
    <row r="96" spans="1:5" hidden="1" x14ac:dyDescent="0.25">
      <c r="A96" s="23">
        <v>43466</v>
      </c>
      <c r="B96" s="5" t="s">
        <v>145</v>
      </c>
      <c r="C96" s="5">
        <v>-152460</v>
      </c>
      <c r="D96" s="5" t="str">
        <f>_xlfn.XLOOKUP(fRealizado5[[#This Row],[Conta]],'Plano de Contas'!A:A,'Plano de Contas'!C:C)</f>
        <v>(-) Custos de Vendas</v>
      </c>
      <c r="E96" s="5" t="str">
        <f>_xlfn.XLOOKUP(fRealizado5[[#This Row],[Conta]],'Plano de Contas'!A:A,'Plano de Contas'!D:D)</f>
        <v>05 - Custo do Produto</v>
      </c>
    </row>
    <row r="97" spans="1:5" hidden="1" x14ac:dyDescent="0.25">
      <c r="A97" s="23">
        <v>43466</v>
      </c>
      <c r="B97" s="5" t="s">
        <v>146</v>
      </c>
      <c r="C97" s="5">
        <v>-283322</v>
      </c>
      <c r="D97" s="5" t="str">
        <f>_xlfn.XLOOKUP(fRealizado5[[#This Row],[Conta]],'Plano de Contas'!A:A,'Plano de Contas'!C:C)</f>
        <v>(-) Custos de Vendas</v>
      </c>
      <c r="E97" s="5" t="str">
        <f>_xlfn.XLOOKUP(fRealizado5[[#This Row],[Conta]],'Plano de Contas'!A:A,'Plano de Contas'!D:D)</f>
        <v>05 - Custo do Produto</v>
      </c>
    </row>
    <row r="98" spans="1:5" hidden="1" x14ac:dyDescent="0.25">
      <c r="A98" s="23">
        <v>43466</v>
      </c>
      <c r="B98" s="5" t="s">
        <v>147</v>
      </c>
      <c r="C98" s="5">
        <v>-139733</v>
      </c>
      <c r="D98" s="5" t="str">
        <f>_xlfn.XLOOKUP(fRealizado5[[#This Row],[Conta]],'Plano de Contas'!A:A,'Plano de Contas'!C:C)</f>
        <v>(-) Custos de Vendas</v>
      </c>
      <c r="E98" s="5" t="str">
        <f>_xlfn.XLOOKUP(fRealizado5[[#This Row],[Conta]],'Plano de Contas'!A:A,'Plano de Contas'!D:D)</f>
        <v>05 - Custo do Produto</v>
      </c>
    </row>
    <row r="99" spans="1:5" hidden="1" x14ac:dyDescent="0.25">
      <c r="A99" s="23">
        <v>43466</v>
      </c>
      <c r="B99" s="5" t="s">
        <v>148</v>
      </c>
      <c r="C99" s="5">
        <v>-210524</v>
      </c>
      <c r="D99" s="5" t="str">
        <f>_xlfn.XLOOKUP(fRealizado5[[#This Row],[Conta]],'Plano de Contas'!A:A,'Plano de Contas'!C:C)</f>
        <v>(-) Custos de Vendas</v>
      </c>
      <c r="E99" s="5" t="str">
        <f>_xlfn.XLOOKUP(fRealizado5[[#This Row],[Conta]],'Plano de Contas'!A:A,'Plano de Contas'!D:D)</f>
        <v>05 - Custo do Produto</v>
      </c>
    </row>
    <row r="100" spans="1:5" hidden="1" x14ac:dyDescent="0.25">
      <c r="A100" s="23">
        <v>43466</v>
      </c>
      <c r="B100" s="5" t="s">
        <v>149</v>
      </c>
      <c r="C100" s="5">
        <v>-296500</v>
      </c>
      <c r="D100" s="5" t="str">
        <f>_xlfn.XLOOKUP(fRealizado5[[#This Row],[Conta]],'Plano de Contas'!A:A,'Plano de Contas'!C:C)</f>
        <v>(-) Custos de Vendas</v>
      </c>
      <c r="E100" s="5" t="str">
        <f>_xlfn.XLOOKUP(fRealizado5[[#This Row],[Conta]],'Plano de Contas'!A:A,'Plano de Contas'!D:D)</f>
        <v>05 - Custo do Produto</v>
      </c>
    </row>
    <row r="101" spans="1:5" hidden="1" x14ac:dyDescent="0.25">
      <c r="A101" s="23">
        <v>43466</v>
      </c>
      <c r="B101" s="5" t="s">
        <v>150</v>
      </c>
      <c r="C101" s="5">
        <v>-290142</v>
      </c>
      <c r="D101" s="5" t="str">
        <f>_xlfn.XLOOKUP(fRealizado5[[#This Row],[Conta]],'Plano de Contas'!A:A,'Plano de Contas'!C:C)</f>
        <v>(-) Custos de Vendas</v>
      </c>
      <c r="E101" s="5" t="str">
        <f>_xlfn.XLOOKUP(fRealizado5[[#This Row],[Conta]],'Plano de Contas'!A:A,'Plano de Contas'!D:D)</f>
        <v>05 - Custo do Produto</v>
      </c>
    </row>
    <row r="102" spans="1:5" hidden="1" x14ac:dyDescent="0.25">
      <c r="A102" s="23">
        <v>43466</v>
      </c>
      <c r="B102" s="5" t="s">
        <v>151</v>
      </c>
      <c r="C102" s="5">
        <v>-156279</v>
      </c>
      <c r="D102" s="5" t="str">
        <f>_xlfn.XLOOKUP(fRealizado5[[#This Row],[Conta]],'Plano de Contas'!A:A,'Plano de Contas'!C:C)</f>
        <v>(-) Custos de Vendas</v>
      </c>
      <c r="E102" s="5" t="str">
        <f>_xlfn.XLOOKUP(fRealizado5[[#This Row],[Conta]],'Plano de Contas'!A:A,'Plano de Contas'!D:D)</f>
        <v>05 - Custo do Produto</v>
      </c>
    </row>
    <row r="103" spans="1:5" hidden="1" x14ac:dyDescent="0.25">
      <c r="A103" s="23">
        <v>43466</v>
      </c>
      <c r="B103" s="5" t="s">
        <v>152</v>
      </c>
      <c r="C103" s="5">
        <v>-171494</v>
      </c>
      <c r="D103" s="5" t="str">
        <f>_xlfn.XLOOKUP(fRealizado5[[#This Row],[Conta]],'Plano de Contas'!A:A,'Plano de Contas'!C:C)</f>
        <v>(-) Custos de Vendas</v>
      </c>
      <c r="E103" s="5" t="str">
        <f>_xlfn.XLOOKUP(fRealizado5[[#This Row],[Conta]],'Plano de Contas'!A:A,'Plano de Contas'!D:D)</f>
        <v>05 - Custo do Produto</v>
      </c>
    </row>
    <row r="104" spans="1:5" hidden="1" x14ac:dyDescent="0.25">
      <c r="A104" s="23">
        <v>43466</v>
      </c>
      <c r="B104" s="5" t="s">
        <v>153</v>
      </c>
      <c r="C104" s="5">
        <v>-104454</v>
      </c>
      <c r="D104" s="5" t="str">
        <f>_xlfn.XLOOKUP(fRealizado5[[#This Row],[Conta]],'Plano de Contas'!A:A,'Plano de Contas'!C:C)</f>
        <v>(-) Custos de Vendas</v>
      </c>
      <c r="E104" s="5" t="str">
        <f>_xlfn.XLOOKUP(fRealizado5[[#This Row],[Conta]],'Plano de Contas'!A:A,'Plano de Contas'!D:D)</f>
        <v>05 - Custo do Produto</v>
      </c>
    </row>
    <row r="105" spans="1:5" hidden="1" x14ac:dyDescent="0.25">
      <c r="A105" s="23">
        <v>43466</v>
      </c>
      <c r="B105" s="5" t="s">
        <v>154</v>
      </c>
      <c r="C105" s="5">
        <v>-241219</v>
      </c>
      <c r="D105" s="5" t="str">
        <f>_xlfn.XLOOKUP(fRealizado5[[#This Row],[Conta]],'Plano de Contas'!A:A,'Plano de Contas'!C:C)</f>
        <v>(-) Custos de Vendas</v>
      </c>
      <c r="E105" s="5" t="str">
        <f>_xlfn.XLOOKUP(fRealizado5[[#This Row],[Conta]],'Plano de Contas'!A:A,'Plano de Contas'!D:D)</f>
        <v>05 - Custo do Produto</v>
      </c>
    </row>
    <row r="106" spans="1:5" hidden="1" x14ac:dyDescent="0.25">
      <c r="A106" s="23">
        <v>43466</v>
      </c>
      <c r="B106" s="5" t="s">
        <v>155</v>
      </c>
      <c r="C106" s="5">
        <v>-171207</v>
      </c>
      <c r="D106" s="5" t="str">
        <f>_xlfn.XLOOKUP(fRealizado5[[#This Row],[Conta]],'Plano de Contas'!A:A,'Plano de Contas'!C:C)</f>
        <v>(-) Custos de Vendas</v>
      </c>
      <c r="E106" s="5" t="str">
        <f>_xlfn.XLOOKUP(fRealizado5[[#This Row],[Conta]],'Plano de Contas'!A:A,'Plano de Contas'!D:D)</f>
        <v>05 - Custo do Produto</v>
      </c>
    </row>
    <row r="107" spans="1:5" hidden="1" x14ac:dyDescent="0.25">
      <c r="A107" s="23">
        <v>43466</v>
      </c>
      <c r="B107" s="5" t="s">
        <v>156</v>
      </c>
      <c r="C107" s="5">
        <v>-183362</v>
      </c>
      <c r="D107" s="5" t="str">
        <f>_xlfn.XLOOKUP(fRealizado5[[#This Row],[Conta]],'Plano de Contas'!A:A,'Plano de Contas'!C:C)</f>
        <v>(-) Custos de Vendas</v>
      </c>
      <c r="E107" s="5" t="str">
        <f>_xlfn.XLOOKUP(fRealizado5[[#This Row],[Conta]],'Plano de Contas'!A:A,'Plano de Contas'!D:D)</f>
        <v>05 - Custo do Produto</v>
      </c>
    </row>
    <row r="108" spans="1:5" hidden="1" x14ac:dyDescent="0.25">
      <c r="A108" s="23">
        <v>43466</v>
      </c>
      <c r="B108" s="5" t="s">
        <v>157</v>
      </c>
      <c r="C108" s="5">
        <v>-117921</v>
      </c>
      <c r="D108" s="5" t="str">
        <f>_xlfn.XLOOKUP(fRealizado5[[#This Row],[Conta]],'Plano de Contas'!A:A,'Plano de Contas'!C:C)</f>
        <v>(-) Custos de Vendas</v>
      </c>
      <c r="E108" s="5" t="str">
        <f>_xlfn.XLOOKUP(fRealizado5[[#This Row],[Conta]],'Plano de Contas'!A:A,'Plano de Contas'!D:D)</f>
        <v>05 - Custo do Produto</v>
      </c>
    </row>
    <row r="109" spans="1:5" hidden="1" x14ac:dyDescent="0.25">
      <c r="A109" s="23">
        <v>43466</v>
      </c>
      <c r="B109" s="5" t="s">
        <v>158</v>
      </c>
      <c r="C109" s="5">
        <v>-278498</v>
      </c>
      <c r="D109" s="5" t="str">
        <f>_xlfn.XLOOKUP(fRealizado5[[#This Row],[Conta]],'Plano de Contas'!A:A,'Plano de Contas'!C:C)</f>
        <v>(-) Custos de Vendas</v>
      </c>
      <c r="E109" s="5" t="str">
        <f>_xlfn.XLOOKUP(fRealizado5[[#This Row],[Conta]],'Plano de Contas'!A:A,'Plano de Contas'!D:D)</f>
        <v>05 - Custo do Produto</v>
      </c>
    </row>
    <row r="110" spans="1:5" hidden="1" x14ac:dyDescent="0.25">
      <c r="A110" s="23">
        <v>43466</v>
      </c>
      <c r="B110" s="5" t="s">
        <v>159</v>
      </c>
      <c r="C110" s="5">
        <v>-200030</v>
      </c>
      <c r="D110" s="5" t="str">
        <f>_xlfn.XLOOKUP(fRealizado5[[#This Row],[Conta]],'Plano de Contas'!A:A,'Plano de Contas'!C:C)</f>
        <v>(-) Custos de Vendas</v>
      </c>
      <c r="E110" s="5" t="str">
        <f>_xlfn.XLOOKUP(fRealizado5[[#This Row],[Conta]],'Plano de Contas'!A:A,'Plano de Contas'!D:D)</f>
        <v>05 - Custo do Produto</v>
      </c>
    </row>
    <row r="111" spans="1:5" hidden="1" x14ac:dyDescent="0.25">
      <c r="A111" s="23">
        <v>43466</v>
      </c>
      <c r="B111" s="5" t="s">
        <v>160</v>
      </c>
      <c r="C111" s="5">
        <v>-156459</v>
      </c>
      <c r="D111" s="5" t="str">
        <f>_xlfn.XLOOKUP(fRealizado5[[#This Row],[Conta]],'Plano de Contas'!A:A,'Plano de Contas'!C:C)</f>
        <v>(-) Custos de Vendas</v>
      </c>
      <c r="E111" s="5" t="str">
        <f>_xlfn.XLOOKUP(fRealizado5[[#This Row],[Conta]],'Plano de Contas'!A:A,'Plano de Contas'!D:D)</f>
        <v>05 - Custo do Produto</v>
      </c>
    </row>
    <row r="112" spans="1:5" hidden="1" x14ac:dyDescent="0.25">
      <c r="A112" s="23">
        <v>43466</v>
      </c>
      <c r="B112" s="5" t="s">
        <v>161</v>
      </c>
      <c r="C112" s="5">
        <v>-162568</v>
      </c>
      <c r="D112" s="5" t="str">
        <f>_xlfn.XLOOKUP(fRealizado5[[#This Row],[Conta]],'Plano de Contas'!A:A,'Plano de Contas'!C:C)</f>
        <v>(-) Custos de Vendas</v>
      </c>
      <c r="E112" s="5" t="str">
        <f>_xlfn.XLOOKUP(fRealizado5[[#This Row],[Conta]],'Plano de Contas'!A:A,'Plano de Contas'!D:D)</f>
        <v>05 - Custo do Produto</v>
      </c>
    </row>
    <row r="113" spans="1:5" hidden="1" x14ac:dyDescent="0.25">
      <c r="A113" s="23">
        <v>43466</v>
      </c>
      <c r="B113" s="5" t="s">
        <v>162</v>
      </c>
      <c r="C113" s="5">
        <v>-96006</v>
      </c>
      <c r="D113" s="5" t="str">
        <f>_xlfn.XLOOKUP(fRealizado5[[#This Row],[Conta]],'Plano de Contas'!A:A,'Plano de Contas'!C:C)</f>
        <v>(-) Custos de Vendas</v>
      </c>
      <c r="E113" s="5" t="str">
        <f>_xlfn.XLOOKUP(fRealizado5[[#This Row],[Conta]],'Plano de Contas'!A:A,'Plano de Contas'!D:D)</f>
        <v>05 - Custo do Produto</v>
      </c>
    </row>
    <row r="114" spans="1:5" hidden="1" x14ac:dyDescent="0.25">
      <c r="A114" s="23">
        <v>43466</v>
      </c>
      <c r="B114" s="5" t="s">
        <v>163</v>
      </c>
      <c r="C114" s="5">
        <v>-103354</v>
      </c>
      <c r="D114" s="5" t="str">
        <f>_xlfn.XLOOKUP(fRealizado5[[#This Row],[Conta]],'Plano de Contas'!A:A,'Plano de Contas'!C:C)</f>
        <v>(-) Custos de Vendas</v>
      </c>
      <c r="E114" s="5" t="str">
        <f>_xlfn.XLOOKUP(fRealizado5[[#This Row],[Conta]],'Plano de Contas'!A:A,'Plano de Contas'!D:D)</f>
        <v>05 - Custo do Produto</v>
      </c>
    </row>
    <row r="115" spans="1:5" hidden="1" x14ac:dyDescent="0.25">
      <c r="A115" s="23">
        <v>43466</v>
      </c>
      <c r="B115" s="5" t="s">
        <v>164</v>
      </c>
      <c r="C115" s="5">
        <v>-51349</v>
      </c>
      <c r="D115" s="5" t="str">
        <f>_xlfn.XLOOKUP(fRealizado5[[#This Row],[Conta]],'Plano de Contas'!A:A,'Plano de Contas'!C:C)</f>
        <v>(-) Custos de Vendas</v>
      </c>
      <c r="E115" s="5" t="str">
        <f>_xlfn.XLOOKUP(fRealizado5[[#This Row],[Conta]],'Plano de Contas'!A:A,'Plano de Contas'!D:D)</f>
        <v>06 - Outros Custos</v>
      </c>
    </row>
    <row r="116" spans="1:5" hidden="1" x14ac:dyDescent="0.25">
      <c r="A116" s="23">
        <v>43466</v>
      </c>
      <c r="B116" s="5" t="s">
        <v>165</v>
      </c>
      <c r="C116" s="5">
        <v>-89404</v>
      </c>
      <c r="D116" s="5" t="str">
        <f>_xlfn.XLOOKUP(fRealizado5[[#This Row],[Conta]],'Plano de Contas'!A:A,'Plano de Contas'!C:C)</f>
        <v>(-) Custos de Vendas</v>
      </c>
      <c r="E116" s="5" t="str">
        <f>_xlfn.XLOOKUP(fRealizado5[[#This Row],[Conta]],'Plano de Contas'!A:A,'Plano de Contas'!D:D)</f>
        <v>06 - Outros Custos</v>
      </c>
    </row>
    <row r="117" spans="1:5" hidden="1" x14ac:dyDescent="0.25">
      <c r="A117" s="23">
        <v>43466</v>
      </c>
      <c r="B117" s="5" t="s">
        <v>166</v>
      </c>
      <c r="C117" s="5">
        <v>-88381</v>
      </c>
      <c r="D117" s="5" t="str">
        <f>_xlfn.XLOOKUP(fRealizado5[[#This Row],[Conta]],'Plano de Contas'!A:A,'Plano de Contas'!C:C)</f>
        <v>(-) Custos de Vendas</v>
      </c>
      <c r="E117" s="5" t="str">
        <f>_xlfn.XLOOKUP(fRealizado5[[#This Row],[Conta]],'Plano de Contas'!A:A,'Plano de Contas'!D:D)</f>
        <v>06 - Outros Custos</v>
      </c>
    </row>
    <row r="118" spans="1:5" hidden="1" x14ac:dyDescent="0.25">
      <c r="A118" s="23">
        <v>43466</v>
      </c>
      <c r="B118" s="5" t="s">
        <v>167</v>
      </c>
      <c r="C118" s="5">
        <v>-238809</v>
      </c>
      <c r="D118" s="5" t="str">
        <f>_xlfn.XLOOKUP(fRealizado5[[#This Row],[Conta]],'Plano de Contas'!A:A,'Plano de Contas'!C:C)</f>
        <v>(-) Despesas Gerais</v>
      </c>
      <c r="E118" s="5" t="str">
        <f>_xlfn.XLOOKUP(fRealizado5[[#This Row],[Conta]],'Plano de Contas'!A:A,'Plano de Contas'!D:D)</f>
        <v>07 - Despesas Administrativas</v>
      </c>
    </row>
    <row r="119" spans="1:5" hidden="1" x14ac:dyDescent="0.25">
      <c r="A119" s="23">
        <v>43466</v>
      </c>
      <c r="B119" s="5" t="s">
        <v>168</v>
      </c>
      <c r="C119" s="5">
        <v>-233837</v>
      </c>
      <c r="D119" s="5" t="str">
        <f>_xlfn.XLOOKUP(fRealizado5[[#This Row],[Conta]],'Plano de Contas'!A:A,'Plano de Contas'!C:C)</f>
        <v>(-) Despesas Gerais</v>
      </c>
      <c r="E119" s="5" t="str">
        <f>_xlfn.XLOOKUP(fRealizado5[[#This Row],[Conta]],'Plano de Contas'!A:A,'Plano de Contas'!D:D)</f>
        <v>07 - Despesas Administrativas</v>
      </c>
    </row>
    <row r="120" spans="1:5" hidden="1" x14ac:dyDescent="0.25">
      <c r="A120" s="23">
        <v>43466</v>
      </c>
      <c r="B120" s="5" t="s">
        <v>169</v>
      </c>
      <c r="C120" s="5">
        <v>-140333</v>
      </c>
      <c r="D120" s="5" t="str">
        <f>_xlfn.XLOOKUP(fRealizado5[[#This Row],[Conta]],'Plano de Contas'!A:A,'Plano de Contas'!C:C)</f>
        <v>(-) Despesas Gerais</v>
      </c>
      <c r="E120" s="5" t="str">
        <f>_xlfn.XLOOKUP(fRealizado5[[#This Row],[Conta]],'Plano de Contas'!A:A,'Plano de Contas'!D:D)</f>
        <v>07 - Despesas Administrativas</v>
      </c>
    </row>
    <row r="121" spans="1:5" hidden="1" x14ac:dyDescent="0.25">
      <c r="A121" s="23">
        <v>43466</v>
      </c>
      <c r="B121" s="5" t="s">
        <v>170</v>
      </c>
      <c r="C121" s="5">
        <v>-334598</v>
      </c>
      <c r="D121" s="5" t="str">
        <f>_xlfn.XLOOKUP(fRealizado5[[#This Row],[Conta]],'Plano de Contas'!A:A,'Plano de Contas'!C:C)</f>
        <v>(-) Despesas Gerais</v>
      </c>
      <c r="E121" s="5" t="str">
        <f>_xlfn.XLOOKUP(fRealizado5[[#This Row],[Conta]],'Plano de Contas'!A:A,'Plano de Contas'!D:D)</f>
        <v>07 - Despesas Administrativas</v>
      </c>
    </row>
    <row r="122" spans="1:5" hidden="1" x14ac:dyDescent="0.25">
      <c r="A122" s="23">
        <v>43466</v>
      </c>
      <c r="B122" s="5" t="s">
        <v>171</v>
      </c>
      <c r="C122" s="5">
        <v>-318666</v>
      </c>
      <c r="D122" s="5" t="str">
        <f>_xlfn.XLOOKUP(fRealizado5[[#This Row],[Conta]],'Plano de Contas'!A:A,'Plano de Contas'!C:C)</f>
        <v>(-) Despesas Gerais</v>
      </c>
      <c r="E122" s="5" t="str">
        <f>_xlfn.XLOOKUP(fRealizado5[[#This Row],[Conta]],'Plano de Contas'!A:A,'Plano de Contas'!D:D)</f>
        <v>07 - Despesas Administrativas</v>
      </c>
    </row>
    <row r="123" spans="1:5" hidden="1" x14ac:dyDescent="0.25">
      <c r="A123" s="23">
        <v>43466</v>
      </c>
      <c r="B123" s="5" t="s">
        <v>172</v>
      </c>
      <c r="C123" s="5">
        <v>-381705</v>
      </c>
      <c r="D123" s="5" t="str">
        <f>_xlfn.XLOOKUP(fRealizado5[[#This Row],[Conta]],'Plano de Contas'!A:A,'Plano de Contas'!C:C)</f>
        <v>(-) Despesas Gerais</v>
      </c>
      <c r="E123" s="5" t="str">
        <f>_xlfn.XLOOKUP(fRealizado5[[#This Row],[Conta]],'Plano de Contas'!A:A,'Plano de Contas'!D:D)</f>
        <v>07 - Despesas Administrativas</v>
      </c>
    </row>
    <row r="124" spans="1:5" hidden="1" x14ac:dyDescent="0.25">
      <c r="A124" s="23">
        <v>43466</v>
      </c>
      <c r="B124" s="5" t="s">
        <v>173</v>
      </c>
      <c r="C124" s="5">
        <v>-46195</v>
      </c>
      <c r="D124" s="5" t="str">
        <f>_xlfn.XLOOKUP(fRealizado5[[#This Row],[Conta]],'Plano de Contas'!A:A,'Plano de Contas'!C:C)</f>
        <v>(-) Despesas Gerais</v>
      </c>
      <c r="E124" s="5" t="str">
        <f>_xlfn.XLOOKUP(fRealizado5[[#This Row],[Conta]],'Plano de Contas'!A:A,'Plano de Contas'!D:D)</f>
        <v>08 - Despesas Financeiras</v>
      </c>
    </row>
    <row r="125" spans="1:5" hidden="1" x14ac:dyDescent="0.25">
      <c r="A125" s="23">
        <v>43466</v>
      </c>
      <c r="B125" s="5" t="s">
        <v>174</v>
      </c>
      <c r="C125" s="5">
        <v>-51785</v>
      </c>
      <c r="D125" s="5" t="str">
        <f>_xlfn.XLOOKUP(fRealizado5[[#This Row],[Conta]],'Plano de Contas'!A:A,'Plano de Contas'!C:C)</f>
        <v>(-) Despesas Gerais</v>
      </c>
      <c r="E125" s="5" t="str">
        <f>_xlfn.XLOOKUP(fRealizado5[[#This Row],[Conta]],'Plano de Contas'!A:A,'Plano de Contas'!D:D)</f>
        <v>08 - Despesas Financeiras</v>
      </c>
    </row>
    <row r="126" spans="1:5" hidden="1" x14ac:dyDescent="0.25">
      <c r="A126" s="23">
        <v>43466</v>
      </c>
      <c r="B126" s="5" t="s">
        <v>175</v>
      </c>
      <c r="C126" s="5">
        <v>-45081</v>
      </c>
      <c r="D126" s="5" t="str">
        <f>_xlfn.XLOOKUP(fRealizado5[[#This Row],[Conta]],'Plano de Contas'!A:A,'Plano de Contas'!C:C)</f>
        <v>(-) Despesas Gerais</v>
      </c>
      <c r="E126" s="5" t="str">
        <f>_xlfn.XLOOKUP(fRealizado5[[#This Row],[Conta]],'Plano de Contas'!A:A,'Plano de Contas'!D:D)</f>
        <v>08 - Despesas Financeiras</v>
      </c>
    </row>
    <row r="127" spans="1:5" hidden="1" x14ac:dyDescent="0.25">
      <c r="A127" s="23">
        <v>43466</v>
      </c>
      <c r="B127" s="5" t="s">
        <v>176</v>
      </c>
      <c r="C127" s="5">
        <v>-57043</v>
      </c>
      <c r="D127" s="5" t="str">
        <f>_xlfn.XLOOKUP(fRealizado5[[#This Row],[Conta]],'Plano de Contas'!A:A,'Plano de Contas'!C:C)</f>
        <v>(-) Despesas Gerais</v>
      </c>
      <c r="E127" s="5" t="str">
        <f>_xlfn.XLOOKUP(fRealizado5[[#This Row],[Conta]],'Plano de Contas'!A:A,'Plano de Contas'!D:D)</f>
        <v>08 - Despesas Financeiras</v>
      </c>
    </row>
    <row r="128" spans="1:5" hidden="1" x14ac:dyDescent="0.25">
      <c r="A128" s="23">
        <v>43466</v>
      </c>
      <c r="B128" s="5" t="s">
        <v>177</v>
      </c>
      <c r="C128" s="5">
        <v>-40489</v>
      </c>
      <c r="D128" s="5" t="str">
        <f>_xlfn.XLOOKUP(fRealizado5[[#This Row],[Conta]],'Plano de Contas'!A:A,'Plano de Contas'!C:C)</f>
        <v>(-) Despesas Gerais</v>
      </c>
      <c r="E128" s="5" t="str">
        <f>_xlfn.XLOOKUP(fRealizado5[[#This Row],[Conta]],'Plano de Contas'!A:A,'Plano de Contas'!D:D)</f>
        <v>08 - Despesas Financeiras</v>
      </c>
    </row>
    <row r="129" spans="1:5" hidden="1" x14ac:dyDescent="0.25">
      <c r="A129" s="23">
        <v>43466</v>
      </c>
      <c r="B129" s="5" t="s">
        <v>178</v>
      </c>
      <c r="C129" s="5">
        <v>-183675</v>
      </c>
      <c r="D129" s="5" t="str">
        <f>_xlfn.XLOOKUP(fRealizado5[[#This Row],[Conta]],'Plano de Contas'!A:A,'Plano de Contas'!C:C)</f>
        <v>(-) Despesas Gerais</v>
      </c>
      <c r="E129" s="5" t="str">
        <f>_xlfn.XLOOKUP(fRealizado5[[#This Row],[Conta]],'Plano de Contas'!A:A,'Plano de Contas'!D:D)</f>
        <v>09 - Tecnologia da Informação</v>
      </c>
    </row>
    <row r="130" spans="1:5" hidden="1" x14ac:dyDescent="0.25">
      <c r="A130" s="23">
        <v>43466</v>
      </c>
      <c r="B130" s="5" t="s">
        <v>179</v>
      </c>
      <c r="C130" s="5">
        <v>-111871</v>
      </c>
      <c r="D130" s="5" t="str">
        <f>_xlfn.XLOOKUP(fRealizado5[[#This Row],[Conta]],'Plano de Contas'!A:A,'Plano de Contas'!C:C)</f>
        <v>(-) Despesas Gerais</v>
      </c>
      <c r="E130" s="5" t="str">
        <f>_xlfn.XLOOKUP(fRealizado5[[#This Row],[Conta]],'Plano de Contas'!A:A,'Plano de Contas'!D:D)</f>
        <v>09 - Tecnologia da Informação</v>
      </c>
    </row>
    <row r="131" spans="1:5" hidden="1" x14ac:dyDescent="0.25">
      <c r="A131" s="23">
        <v>43466</v>
      </c>
      <c r="B131" s="5" t="s">
        <v>180</v>
      </c>
      <c r="C131" s="5">
        <v>-258661</v>
      </c>
      <c r="D131" s="5" t="str">
        <f>_xlfn.XLOOKUP(fRealizado5[[#This Row],[Conta]],'Plano de Contas'!A:A,'Plano de Contas'!C:C)</f>
        <v>(-) Despesas Gerais</v>
      </c>
      <c r="E131" s="5" t="str">
        <f>_xlfn.XLOOKUP(fRealizado5[[#This Row],[Conta]],'Plano de Contas'!A:A,'Plano de Contas'!D:D)</f>
        <v>09 - Tecnologia da Informação</v>
      </c>
    </row>
    <row r="132" spans="1:5" hidden="1" x14ac:dyDescent="0.25">
      <c r="A132" s="23">
        <v>43466</v>
      </c>
      <c r="B132" s="5" t="s">
        <v>181</v>
      </c>
      <c r="C132" s="5">
        <v>-79399</v>
      </c>
      <c r="D132" s="5" t="str">
        <f>_xlfn.XLOOKUP(fRealizado5[[#This Row],[Conta]],'Plano de Contas'!A:A,'Plano de Contas'!C:C)</f>
        <v>(-) Despesas Gerais</v>
      </c>
      <c r="E132" s="5" t="str">
        <f>_xlfn.XLOOKUP(fRealizado5[[#This Row],[Conta]],'Plano de Contas'!A:A,'Plano de Contas'!D:D)</f>
        <v>10 - Recursos Humanos</v>
      </c>
    </row>
    <row r="133" spans="1:5" hidden="1" x14ac:dyDescent="0.25">
      <c r="A133" s="23">
        <v>43466</v>
      </c>
      <c r="B133" s="5" t="s">
        <v>182</v>
      </c>
      <c r="C133" s="5">
        <v>-67550</v>
      </c>
      <c r="D133" s="5" t="str">
        <f>_xlfn.XLOOKUP(fRealizado5[[#This Row],[Conta]],'Plano de Contas'!A:A,'Plano de Contas'!C:C)</f>
        <v>(-) Despesas Gerais</v>
      </c>
      <c r="E133" s="5" t="str">
        <f>_xlfn.XLOOKUP(fRealizado5[[#This Row],[Conta]],'Plano de Contas'!A:A,'Plano de Contas'!D:D)</f>
        <v>10 - Recursos Humanos</v>
      </c>
    </row>
    <row r="134" spans="1:5" hidden="1" x14ac:dyDescent="0.25">
      <c r="A134" s="23">
        <v>43466</v>
      </c>
      <c r="B134" s="5" t="s">
        <v>183</v>
      </c>
      <c r="C134" s="5">
        <v>-84235</v>
      </c>
      <c r="D134" s="5" t="str">
        <f>_xlfn.XLOOKUP(fRealizado5[[#This Row],[Conta]],'Plano de Contas'!A:A,'Plano de Contas'!C:C)</f>
        <v>(-) Despesas Gerais</v>
      </c>
      <c r="E134" s="5" t="str">
        <f>_xlfn.XLOOKUP(fRealizado5[[#This Row],[Conta]],'Plano de Contas'!A:A,'Plano de Contas'!D:D)</f>
        <v>10 - Recursos Humanos</v>
      </c>
    </row>
    <row r="135" spans="1:5" hidden="1" x14ac:dyDescent="0.25">
      <c r="A135" s="23">
        <v>43466</v>
      </c>
      <c r="B135" s="5" t="s">
        <v>184</v>
      </c>
      <c r="C135" s="5">
        <v>-68379</v>
      </c>
      <c r="D135" s="5" t="str">
        <f>_xlfn.XLOOKUP(fRealizado5[[#This Row],[Conta]],'Plano de Contas'!A:A,'Plano de Contas'!C:C)</f>
        <v>(-) Despesas Gerais</v>
      </c>
      <c r="E135" s="5" t="str">
        <f>_xlfn.XLOOKUP(fRealizado5[[#This Row],[Conta]],'Plano de Contas'!A:A,'Plano de Contas'!D:D)</f>
        <v>10 - Recursos Humanos</v>
      </c>
    </row>
    <row r="136" spans="1:5" hidden="1" x14ac:dyDescent="0.25">
      <c r="A136" s="23">
        <v>43466</v>
      </c>
      <c r="B136" s="5" t="s">
        <v>185</v>
      </c>
      <c r="C136" s="5">
        <v>-81963</v>
      </c>
      <c r="D136" s="5" t="str">
        <f>_xlfn.XLOOKUP(fRealizado5[[#This Row],[Conta]],'Plano de Contas'!A:A,'Plano de Contas'!C:C)</f>
        <v>(-) Despesas Gerais</v>
      </c>
      <c r="E136" s="5" t="str">
        <f>_xlfn.XLOOKUP(fRealizado5[[#This Row],[Conta]],'Plano de Contas'!A:A,'Plano de Contas'!D:D)</f>
        <v>11 - Relacionamento com Cliente</v>
      </c>
    </row>
    <row r="137" spans="1:5" hidden="1" x14ac:dyDescent="0.25">
      <c r="A137" s="23">
        <v>43466</v>
      </c>
      <c r="B137" s="5" t="s">
        <v>186</v>
      </c>
      <c r="C137" s="5">
        <v>-114471</v>
      </c>
      <c r="D137" s="5" t="str">
        <f>_xlfn.XLOOKUP(fRealizado5[[#This Row],[Conta]],'Plano de Contas'!A:A,'Plano de Contas'!C:C)</f>
        <v>(-) Despesas Gerais</v>
      </c>
      <c r="E137" s="5" t="str">
        <f>_xlfn.XLOOKUP(fRealizado5[[#This Row],[Conta]],'Plano de Contas'!A:A,'Plano de Contas'!D:D)</f>
        <v>11 - Relacionamento com Cliente</v>
      </c>
    </row>
    <row r="138" spans="1:5" hidden="1" x14ac:dyDescent="0.25">
      <c r="A138" s="23">
        <v>43466</v>
      </c>
      <c r="B138" s="5" t="s">
        <v>187</v>
      </c>
      <c r="C138" s="5">
        <v>-159712</v>
      </c>
      <c r="D138" s="5" t="str">
        <f>_xlfn.XLOOKUP(fRealizado5[[#This Row],[Conta]],'Plano de Contas'!A:A,'Plano de Contas'!C:C)</f>
        <v>(-) Despesas Gerais</v>
      </c>
      <c r="E138" s="5" t="str">
        <f>_xlfn.XLOOKUP(fRealizado5[[#This Row],[Conta]],'Plano de Contas'!A:A,'Plano de Contas'!D:D)</f>
        <v>12 - Marketing e Divulgação</v>
      </c>
    </row>
    <row r="139" spans="1:5" hidden="1" x14ac:dyDescent="0.25">
      <c r="A139" s="23">
        <v>43466</v>
      </c>
      <c r="B139" s="5" t="s">
        <v>188</v>
      </c>
      <c r="C139" s="5">
        <v>-185615</v>
      </c>
      <c r="D139" s="5" t="str">
        <f>_xlfn.XLOOKUP(fRealizado5[[#This Row],[Conta]],'Plano de Contas'!A:A,'Plano de Contas'!C:C)</f>
        <v>(-) Despesas Gerais</v>
      </c>
      <c r="E139" s="5" t="str">
        <f>_xlfn.XLOOKUP(fRealizado5[[#This Row],[Conta]],'Plano de Contas'!A:A,'Plano de Contas'!D:D)</f>
        <v>12 - Marketing e Divulgação</v>
      </c>
    </row>
    <row r="140" spans="1:5" hidden="1" x14ac:dyDescent="0.25">
      <c r="A140" s="23">
        <v>43466</v>
      </c>
      <c r="B140" s="5" t="s">
        <v>189</v>
      </c>
      <c r="C140" s="5">
        <v>-8252</v>
      </c>
      <c r="D140" s="5" t="str">
        <f>_xlfn.XLOOKUP(fRealizado5[[#This Row],[Conta]],'Plano de Contas'!A:A,'Plano de Contas'!C:C)</f>
        <v>(-) Impostos</v>
      </c>
      <c r="E140" s="5" t="str">
        <f>_xlfn.XLOOKUP(fRealizado5[[#This Row],[Conta]],'Plano de Contas'!A:A,'Plano de Contas'!D:D)</f>
        <v>13 - Impostos Estaduais</v>
      </c>
    </row>
    <row r="141" spans="1:5" hidden="1" x14ac:dyDescent="0.25">
      <c r="A141" s="23">
        <v>43466</v>
      </c>
      <c r="B141" s="5" t="s">
        <v>190</v>
      </c>
      <c r="C141" s="5">
        <v>-16645</v>
      </c>
      <c r="D141" s="5" t="str">
        <f>_xlfn.XLOOKUP(fRealizado5[[#This Row],[Conta]],'Plano de Contas'!A:A,'Plano de Contas'!C:C)</f>
        <v>(-) Impostos</v>
      </c>
      <c r="E141" s="5" t="str">
        <f>_xlfn.XLOOKUP(fRealizado5[[#This Row],[Conta]],'Plano de Contas'!A:A,'Plano de Contas'!D:D)</f>
        <v>14 - Impostos Federais</v>
      </c>
    </row>
    <row r="142" spans="1:5" hidden="1" x14ac:dyDescent="0.25">
      <c r="A142" s="23">
        <f>EDATE(A2,1)</f>
        <v>43497</v>
      </c>
      <c r="B142" s="5" t="s">
        <v>51</v>
      </c>
      <c r="C142" s="5">
        <v>936545</v>
      </c>
      <c r="D142" s="5" t="str">
        <f>_xlfn.XLOOKUP(fRealizado5[[#This Row],[Conta]],'Plano de Contas'!A:A,'Plano de Contas'!C:C)</f>
        <v>(+) RECEITA BRUTA</v>
      </c>
      <c r="E142" s="5" t="str">
        <f>_xlfn.XLOOKUP(fRealizado5[[#This Row],[Conta]],'Plano de Contas'!A:A,'Plano de Contas'!D:D)</f>
        <v>01 - Vendas de Produtos</v>
      </c>
    </row>
    <row r="143" spans="1:5" hidden="1" x14ac:dyDescent="0.25">
      <c r="A143" s="23">
        <f t="shared" ref="A143:A206" si="0">EDATE(A3,1)</f>
        <v>43497</v>
      </c>
      <c r="B143" s="5" t="s">
        <v>52</v>
      </c>
      <c r="C143" s="5">
        <v>601203</v>
      </c>
      <c r="D143" s="5" t="str">
        <f>_xlfn.XLOOKUP(fRealizado5[[#This Row],[Conta]],'Plano de Contas'!A:A,'Plano de Contas'!C:C)</f>
        <v>(+) RECEITA BRUTA</v>
      </c>
      <c r="E143" s="5" t="str">
        <f>_xlfn.XLOOKUP(fRealizado5[[#This Row],[Conta]],'Plano de Contas'!A:A,'Plano de Contas'!D:D)</f>
        <v>01 - Vendas de Produtos</v>
      </c>
    </row>
    <row r="144" spans="1:5" hidden="1" x14ac:dyDescent="0.25">
      <c r="A144" s="23">
        <f t="shared" si="0"/>
        <v>43497</v>
      </c>
      <c r="B144" s="5" t="s">
        <v>53</v>
      </c>
      <c r="C144" s="5">
        <v>352326</v>
      </c>
      <c r="D144" s="5" t="str">
        <f>_xlfn.XLOOKUP(fRealizado5[[#This Row],[Conta]],'Plano de Contas'!A:A,'Plano de Contas'!C:C)</f>
        <v>(+) RECEITA BRUTA</v>
      </c>
      <c r="E144" s="5" t="str">
        <f>_xlfn.XLOOKUP(fRealizado5[[#This Row],[Conta]],'Plano de Contas'!A:A,'Plano de Contas'!D:D)</f>
        <v>01 - Vendas de Produtos</v>
      </c>
    </row>
    <row r="145" spans="1:5" hidden="1" x14ac:dyDescent="0.25">
      <c r="A145" s="23">
        <f t="shared" si="0"/>
        <v>43497</v>
      </c>
      <c r="B145" s="5" t="s">
        <v>54</v>
      </c>
      <c r="C145" s="5">
        <v>656492</v>
      </c>
      <c r="D145" s="5" t="str">
        <f>_xlfn.XLOOKUP(fRealizado5[[#This Row],[Conta]],'Plano de Contas'!A:A,'Plano de Contas'!C:C)</f>
        <v>(+) RECEITA BRUTA</v>
      </c>
      <c r="E145" s="5" t="str">
        <f>_xlfn.XLOOKUP(fRealizado5[[#This Row],[Conta]],'Plano de Contas'!A:A,'Plano de Contas'!D:D)</f>
        <v>01 - Vendas de Produtos</v>
      </c>
    </row>
    <row r="146" spans="1:5" hidden="1" x14ac:dyDescent="0.25">
      <c r="A146" s="23">
        <f t="shared" si="0"/>
        <v>43497</v>
      </c>
      <c r="B146" s="5" t="s">
        <v>55</v>
      </c>
      <c r="C146" s="5">
        <v>768775</v>
      </c>
      <c r="D146" s="5" t="str">
        <f>_xlfn.XLOOKUP(fRealizado5[[#This Row],[Conta]],'Plano de Contas'!A:A,'Plano de Contas'!C:C)</f>
        <v>(+) RECEITA BRUTA</v>
      </c>
      <c r="E146" s="5" t="str">
        <f>_xlfn.XLOOKUP(fRealizado5[[#This Row],[Conta]],'Plano de Contas'!A:A,'Plano de Contas'!D:D)</f>
        <v>01 - Vendas de Produtos</v>
      </c>
    </row>
    <row r="147" spans="1:5" hidden="1" x14ac:dyDescent="0.25">
      <c r="A147" s="23">
        <f t="shared" si="0"/>
        <v>43497</v>
      </c>
      <c r="B147" s="5" t="s">
        <v>56</v>
      </c>
      <c r="C147" s="5">
        <v>348586</v>
      </c>
      <c r="D147" s="5" t="str">
        <f>_xlfn.XLOOKUP(fRealizado5[[#This Row],[Conta]],'Plano de Contas'!A:A,'Plano de Contas'!C:C)</f>
        <v>(+) RECEITA BRUTA</v>
      </c>
      <c r="E147" s="5" t="str">
        <f>_xlfn.XLOOKUP(fRealizado5[[#This Row],[Conta]],'Plano de Contas'!A:A,'Plano de Contas'!D:D)</f>
        <v>01 - Vendas de Produtos</v>
      </c>
    </row>
    <row r="148" spans="1:5" hidden="1" x14ac:dyDescent="0.25">
      <c r="A148" s="23">
        <f t="shared" si="0"/>
        <v>43497</v>
      </c>
      <c r="B148" s="5" t="s">
        <v>57</v>
      </c>
      <c r="C148" s="5">
        <v>549470</v>
      </c>
      <c r="D148" s="5" t="str">
        <f>_xlfn.XLOOKUP(fRealizado5[[#This Row],[Conta]],'Plano de Contas'!A:A,'Plano de Contas'!C:C)</f>
        <v>(+) RECEITA BRUTA</v>
      </c>
      <c r="E148" s="5" t="str">
        <f>_xlfn.XLOOKUP(fRealizado5[[#This Row],[Conta]],'Plano de Contas'!A:A,'Plano de Contas'!D:D)</f>
        <v>01 - Vendas de Produtos</v>
      </c>
    </row>
    <row r="149" spans="1:5" hidden="1" x14ac:dyDescent="0.25">
      <c r="A149" s="23">
        <f t="shared" si="0"/>
        <v>43497</v>
      </c>
      <c r="B149" s="5" t="s">
        <v>58</v>
      </c>
      <c r="C149" s="5">
        <v>460414</v>
      </c>
      <c r="D149" s="5" t="str">
        <f>_xlfn.XLOOKUP(fRealizado5[[#This Row],[Conta]],'Plano de Contas'!A:A,'Plano de Contas'!C:C)</f>
        <v>(+) RECEITA BRUTA</v>
      </c>
      <c r="E149" s="5" t="str">
        <f>_xlfn.XLOOKUP(fRealizado5[[#This Row],[Conta]],'Plano de Contas'!A:A,'Plano de Contas'!D:D)</f>
        <v>01 - Vendas de Produtos</v>
      </c>
    </row>
    <row r="150" spans="1:5" hidden="1" x14ac:dyDescent="0.25">
      <c r="A150" s="23">
        <f t="shared" si="0"/>
        <v>43497</v>
      </c>
      <c r="B150" s="5" t="s">
        <v>59</v>
      </c>
      <c r="C150" s="5">
        <v>428915</v>
      </c>
      <c r="D150" s="5" t="str">
        <f>_xlfn.XLOOKUP(fRealizado5[[#This Row],[Conta]],'Plano de Contas'!A:A,'Plano de Contas'!C:C)</f>
        <v>(+) RECEITA BRUTA</v>
      </c>
      <c r="E150" s="5" t="str">
        <f>_xlfn.XLOOKUP(fRealizado5[[#This Row],[Conta]],'Plano de Contas'!A:A,'Plano de Contas'!D:D)</f>
        <v>01 - Vendas de Produtos</v>
      </c>
    </row>
    <row r="151" spans="1:5" hidden="1" x14ac:dyDescent="0.25">
      <c r="A151" s="23">
        <f t="shared" si="0"/>
        <v>43497</v>
      </c>
      <c r="B151" s="5" t="s">
        <v>60</v>
      </c>
      <c r="C151" s="5">
        <v>645323</v>
      </c>
      <c r="D151" s="5" t="str">
        <f>_xlfn.XLOOKUP(fRealizado5[[#This Row],[Conta]],'Plano de Contas'!A:A,'Plano de Contas'!C:C)</f>
        <v>(+) RECEITA BRUTA</v>
      </c>
      <c r="E151" s="5" t="str">
        <f>_xlfn.XLOOKUP(fRealizado5[[#This Row],[Conta]],'Plano de Contas'!A:A,'Plano de Contas'!D:D)</f>
        <v>01 - Vendas de Produtos</v>
      </c>
    </row>
    <row r="152" spans="1:5" hidden="1" x14ac:dyDescent="0.25">
      <c r="A152" s="23">
        <f t="shared" si="0"/>
        <v>43497</v>
      </c>
      <c r="B152" s="5" t="s">
        <v>61</v>
      </c>
      <c r="C152" s="5">
        <v>835561</v>
      </c>
      <c r="D152" s="5" t="str">
        <f>_xlfn.XLOOKUP(fRealizado5[[#This Row],[Conta]],'Plano de Contas'!A:A,'Plano de Contas'!C:C)</f>
        <v>(+) RECEITA BRUTA</v>
      </c>
      <c r="E152" s="5" t="str">
        <f>_xlfn.XLOOKUP(fRealizado5[[#This Row],[Conta]],'Plano de Contas'!A:A,'Plano de Contas'!D:D)</f>
        <v>01 - Vendas de Produtos</v>
      </c>
    </row>
    <row r="153" spans="1:5" hidden="1" x14ac:dyDescent="0.25">
      <c r="A153" s="23">
        <f t="shared" si="0"/>
        <v>43497</v>
      </c>
      <c r="B153" s="5" t="s">
        <v>62</v>
      </c>
      <c r="C153" s="5">
        <v>771550</v>
      </c>
      <c r="D153" s="5" t="str">
        <f>_xlfn.XLOOKUP(fRealizado5[[#This Row],[Conta]],'Plano de Contas'!A:A,'Plano de Contas'!C:C)</f>
        <v>(+) RECEITA BRUTA</v>
      </c>
      <c r="E153" s="5" t="str">
        <f>_xlfn.XLOOKUP(fRealizado5[[#This Row],[Conta]],'Plano de Contas'!A:A,'Plano de Contas'!D:D)</f>
        <v>01 - Vendas de Produtos</v>
      </c>
    </row>
    <row r="154" spans="1:5" hidden="1" x14ac:dyDescent="0.25">
      <c r="A154" s="23">
        <f t="shared" si="0"/>
        <v>43497</v>
      </c>
      <c r="B154" s="5" t="s">
        <v>63</v>
      </c>
      <c r="C154" s="5">
        <v>804363</v>
      </c>
      <c r="D154" s="5" t="str">
        <f>_xlfn.XLOOKUP(fRealizado5[[#This Row],[Conta]],'Plano de Contas'!A:A,'Plano de Contas'!C:C)</f>
        <v>(+) RECEITA BRUTA</v>
      </c>
      <c r="E154" s="5" t="str">
        <f>_xlfn.XLOOKUP(fRealizado5[[#This Row],[Conta]],'Plano de Contas'!A:A,'Plano de Contas'!D:D)</f>
        <v>01 - Vendas de Produtos</v>
      </c>
    </row>
    <row r="155" spans="1:5" hidden="1" x14ac:dyDescent="0.25">
      <c r="A155" s="23">
        <f t="shared" si="0"/>
        <v>43497</v>
      </c>
      <c r="B155" s="5" t="s">
        <v>64</v>
      </c>
      <c r="C155" s="5">
        <v>655865</v>
      </c>
      <c r="D155" s="5" t="str">
        <f>_xlfn.XLOOKUP(fRealizado5[[#This Row],[Conta]],'Plano de Contas'!A:A,'Plano de Contas'!C:C)</f>
        <v>(+) RECEITA BRUTA</v>
      </c>
      <c r="E155" s="5" t="str">
        <f>_xlfn.XLOOKUP(fRealizado5[[#This Row],[Conta]],'Plano de Contas'!A:A,'Plano de Contas'!D:D)</f>
        <v>01 - Vendas de Produtos</v>
      </c>
    </row>
    <row r="156" spans="1:5" hidden="1" x14ac:dyDescent="0.25">
      <c r="A156" s="23">
        <f t="shared" si="0"/>
        <v>43497</v>
      </c>
      <c r="B156" s="5" t="s">
        <v>65</v>
      </c>
      <c r="C156" s="5">
        <v>256379</v>
      </c>
      <c r="D156" s="5" t="str">
        <f>_xlfn.XLOOKUP(fRealizado5[[#This Row],[Conta]],'Plano de Contas'!A:A,'Plano de Contas'!C:C)</f>
        <v>(+) RECEITA BRUTA</v>
      </c>
      <c r="E156" s="5" t="str">
        <f>_xlfn.XLOOKUP(fRealizado5[[#This Row],[Conta]],'Plano de Contas'!A:A,'Plano de Contas'!D:D)</f>
        <v>01 - Vendas de Produtos</v>
      </c>
    </row>
    <row r="157" spans="1:5" hidden="1" x14ac:dyDescent="0.25">
      <c r="A157" s="23">
        <f t="shared" si="0"/>
        <v>43497</v>
      </c>
      <c r="B157" s="5" t="s">
        <v>66</v>
      </c>
      <c r="C157" s="5">
        <v>564107</v>
      </c>
      <c r="D157" s="5" t="str">
        <f>_xlfn.XLOOKUP(fRealizado5[[#This Row],[Conta]],'Plano de Contas'!A:A,'Plano de Contas'!C:C)</f>
        <v>(+) RECEITA BRUTA</v>
      </c>
      <c r="E157" s="5" t="str">
        <f>_xlfn.XLOOKUP(fRealizado5[[#This Row],[Conta]],'Plano de Contas'!A:A,'Plano de Contas'!D:D)</f>
        <v>01 - Vendas de Produtos</v>
      </c>
    </row>
    <row r="158" spans="1:5" hidden="1" x14ac:dyDescent="0.25">
      <c r="A158" s="23">
        <f t="shared" si="0"/>
        <v>43497</v>
      </c>
      <c r="B158" s="5" t="s">
        <v>67</v>
      </c>
      <c r="C158" s="5">
        <v>593478</v>
      </c>
      <c r="D158" s="5" t="str">
        <f>_xlfn.XLOOKUP(fRealizado5[[#This Row],[Conta]],'Plano de Contas'!A:A,'Plano de Contas'!C:C)</f>
        <v>(+) RECEITA BRUTA</v>
      </c>
      <c r="E158" s="5" t="str">
        <f>_xlfn.XLOOKUP(fRealizado5[[#This Row],[Conta]],'Plano de Contas'!A:A,'Plano de Contas'!D:D)</f>
        <v>01 - Vendas de Produtos</v>
      </c>
    </row>
    <row r="159" spans="1:5" hidden="1" x14ac:dyDescent="0.25">
      <c r="A159" s="23">
        <f t="shared" si="0"/>
        <v>43497</v>
      </c>
      <c r="B159" s="5" t="s">
        <v>68</v>
      </c>
      <c r="C159" s="5">
        <v>666959</v>
      </c>
      <c r="D159" s="5" t="str">
        <f>_xlfn.XLOOKUP(fRealizado5[[#This Row],[Conta]],'Plano de Contas'!A:A,'Plano de Contas'!C:C)</f>
        <v>(+) RECEITA BRUTA</v>
      </c>
      <c r="E159" s="5" t="str">
        <f>_xlfn.XLOOKUP(fRealizado5[[#This Row],[Conta]],'Plano de Contas'!A:A,'Plano de Contas'!D:D)</f>
        <v>01 - Vendas de Produtos</v>
      </c>
    </row>
    <row r="160" spans="1:5" hidden="1" x14ac:dyDescent="0.25">
      <c r="A160" s="23">
        <f t="shared" si="0"/>
        <v>43497</v>
      </c>
      <c r="B160" s="5" t="s">
        <v>69</v>
      </c>
      <c r="C160" s="5">
        <v>372712</v>
      </c>
      <c r="D160" s="5" t="str">
        <f>_xlfn.XLOOKUP(fRealizado5[[#This Row],[Conta]],'Plano de Contas'!A:A,'Plano de Contas'!C:C)</f>
        <v>(+) RECEITA BRUTA</v>
      </c>
      <c r="E160" s="5" t="str">
        <f>_xlfn.XLOOKUP(fRealizado5[[#This Row],[Conta]],'Plano de Contas'!A:A,'Plano de Contas'!D:D)</f>
        <v>01 - Vendas de Produtos</v>
      </c>
    </row>
    <row r="161" spans="1:5" hidden="1" x14ac:dyDescent="0.25">
      <c r="A161" s="23">
        <f t="shared" si="0"/>
        <v>43497</v>
      </c>
      <c r="B161" s="5" t="s">
        <v>70</v>
      </c>
      <c r="C161" s="5">
        <v>642801</v>
      </c>
      <c r="D161" s="5" t="str">
        <f>_xlfn.XLOOKUP(fRealizado5[[#This Row],[Conta]],'Plano de Contas'!A:A,'Plano de Contas'!C:C)</f>
        <v>(+) RECEITA BRUTA</v>
      </c>
      <c r="E161" s="5" t="str">
        <f>_xlfn.XLOOKUP(fRealizado5[[#This Row],[Conta]],'Plano de Contas'!A:A,'Plano de Contas'!D:D)</f>
        <v>01 - Vendas de Produtos</v>
      </c>
    </row>
    <row r="162" spans="1:5" hidden="1" x14ac:dyDescent="0.25">
      <c r="A162" s="23">
        <f t="shared" si="0"/>
        <v>43497</v>
      </c>
      <c r="B162" s="5" t="s">
        <v>71</v>
      </c>
      <c r="C162" s="5">
        <v>293975</v>
      </c>
      <c r="D162" s="5" t="str">
        <f>_xlfn.XLOOKUP(fRealizado5[[#This Row],[Conta]],'Plano de Contas'!A:A,'Plano de Contas'!C:C)</f>
        <v>(+) RECEITA BRUTA</v>
      </c>
      <c r="E162" s="5" t="str">
        <f>_xlfn.XLOOKUP(fRealizado5[[#This Row],[Conta]],'Plano de Contas'!A:A,'Plano de Contas'!D:D)</f>
        <v>01 - Vendas de Produtos</v>
      </c>
    </row>
    <row r="163" spans="1:5" hidden="1" x14ac:dyDescent="0.25">
      <c r="A163" s="23">
        <f t="shared" si="0"/>
        <v>43497</v>
      </c>
      <c r="B163" s="5" t="s">
        <v>72</v>
      </c>
      <c r="C163" s="5">
        <v>781798</v>
      </c>
      <c r="D163" s="5" t="str">
        <f>_xlfn.XLOOKUP(fRealizado5[[#This Row],[Conta]],'Plano de Contas'!A:A,'Plano de Contas'!C:C)</f>
        <v>(+) RECEITA BRUTA</v>
      </c>
      <c r="E163" s="5" t="str">
        <f>_xlfn.XLOOKUP(fRealizado5[[#This Row],[Conta]],'Plano de Contas'!A:A,'Plano de Contas'!D:D)</f>
        <v>01 - Vendas de Produtos</v>
      </c>
    </row>
    <row r="164" spans="1:5" hidden="1" x14ac:dyDescent="0.25">
      <c r="A164" s="23">
        <f t="shared" si="0"/>
        <v>43497</v>
      </c>
      <c r="B164" s="5" t="s">
        <v>73</v>
      </c>
      <c r="C164" s="5">
        <v>296555</v>
      </c>
      <c r="D164" s="5" t="str">
        <f>_xlfn.XLOOKUP(fRealizado5[[#This Row],[Conta]],'Plano de Contas'!A:A,'Plano de Contas'!C:C)</f>
        <v>(+) RECEITA BRUTA</v>
      </c>
      <c r="E164" s="5" t="str">
        <f>_xlfn.XLOOKUP(fRealizado5[[#This Row],[Conta]],'Plano de Contas'!A:A,'Plano de Contas'!D:D)</f>
        <v>01 - Vendas de Produtos</v>
      </c>
    </row>
    <row r="165" spans="1:5" hidden="1" x14ac:dyDescent="0.25">
      <c r="A165" s="23">
        <f t="shared" si="0"/>
        <v>43497</v>
      </c>
      <c r="B165" s="5" t="s">
        <v>74</v>
      </c>
      <c r="C165" s="5">
        <v>163373</v>
      </c>
      <c r="D165" s="5" t="str">
        <f>_xlfn.XLOOKUP(fRealizado5[[#This Row],[Conta]],'Plano de Contas'!A:A,'Plano de Contas'!C:C)</f>
        <v>(+) RECEITA BRUTA</v>
      </c>
      <c r="E165" s="5" t="str">
        <f>_xlfn.XLOOKUP(fRealizado5[[#This Row],[Conta]],'Plano de Contas'!A:A,'Plano de Contas'!D:D)</f>
        <v>01 - Vendas de Produtos</v>
      </c>
    </row>
    <row r="166" spans="1:5" hidden="1" x14ac:dyDescent="0.25">
      <c r="A166" s="23">
        <f t="shared" si="0"/>
        <v>43497</v>
      </c>
      <c r="B166" s="5" t="s">
        <v>75</v>
      </c>
      <c r="C166" s="5">
        <v>279013</v>
      </c>
      <c r="D166" s="5" t="str">
        <f>_xlfn.XLOOKUP(fRealizado5[[#This Row],[Conta]],'Plano de Contas'!A:A,'Plano de Contas'!C:C)</f>
        <v>(+) RECEITA BRUTA</v>
      </c>
      <c r="E166" s="5" t="str">
        <f>_xlfn.XLOOKUP(fRealizado5[[#This Row],[Conta]],'Plano de Contas'!A:A,'Plano de Contas'!D:D)</f>
        <v>02 - Outras Receitas</v>
      </c>
    </row>
    <row r="167" spans="1:5" hidden="1" x14ac:dyDescent="0.25">
      <c r="A167" s="23">
        <f t="shared" si="0"/>
        <v>43497</v>
      </c>
      <c r="B167" s="5" t="s">
        <v>76</v>
      </c>
      <c r="C167" s="5">
        <v>114628</v>
      </c>
      <c r="D167" s="5" t="str">
        <f>_xlfn.XLOOKUP(fRealizado5[[#This Row],[Conta]],'Plano de Contas'!A:A,'Plano de Contas'!C:C)</f>
        <v>(+) RECEITA BRUTA</v>
      </c>
      <c r="E167" s="5" t="str">
        <f>_xlfn.XLOOKUP(fRealizado5[[#This Row],[Conta]],'Plano de Contas'!A:A,'Plano de Contas'!D:D)</f>
        <v>02 - Outras Receitas</v>
      </c>
    </row>
    <row r="168" spans="1:5" hidden="1" x14ac:dyDescent="0.25">
      <c r="A168" s="23">
        <f t="shared" si="0"/>
        <v>43497</v>
      </c>
      <c r="B168" s="5" t="s">
        <v>77</v>
      </c>
      <c r="C168" s="5">
        <v>299204</v>
      </c>
      <c r="D168" s="5" t="str">
        <f>_xlfn.XLOOKUP(fRealizado5[[#This Row],[Conta]],'Plano de Contas'!A:A,'Plano de Contas'!C:C)</f>
        <v>(+) RECEITA BRUTA</v>
      </c>
      <c r="E168" s="5" t="str">
        <f>_xlfn.XLOOKUP(fRealizado5[[#This Row],[Conta]],'Plano de Contas'!A:A,'Plano de Contas'!D:D)</f>
        <v>02 - Outras Receitas</v>
      </c>
    </row>
    <row r="169" spans="1:5" hidden="1" x14ac:dyDescent="0.25">
      <c r="A169" s="23">
        <f t="shared" si="0"/>
        <v>43497</v>
      </c>
      <c r="B169" s="5" t="s">
        <v>78</v>
      </c>
      <c r="C169" s="5">
        <v>114928</v>
      </c>
      <c r="D169" s="5" t="str">
        <f>_xlfn.XLOOKUP(fRealizado5[[#This Row],[Conta]],'Plano de Contas'!A:A,'Plano de Contas'!C:C)</f>
        <v>(+) RECEITA BRUTA</v>
      </c>
      <c r="E169" s="5" t="str">
        <f>_xlfn.XLOOKUP(fRealizado5[[#This Row],[Conta]],'Plano de Contas'!A:A,'Plano de Contas'!D:D)</f>
        <v>02 - Outras Receitas</v>
      </c>
    </row>
    <row r="170" spans="1:5" hidden="1" x14ac:dyDescent="0.25">
      <c r="A170" s="23">
        <f t="shared" si="0"/>
        <v>43497</v>
      </c>
      <c r="B170" s="5" t="s">
        <v>79</v>
      </c>
      <c r="C170" s="5">
        <v>165011</v>
      </c>
      <c r="D170" s="5" t="str">
        <f>_xlfn.XLOOKUP(fRealizado5[[#This Row],[Conta]],'Plano de Contas'!A:A,'Plano de Contas'!C:C)</f>
        <v>(+) RECEITA BRUTA</v>
      </c>
      <c r="E170" s="5" t="str">
        <f>_xlfn.XLOOKUP(fRealizado5[[#This Row],[Conta]],'Plano de Contas'!A:A,'Plano de Contas'!D:D)</f>
        <v>02 - Outras Receitas</v>
      </c>
    </row>
    <row r="171" spans="1:5" hidden="1" x14ac:dyDescent="0.25">
      <c r="A171" s="23">
        <f t="shared" si="0"/>
        <v>43497</v>
      </c>
      <c r="B171" s="5" t="s">
        <v>80</v>
      </c>
      <c r="C171" s="5">
        <v>204198</v>
      </c>
      <c r="D171" s="5" t="str">
        <f>_xlfn.XLOOKUP(fRealizado5[[#This Row],[Conta]],'Plano de Contas'!A:A,'Plano de Contas'!C:C)</f>
        <v>(+) RECEITA BRUTA</v>
      </c>
      <c r="E171" s="5" t="str">
        <f>_xlfn.XLOOKUP(fRealizado5[[#This Row],[Conta]],'Plano de Contas'!A:A,'Plano de Contas'!D:D)</f>
        <v>02 - Outras Receitas</v>
      </c>
    </row>
    <row r="172" spans="1:5" hidden="1" x14ac:dyDescent="0.25">
      <c r="A172" s="23">
        <f t="shared" si="0"/>
        <v>43497</v>
      </c>
      <c r="B172" s="5" t="s">
        <v>81</v>
      </c>
      <c r="C172" s="5">
        <v>66681</v>
      </c>
      <c r="D172" s="5" t="str">
        <f>_xlfn.XLOOKUP(fRealizado5[[#This Row],[Conta]],'Plano de Contas'!A:A,'Plano de Contas'!C:C)</f>
        <v>(+) RECEITA BRUTA</v>
      </c>
      <c r="E172" s="5" t="str">
        <f>_xlfn.XLOOKUP(fRealizado5[[#This Row],[Conta]],'Plano de Contas'!A:A,'Plano de Contas'!D:D)</f>
        <v>02 - Outras Receitas</v>
      </c>
    </row>
    <row r="173" spans="1:5" hidden="1" x14ac:dyDescent="0.25">
      <c r="A173" s="23">
        <f t="shared" si="0"/>
        <v>43497</v>
      </c>
      <c r="B173" s="5" t="s">
        <v>82</v>
      </c>
      <c r="C173" s="5">
        <v>239197</v>
      </c>
      <c r="D173" s="5" t="str">
        <f>_xlfn.XLOOKUP(fRealizado5[[#This Row],[Conta]],'Plano de Contas'!A:A,'Plano de Contas'!C:C)</f>
        <v>(+) RECEITA BRUTA</v>
      </c>
      <c r="E173" s="5" t="str">
        <f>_xlfn.XLOOKUP(fRealizado5[[#This Row],[Conta]],'Plano de Contas'!A:A,'Plano de Contas'!D:D)</f>
        <v>02 - Outras Receitas</v>
      </c>
    </row>
    <row r="174" spans="1:5" hidden="1" x14ac:dyDescent="0.25">
      <c r="A174" s="23">
        <f t="shared" si="0"/>
        <v>43497</v>
      </c>
      <c r="B174" s="5" t="s">
        <v>83</v>
      </c>
      <c r="C174" s="5">
        <v>123647</v>
      </c>
      <c r="D174" s="5" t="str">
        <f>_xlfn.XLOOKUP(fRealizado5[[#This Row],[Conta]],'Plano de Contas'!A:A,'Plano de Contas'!C:C)</f>
        <v>(+) RECEITA BRUTA</v>
      </c>
      <c r="E174" s="5" t="str">
        <f>_xlfn.XLOOKUP(fRealizado5[[#This Row],[Conta]],'Plano de Contas'!A:A,'Plano de Contas'!D:D)</f>
        <v>02 - Outras Receitas</v>
      </c>
    </row>
    <row r="175" spans="1:5" hidden="1" x14ac:dyDescent="0.25">
      <c r="A175" s="23">
        <f t="shared" si="0"/>
        <v>43497</v>
      </c>
      <c r="B175" s="5" t="s">
        <v>84</v>
      </c>
      <c r="C175" s="5">
        <v>255519</v>
      </c>
      <c r="D175" s="5" t="str">
        <f>_xlfn.XLOOKUP(fRealizado5[[#This Row],[Conta]],'Plano de Contas'!A:A,'Plano de Contas'!C:C)</f>
        <v>(+) RECEITA BRUTA</v>
      </c>
      <c r="E175" s="5" t="str">
        <f>_xlfn.XLOOKUP(fRealizado5[[#This Row],[Conta]],'Plano de Contas'!A:A,'Plano de Contas'!D:D)</f>
        <v>02 - Outras Receitas</v>
      </c>
    </row>
    <row r="176" spans="1:5" hidden="1" x14ac:dyDescent="0.25">
      <c r="A176" s="23">
        <f t="shared" si="0"/>
        <v>43497</v>
      </c>
      <c r="B176" s="5" t="s">
        <v>85</v>
      </c>
      <c r="C176" s="5">
        <v>241600</v>
      </c>
      <c r="D176" s="5" t="str">
        <f>_xlfn.XLOOKUP(fRealizado5[[#This Row],[Conta]],'Plano de Contas'!A:A,'Plano de Contas'!C:C)</f>
        <v>(+) RECEITA BRUTA</v>
      </c>
      <c r="E176" s="5" t="str">
        <f>_xlfn.XLOOKUP(fRealizado5[[#This Row],[Conta]],'Plano de Contas'!A:A,'Plano de Contas'!D:D)</f>
        <v>02 - Outras Receitas</v>
      </c>
    </row>
    <row r="177" spans="1:5" hidden="1" x14ac:dyDescent="0.25">
      <c r="A177" s="23">
        <f t="shared" si="0"/>
        <v>43497</v>
      </c>
      <c r="B177" s="5" t="s">
        <v>86</v>
      </c>
      <c r="C177" s="5">
        <v>202179</v>
      </c>
      <c r="D177" s="5" t="str">
        <f>_xlfn.XLOOKUP(fRealizado5[[#This Row],[Conta]],'Plano de Contas'!A:A,'Plano de Contas'!C:C)</f>
        <v>(+) RECEITA BRUTA</v>
      </c>
      <c r="E177" s="5" t="str">
        <f>_xlfn.XLOOKUP(fRealizado5[[#This Row],[Conta]],'Plano de Contas'!A:A,'Plano de Contas'!D:D)</f>
        <v>02 - Outras Receitas</v>
      </c>
    </row>
    <row r="178" spans="1:5" hidden="1" x14ac:dyDescent="0.25">
      <c r="A178" s="23">
        <f t="shared" si="0"/>
        <v>43497</v>
      </c>
      <c r="B178" s="5" t="s">
        <v>87</v>
      </c>
      <c r="C178" s="5">
        <v>167170</v>
      </c>
      <c r="D178" s="5" t="str">
        <f>_xlfn.XLOOKUP(fRealizado5[[#This Row],[Conta]],'Plano de Contas'!A:A,'Plano de Contas'!C:C)</f>
        <v>(+) RECEITA BRUTA</v>
      </c>
      <c r="E178" s="5" t="str">
        <f>_xlfn.XLOOKUP(fRealizado5[[#This Row],[Conta]],'Plano de Contas'!A:A,'Plano de Contas'!D:D)</f>
        <v>02 - Outras Receitas</v>
      </c>
    </row>
    <row r="179" spans="1:5" hidden="1" x14ac:dyDescent="0.25">
      <c r="A179" s="23">
        <f t="shared" si="0"/>
        <v>43497</v>
      </c>
      <c r="B179" s="5" t="s">
        <v>88</v>
      </c>
      <c r="C179" s="5">
        <v>94517</v>
      </c>
      <c r="D179" s="5" t="str">
        <f>_xlfn.XLOOKUP(fRealizado5[[#This Row],[Conta]],'Plano de Contas'!A:A,'Plano de Contas'!C:C)</f>
        <v>(+) RECEITA BRUTA</v>
      </c>
      <c r="E179" s="5" t="str">
        <f>_xlfn.XLOOKUP(fRealizado5[[#This Row],[Conta]],'Plano de Contas'!A:A,'Plano de Contas'!D:D)</f>
        <v>02 - Outras Receitas</v>
      </c>
    </row>
    <row r="180" spans="1:5" hidden="1" x14ac:dyDescent="0.25">
      <c r="A180" s="23">
        <f t="shared" si="0"/>
        <v>43497</v>
      </c>
      <c r="B180" s="5" t="s">
        <v>89</v>
      </c>
      <c r="C180" s="5">
        <v>171489</v>
      </c>
      <c r="D180" s="5" t="str">
        <f>_xlfn.XLOOKUP(fRealizado5[[#This Row],[Conta]],'Plano de Contas'!A:A,'Plano de Contas'!C:C)</f>
        <v>(+) RECEITA BRUTA</v>
      </c>
      <c r="E180" s="5" t="str">
        <f>_xlfn.XLOOKUP(fRealizado5[[#This Row],[Conta]],'Plano de Contas'!A:A,'Plano de Contas'!D:D)</f>
        <v>02 - Outras Receitas</v>
      </c>
    </row>
    <row r="181" spans="1:5" hidden="1" x14ac:dyDescent="0.25">
      <c r="A181" s="23">
        <f t="shared" si="0"/>
        <v>43497</v>
      </c>
      <c r="B181" s="5" t="s">
        <v>90</v>
      </c>
      <c r="C181" s="5">
        <v>67295</v>
      </c>
      <c r="D181" s="5" t="str">
        <f>_xlfn.XLOOKUP(fRealizado5[[#This Row],[Conta]],'Plano de Contas'!A:A,'Plano de Contas'!C:C)</f>
        <v>(+) RECEITA BRUTA</v>
      </c>
      <c r="E181" s="5" t="str">
        <f>_xlfn.XLOOKUP(fRealizado5[[#This Row],[Conta]],'Plano de Contas'!A:A,'Plano de Contas'!D:D)</f>
        <v>02 - Outras Receitas</v>
      </c>
    </row>
    <row r="182" spans="1:5" hidden="1" x14ac:dyDescent="0.25">
      <c r="A182" s="23">
        <f t="shared" si="0"/>
        <v>43497</v>
      </c>
      <c r="B182" s="5" t="s">
        <v>91</v>
      </c>
      <c r="C182" s="5">
        <v>193352</v>
      </c>
      <c r="D182" s="5" t="str">
        <f>_xlfn.XLOOKUP(fRealizado5[[#This Row],[Conta]],'Plano de Contas'!A:A,'Plano de Contas'!C:C)</f>
        <v>(+) RECEITA BRUTA</v>
      </c>
      <c r="E182" s="5" t="str">
        <f>_xlfn.XLOOKUP(fRealizado5[[#This Row],[Conta]],'Plano de Contas'!A:A,'Plano de Contas'!D:D)</f>
        <v>02 - Outras Receitas</v>
      </c>
    </row>
    <row r="183" spans="1:5" hidden="1" x14ac:dyDescent="0.25">
      <c r="A183" s="23">
        <f t="shared" si="0"/>
        <v>43497</v>
      </c>
      <c r="B183" s="5" t="s">
        <v>92</v>
      </c>
      <c r="C183" s="5">
        <v>268916</v>
      </c>
      <c r="D183" s="5" t="str">
        <f>_xlfn.XLOOKUP(fRealizado5[[#This Row],[Conta]],'Plano de Contas'!A:A,'Plano de Contas'!C:C)</f>
        <v>(+) RECEITA BRUTA</v>
      </c>
      <c r="E183" s="5" t="str">
        <f>_xlfn.XLOOKUP(fRealizado5[[#This Row],[Conta]],'Plano de Contas'!A:A,'Plano de Contas'!D:D)</f>
        <v>02 - Outras Receitas</v>
      </c>
    </row>
    <row r="184" spans="1:5" hidden="1" x14ac:dyDescent="0.25">
      <c r="A184" s="23">
        <f t="shared" si="0"/>
        <v>43497</v>
      </c>
      <c r="B184" s="5" t="s">
        <v>93</v>
      </c>
      <c r="C184" s="5">
        <v>73654</v>
      </c>
      <c r="D184" s="5" t="str">
        <f>_xlfn.XLOOKUP(fRealizado5[[#This Row],[Conta]],'Plano de Contas'!A:A,'Plano de Contas'!C:C)</f>
        <v>(+) RECEITA BRUTA</v>
      </c>
      <c r="E184" s="5" t="str">
        <f>_xlfn.XLOOKUP(fRealizado5[[#This Row],[Conta]],'Plano de Contas'!A:A,'Plano de Contas'!D:D)</f>
        <v>02 - Outras Receitas</v>
      </c>
    </row>
    <row r="185" spans="1:5" hidden="1" x14ac:dyDescent="0.25">
      <c r="A185" s="23">
        <f t="shared" si="0"/>
        <v>43497</v>
      </c>
      <c r="B185" s="5" t="s">
        <v>94</v>
      </c>
      <c r="C185" s="5">
        <v>163330</v>
      </c>
      <c r="D185" s="5" t="str">
        <f>_xlfn.XLOOKUP(fRealizado5[[#This Row],[Conta]],'Plano de Contas'!A:A,'Plano de Contas'!C:C)</f>
        <v>(+) RECEITA BRUTA</v>
      </c>
      <c r="E185" s="5" t="str">
        <f>_xlfn.XLOOKUP(fRealizado5[[#This Row],[Conta]],'Plano de Contas'!A:A,'Plano de Contas'!D:D)</f>
        <v>02 - Outras Receitas</v>
      </c>
    </row>
    <row r="186" spans="1:5" hidden="1" x14ac:dyDescent="0.25">
      <c r="A186" s="23">
        <f t="shared" si="0"/>
        <v>43497</v>
      </c>
      <c r="B186" s="5" t="s">
        <v>95</v>
      </c>
      <c r="C186" s="5">
        <v>138611</v>
      </c>
      <c r="D186" s="5" t="str">
        <f>_xlfn.XLOOKUP(fRealizado5[[#This Row],[Conta]],'Plano de Contas'!A:A,'Plano de Contas'!C:C)</f>
        <v>(+) RECEITA BRUTA</v>
      </c>
      <c r="E186" s="5" t="str">
        <f>_xlfn.XLOOKUP(fRealizado5[[#This Row],[Conta]],'Plano de Contas'!A:A,'Plano de Contas'!D:D)</f>
        <v>02 - Outras Receitas</v>
      </c>
    </row>
    <row r="187" spans="1:5" hidden="1" x14ac:dyDescent="0.25">
      <c r="A187" s="23">
        <f t="shared" si="0"/>
        <v>43497</v>
      </c>
      <c r="B187" s="5" t="s">
        <v>96</v>
      </c>
      <c r="C187" s="5">
        <v>150892</v>
      </c>
      <c r="D187" s="5" t="str">
        <f>_xlfn.XLOOKUP(fRealizado5[[#This Row],[Conta]],'Plano de Contas'!A:A,'Plano de Contas'!C:C)</f>
        <v>(+) RECEITA BRUTA</v>
      </c>
      <c r="E187" s="5" t="str">
        <f>_xlfn.XLOOKUP(fRealizado5[[#This Row],[Conta]],'Plano de Contas'!A:A,'Plano de Contas'!D:D)</f>
        <v>02 - Outras Receitas</v>
      </c>
    </row>
    <row r="188" spans="1:5" hidden="1" x14ac:dyDescent="0.25">
      <c r="A188" s="23">
        <f t="shared" si="0"/>
        <v>43497</v>
      </c>
      <c r="B188" s="5" t="s">
        <v>97</v>
      </c>
      <c r="C188" s="5">
        <v>286877</v>
      </c>
      <c r="D188" s="5" t="str">
        <f>_xlfn.XLOOKUP(fRealizado5[[#This Row],[Conta]],'Plano de Contas'!A:A,'Plano de Contas'!C:C)</f>
        <v>(+) RECEITA BRUTA</v>
      </c>
      <c r="E188" s="5" t="str">
        <f>_xlfn.XLOOKUP(fRealizado5[[#This Row],[Conta]],'Plano de Contas'!A:A,'Plano de Contas'!D:D)</f>
        <v>02 - Outras Receitas</v>
      </c>
    </row>
    <row r="189" spans="1:5" hidden="1" x14ac:dyDescent="0.25">
      <c r="A189" s="23">
        <f t="shared" si="0"/>
        <v>43497</v>
      </c>
      <c r="B189" s="5" t="s">
        <v>98</v>
      </c>
      <c r="C189" s="5">
        <v>297535</v>
      </c>
      <c r="D189" s="5" t="str">
        <f>_xlfn.XLOOKUP(fRealizado5[[#This Row],[Conta]],'Plano de Contas'!A:A,'Plano de Contas'!C:C)</f>
        <v>(+) RECEITA BRUTA</v>
      </c>
      <c r="E189" s="5" t="str">
        <f>_xlfn.XLOOKUP(fRealizado5[[#This Row],[Conta]],'Plano de Contas'!A:A,'Plano de Contas'!D:D)</f>
        <v>02 - Outras Receitas</v>
      </c>
    </row>
    <row r="190" spans="1:5" hidden="1" x14ac:dyDescent="0.25">
      <c r="A190" s="23">
        <f t="shared" si="0"/>
        <v>43497</v>
      </c>
      <c r="B190" s="5" t="s">
        <v>99</v>
      </c>
      <c r="C190" s="5">
        <v>67107</v>
      </c>
      <c r="D190" s="5" t="str">
        <f>_xlfn.XLOOKUP(fRealizado5[[#This Row],[Conta]],'Plano de Contas'!A:A,'Plano de Contas'!C:C)</f>
        <v>(+) RECEITA BRUTA</v>
      </c>
      <c r="E190" s="5" t="str">
        <f>_xlfn.XLOOKUP(fRealizado5[[#This Row],[Conta]],'Plano de Contas'!A:A,'Plano de Contas'!D:D)</f>
        <v>02 - Outras Receitas</v>
      </c>
    </row>
    <row r="191" spans="1:5" hidden="1" x14ac:dyDescent="0.25">
      <c r="A191" s="23">
        <f t="shared" si="0"/>
        <v>43497</v>
      </c>
      <c r="B191" s="5" t="s">
        <v>100</v>
      </c>
      <c r="C191" s="5">
        <v>289162</v>
      </c>
      <c r="D191" s="5" t="str">
        <f>_xlfn.XLOOKUP(fRealizado5[[#This Row],[Conta]],'Plano de Contas'!A:A,'Plano de Contas'!C:C)</f>
        <v>(+) RECEITA BRUTA</v>
      </c>
      <c r="E191" s="5" t="str">
        <f>_xlfn.XLOOKUP(fRealizado5[[#This Row],[Conta]],'Plano de Contas'!A:A,'Plano de Contas'!D:D)</f>
        <v>02 - Outras Receitas</v>
      </c>
    </row>
    <row r="192" spans="1:5" hidden="1" x14ac:dyDescent="0.25">
      <c r="A192" s="23">
        <f t="shared" si="0"/>
        <v>43497</v>
      </c>
      <c r="B192" s="5" t="s">
        <v>101</v>
      </c>
      <c r="C192" s="5">
        <v>202247</v>
      </c>
      <c r="D192" s="5" t="str">
        <f>_xlfn.XLOOKUP(fRealizado5[[#This Row],[Conta]],'Plano de Contas'!A:A,'Plano de Contas'!C:C)</f>
        <v>(+) RECEITA BRUTA</v>
      </c>
      <c r="E192" s="5" t="str">
        <f>_xlfn.XLOOKUP(fRealizado5[[#This Row],[Conta]],'Plano de Contas'!A:A,'Plano de Contas'!D:D)</f>
        <v>02 - Outras Receitas</v>
      </c>
    </row>
    <row r="193" spans="1:5" hidden="1" x14ac:dyDescent="0.25">
      <c r="A193" s="23">
        <f t="shared" si="0"/>
        <v>43497</v>
      </c>
      <c r="B193" s="5" t="s">
        <v>102</v>
      </c>
      <c r="C193" s="5">
        <v>277975</v>
      </c>
      <c r="D193" s="5" t="str">
        <f>_xlfn.XLOOKUP(fRealizado5[[#This Row],[Conta]],'Plano de Contas'!A:A,'Plano de Contas'!C:C)</f>
        <v>(+) RECEITA BRUTA</v>
      </c>
      <c r="E193" s="5" t="str">
        <f>_xlfn.XLOOKUP(fRealizado5[[#This Row],[Conta]],'Plano de Contas'!A:A,'Plano de Contas'!D:D)</f>
        <v>02 - Outras Receitas</v>
      </c>
    </row>
    <row r="194" spans="1:5" hidden="1" x14ac:dyDescent="0.25">
      <c r="A194" s="23">
        <f t="shared" si="0"/>
        <v>43497</v>
      </c>
      <c r="B194" s="5" t="s">
        <v>103</v>
      </c>
      <c r="C194" s="5">
        <v>109609</v>
      </c>
      <c r="D194" s="5" t="str">
        <f>_xlfn.XLOOKUP(fRealizado5[[#This Row],[Conta]],'Plano de Contas'!A:A,'Plano de Contas'!C:C)</f>
        <v>(+) RECEITA BRUTA</v>
      </c>
      <c r="E194" s="5" t="str">
        <f>_xlfn.XLOOKUP(fRealizado5[[#This Row],[Conta]],'Plano de Contas'!A:A,'Plano de Contas'!D:D)</f>
        <v>02 - Outras Receitas</v>
      </c>
    </row>
    <row r="195" spans="1:5" hidden="1" x14ac:dyDescent="0.25">
      <c r="A195" s="23">
        <f t="shared" si="0"/>
        <v>43497</v>
      </c>
      <c r="B195" s="5" t="s">
        <v>104</v>
      </c>
      <c r="C195" s="5">
        <v>88512</v>
      </c>
      <c r="D195" s="5" t="str">
        <f>_xlfn.XLOOKUP(fRealizado5[[#This Row],[Conta]],'Plano de Contas'!A:A,'Plano de Contas'!C:C)</f>
        <v>(+) RECEITA BRUTA</v>
      </c>
      <c r="E195" s="5" t="str">
        <f>_xlfn.XLOOKUP(fRealizado5[[#This Row],[Conta]],'Plano de Contas'!A:A,'Plano de Contas'!D:D)</f>
        <v>02 - Outras Receitas</v>
      </c>
    </row>
    <row r="196" spans="1:5" hidden="1" x14ac:dyDescent="0.25">
      <c r="A196" s="23">
        <f t="shared" si="0"/>
        <v>43497</v>
      </c>
      <c r="B196" s="5" t="s">
        <v>105</v>
      </c>
      <c r="C196" s="5">
        <v>169344</v>
      </c>
      <c r="D196" s="5" t="str">
        <f>_xlfn.XLOOKUP(fRealizado5[[#This Row],[Conta]],'Plano de Contas'!A:A,'Plano de Contas'!C:C)</f>
        <v>(+) RECEITA BRUTA</v>
      </c>
      <c r="E196" s="5" t="str">
        <f>_xlfn.XLOOKUP(fRealizado5[[#This Row],[Conta]],'Plano de Contas'!A:A,'Plano de Contas'!D:D)</f>
        <v>02 - Outras Receitas</v>
      </c>
    </row>
    <row r="197" spans="1:5" hidden="1" x14ac:dyDescent="0.25">
      <c r="A197" s="23">
        <f t="shared" si="0"/>
        <v>43497</v>
      </c>
      <c r="B197" s="5" t="s">
        <v>106</v>
      </c>
      <c r="C197" s="5">
        <v>123928</v>
      </c>
      <c r="D197" s="5" t="str">
        <f>_xlfn.XLOOKUP(fRealizado5[[#This Row],[Conta]],'Plano de Contas'!A:A,'Plano de Contas'!C:C)</f>
        <v>(+) RECEITA BRUTA</v>
      </c>
      <c r="E197" s="5" t="str">
        <f>_xlfn.XLOOKUP(fRealizado5[[#This Row],[Conta]],'Plano de Contas'!A:A,'Plano de Contas'!D:D)</f>
        <v>02 - Outras Receitas</v>
      </c>
    </row>
    <row r="198" spans="1:5" hidden="1" x14ac:dyDescent="0.25">
      <c r="A198" s="23">
        <f t="shared" si="0"/>
        <v>43497</v>
      </c>
      <c r="B198" s="5" t="s">
        <v>107</v>
      </c>
      <c r="C198" s="5">
        <v>123715</v>
      </c>
      <c r="D198" s="5" t="str">
        <f>_xlfn.XLOOKUP(fRealizado5[[#This Row],[Conta]],'Plano de Contas'!A:A,'Plano de Contas'!C:C)</f>
        <v>(+) RECEITA BRUTA</v>
      </c>
      <c r="E198" s="5" t="str">
        <f>_xlfn.XLOOKUP(fRealizado5[[#This Row],[Conta]],'Plano de Contas'!A:A,'Plano de Contas'!D:D)</f>
        <v>02 - Outras Receitas</v>
      </c>
    </row>
    <row r="199" spans="1:5" hidden="1" x14ac:dyDescent="0.25">
      <c r="A199" s="23">
        <f t="shared" si="0"/>
        <v>43497</v>
      </c>
      <c r="B199" s="5" t="s">
        <v>108</v>
      </c>
      <c r="C199" s="5">
        <v>267080</v>
      </c>
      <c r="D199" s="5" t="str">
        <f>_xlfn.XLOOKUP(fRealizado5[[#This Row],[Conta]],'Plano de Contas'!A:A,'Plano de Contas'!C:C)</f>
        <v>(+) RECEITA BRUTA</v>
      </c>
      <c r="E199" s="5" t="str">
        <f>_xlfn.XLOOKUP(fRealizado5[[#This Row],[Conta]],'Plano de Contas'!A:A,'Plano de Contas'!D:D)</f>
        <v>02 - Outras Receitas</v>
      </c>
    </row>
    <row r="200" spans="1:5" hidden="1" x14ac:dyDescent="0.25">
      <c r="A200" s="23">
        <f t="shared" si="0"/>
        <v>43497</v>
      </c>
      <c r="B200" s="5" t="s">
        <v>109</v>
      </c>
      <c r="C200" s="5">
        <v>103168</v>
      </c>
      <c r="D200" s="5" t="str">
        <f>_xlfn.XLOOKUP(fRealizado5[[#This Row],[Conta]],'Plano de Contas'!A:A,'Plano de Contas'!C:C)</f>
        <v>(+) RECEITA BRUTA</v>
      </c>
      <c r="E200" s="5" t="str">
        <f>_xlfn.XLOOKUP(fRealizado5[[#This Row],[Conta]],'Plano de Contas'!A:A,'Plano de Contas'!D:D)</f>
        <v>02 - Outras Receitas</v>
      </c>
    </row>
    <row r="201" spans="1:5" hidden="1" x14ac:dyDescent="0.25">
      <c r="A201" s="23">
        <f t="shared" si="0"/>
        <v>43497</v>
      </c>
      <c r="B201" s="5" t="s">
        <v>110</v>
      </c>
      <c r="C201" s="5">
        <v>-8979</v>
      </c>
      <c r="D201" s="5" t="str">
        <f>_xlfn.XLOOKUP(fRealizado5[[#This Row],[Conta]],'Plano de Contas'!A:A,'Plano de Contas'!C:C)</f>
        <v>(-) Deduções da Receita</v>
      </c>
      <c r="E201" s="5" t="str">
        <f>_xlfn.XLOOKUP(fRealizado5[[#This Row],[Conta]],'Plano de Contas'!A:A,'Plano de Contas'!D:D)</f>
        <v>03 - Devoluções de Produtos</v>
      </c>
    </row>
    <row r="202" spans="1:5" hidden="1" x14ac:dyDescent="0.25">
      <c r="A202" s="23">
        <f t="shared" si="0"/>
        <v>43497</v>
      </c>
      <c r="B202" s="5" t="s">
        <v>111</v>
      </c>
      <c r="C202" s="5">
        <v>-4268</v>
      </c>
      <c r="D202" s="5" t="str">
        <f>_xlfn.XLOOKUP(fRealizado5[[#This Row],[Conta]],'Plano de Contas'!A:A,'Plano de Contas'!C:C)</f>
        <v>(-) Deduções da Receita</v>
      </c>
      <c r="E202" s="5" t="str">
        <f>_xlfn.XLOOKUP(fRealizado5[[#This Row],[Conta]],'Plano de Contas'!A:A,'Plano de Contas'!D:D)</f>
        <v>03 - Devoluções de Produtos</v>
      </c>
    </row>
    <row r="203" spans="1:5" hidden="1" x14ac:dyDescent="0.25">
      <c r="A203" s="23">
        <f t="shared" si="0"/>
        <v>43497</v>
      </c>
      <c r="B203" s="5" t="s">
        <v>112</v>
      </c>
      <c r="C203" s="5">
        <v>-4672</v>
      </c>
      <c r="D203" s="5" t="str">
        <f>_xlfn.XLOOKUP(fRealizado5[[#This Row],[Conta]],'Plano de Contas'!A:A,'Plano de Contas'!C:C)</f>
        <v>(-) Deduções da Receita</v>
      </c>
      <c r="E203" s="5" t="str">
        <f>_xlfn.XLOOKUP(fRealizado5[[#This Row],[Conta]],'Plano de Contas'!A:A,'Plano de Contas'!D:D)</f>
        <v>03 - Devoluções de Produtos</v>
      </c>
    </row>
    <row r="204" spans="1:5" hidden="1" x14ac:dyDescent="0.25">
      <c r="A204" s="23">
        <f t="shared" si="0"/>
        <v>43497</v>
      </c>
      <c r="B204" s="5" t="s">
        <v>113</v>
      </c>
      <c r="C204" s="5">
        <v>-4999</v>
      </c>
      <c r="D204" s="5" t="str">
        <f>_xlfn.XLOOKUP(fRealizado5[[#This Row],[Conta]],'Plano de Contas'!A:A,'Plano de Contas'!C:C)</f>
        <v>(-) Deduções da Receita</v>
      </c>
      <c r="E204" s="5" t="str">
        <f>_xlfn.XLOOKUP(fRealizado5[[#This Row],[Conta]],'Plano de Contas'!A:A,'Plano de Contas'!D:D)</f>
        <v>03 - Devoluções de Produtos</v>
      </c>
    </row>
    <row r="205" spans="1:5" hidden="1" x14ac:dyDescent="0.25">
      <c r="A205" s="23">
        <f t="shared" si="0"/>
        <v>43497</v>
      </c>
      <c r="B205" s="5" t="s">
        <v>114</v>
      </c>
      <c r="C205" s="5">
        <v>-6372</v>
      </c>
      <c r="D205" s="5" t="str">
        <f>_xlfn.XLOOKUP(fRealizado5[[#This Row],[Conta]],'Plano de Contas'!A:A,'Plano de Contas'!C:C)</f>
        <v>(-) Deduções da Receita</v>
      </c>
      <c r="E205" s="5" t="str">
        <f>_xlfn.XLOOKUP(fRealizado5[[#This Row],[Conta]],'Plano de Contas'!A:A,'Plano de Contas'!D:D)</f>
        <v>03 - Devoluções de Produtos</v>
      </c>
    </row>
    <row r="206" spans="1:5" hidden="1" x14ac:dyDescent="0.25">
      <c r="A206" s="23">
        <f t="shared" si="0"/>
        <v>43497</v>
      </c>
      <c r="B206" s="5" t="s">
        <v>115</v>
      </c>
      <c r="C206" s="5">
        <v>-9784</v>
      </c>
      <c r="D206" s="5" t="str">
        <f>_xlfn.XLOOKUP(fRealizado5[[#This Row],[Conta]],'Plano de Contas'!A:A,'Plano de Contas'!C:C)</f>
        <v>(-) Deduções da Receita</v>
      </c>
      <c r="E206" s="5" t="str">
        <f>_xlfn.XLOOKUP(fRealizado5[[#This Row],[Conta]],'Plano de Contas'!A:A,'Plano de Contas'!D:D)</f>
        <v>03 - Devoluções de Produtos</v>
      </c>
    </row>
    <row r="207" spans="1:5" hidden="1" x14ac:dyDescent="0.25">
      <c r="A207" s="23">
        <f t="shared" ref="A207:A270" si="1">EDATE(A67,1)</f>
        <v>43497</v>
      </c>
      <c r="B207" s="5" t="s">
        <v>116</v>
      </c>
      <c r="C207" s="5">
        <v>-2413</v>
      </c>
      <c r="D207" s="5" t="str">
        <f>_xlfn.XLOOKUP(fRealizado5[[#This Row],[Conta]],'Plano de Contas'!A:A,'Plano de Contas'!C:C)</f>
        <v>(-) Deduções da Receita</v>
      </c>
      <c r="E207" s="5" t="str">
        <f>_xlfn.XLOOKUP(fRealizado5[[#This Row],[Conta]],'Plano de Contas'!A:A,'Plano de Contas'!D:D)</f>
        <v>03 - Devoluções de Produtos</v>
      </c>
    </row>
    <row r="208" spans="1:5" hidden="1" x14ac:dyDescent="0.25">
      <c r="A208" s="23">
        <f t="shared" si="1"/>
        <v>43497</v>
      </c>
      <c r="B208" s="5" t="s">
        <v>117</v>
      </c>
      <c r="C208" s="5">
        <v>-6255</v>
      </c>
      <c r="D208" s="5" t="str">
        <f>_xlfn.XLOOKUP(fRealizado5[[#This Row],[Conta]],'Plano de Contas'!A:A,'Plano de Contas'!C:C)</f>
        <v>(-) Deduções da Receita</v>
      </c>
      <c r="E208" s="5" t="str">
        <f>_xlfn.XLOOKUP(fRealizado5[[#This Row],[Conta]],'Plano de Contas'!A:A,'Plano de Contas'!D:D)</f>
        <v>03 - Devoluções de Produtos</v>
      </c>
    </row>
    <row r="209" spans="1:5" hidden="1" x14ac:dyDescent="0.25">
      <c r="A209" s="23">
        <f t="shared" si="1"/>
        <v>43497</v>
      </c>
      <c r="B209" s="5" t="s">
        <v>118</v>
      </c>
      <c r="C209" s="5">
        <v>-2601</v>
      </c>
      <c r="D209" s="5" t="str">
        <f>_xlfn.XLOOKUP(fRealizado5[[#This Row],[Conta]],'Plano de Contas'!A:A,'Plano de Contas'!C:C)</f>
        <v>(-) Deduções da Receita</v>
      </c>
      <c r="E209" s="5" t="str">
        <f>_xlfn.XLOOKUP(fRealizado5[[#This Row],[Conta]],'Plano de Contas'!A:A,'Plano de Contas'!D:D)</f>
        <v>03 - Devoluções de Produtos</v>
      </c>
    </row>
    <row r="210" spans="1:5" hidden="1" x14ac:dyDescent="0.25">
      <c r="A210" s="23">
        <f t="shared" si="1"/>
        <v>43497</v>
      </c>
      <c r="B210" s="5" t="s">
        <v>119</v>
      </c>
      <c r="C210" s="5">
        <v>-3399</v>
      </c>
      <c r="D210" s="5" t="str">
        <f>_xlfn.XLOOKUP(fRealizado5[[#This Row],[Conta]],'Plano de Contas'!A:A,'Plano de Contas'!C:C)</f>
        <v>(-) Deduções da Receita</v>
      </c>
      <c r="E210" s="5" t="str">
        <f>_xlfn.XLOOKUP(fRealizado5[[#This Row],[Conta]],'Plano de Contas'!A:A,'Plano de Contas'!D:D)</f>
        <v>03 - Devoluções de Produtos</v>
      </c>
    </row>
    <row r="211" spans="1:5" hidden="1" x14ac:dyDescent="0.25">
      <c r="A211" s="23">
        <f t="shared" si="1"/>
        <v>43497</v>
      </c>
      <c r="B211" s="5" t="s">
        <v>120</v>
      </c>
      <c r="C211" s="5">
        <v>-2515</v>
      </c>
      <c r="D211" s="5" t="str">
        <f>_xlfn.XLOOKUP(fRealizado5[[#This Row],[Conta]],'Plano de Contas'!A:A,'Plano de Contas'!C:C)</f>
        <v>(-) Deduções da Receita</v>
      </c>
      <c r="E211" s="5" t="str">
        <f>_xlfn.XLOOKUP(fRealizado5[[#This Row],[Conta]],'Plano de Contas'!A:A,'Plano de Contas'!D:D)</f>
        <v>03 - Devoluções de Produtos</v>
      </c>
    </row>
    <row r="212" spans="1:5" hidden="1" x14ac:dyDescent="0.25">
      <c r="A212" s="23">
        <f t="shared" si="1"/>
        <v>43497</v>
      </c>
      <c r="B212" s="5" t="s">
        <v>121</v>
      </c>
      <c r="C212" s="5">
        <v>-8293</v>
      </c>
      <c r="D212" s="5" t="str">
        <f>_xlfn.XLOOKUP(fRealizado5[[#This Row],[Conta]],'Plano de Contas'!A:A,'Plano de Contas'!C:C)</f>
        <v>(-) Deduções da Receita</v>
      </c>
      <c r="E212" s="5" t="str">
        <f>_xlfn.XLOOKUP(fRealizado5[[#This Row],[Conta]],'Plano de Contas'!A:A,'Plano de Contas'!D:D)</f>
        <v>03 - Devoluções de Produtos</v>
      </c>
    </row>
    <row r="213" spans="1:5" hidden="1" x14ac:dyDescent="0.25">
      <c r="A213" s="23">
        <f t="shared" si="1"/>
        <v>43497</v>
      </c>
      <c r="B213" s="5" t="s">
        <v>122</v>
      </c>
      <c r="C213" s="5">
        <v>-8893</v>
      </c>
      <c r="D213" s="5" t="str">
        <f>_xlfn.XLOOKUP(fRealizado5[[#This Row],[Conta]],'Plano de Contas'!A:A,'Plano de Contas'!C:C)</f>
        <v>(-) Deduções da Receita</v>
      </c>
      <c r="E213" s="5" t="str">
        <f>_xlfn.XLOOKUP(fRealizado5[[#This Row],[Conta]],'Plano de Contas'!A:A,'Plano de Contas'!D:D)</f>
        <v>03 - Devoluções de Produtos</v>
      </c>
    </row>
    <row r="214" spans="1:5" hidden="1" x14ac:dyDescent="0.25">
      <c r="A214" s="23">
        <f t="shared" si="1"/>
        <v>43497</v>
      </c>
      <c r="B214" s="5" t="s">
        <v>123</v>
      </c>
      <c r="C214" s="5">
        <v>-1664</v>
      </c>
      <c r="D214" s="5" t="str">
        <f>_xlfn.XLOOKUP(fRealizado5[[#This Row],[Conta]],'Plano de Contas'!A:A,'Plano de Contas'!C:C)</f>
        <v>(-) Deduções da Receita</v>
      </c>
      <c r="E214" s="5" t="str">
        <f>_xlfn.XLOOKUP(fRealizado5[[#This Row],[Conta]],'Plano de Contas'!A:A,'Plano de Contas'!D:D)</f>
        <v>03 - Devoluções de Produtos</v>
      </c>
    </row>
    <row r="215" spans="1:5" hidden="1" x14ac:dyDescent="0.25">
      <c r="A215" s="23">
        <f t="shared" si="1"/>
        <v>43497</v>
      </c>
      <c r="B215" s="5" t="s">
        <v>124</v>
      </c>
      <c r="C215" s="5">
        <v>-6452</v>
      </c>
      <c r="D215" s="5" t="str">
        <f>_xlfn.XLOOKUP(fRealizado5[[#This Row],[Conta]],'Plano de Contas'!A:A,'Plano de Contas'!C:C)</f>
        <v>(-) Deduções da Receita</v>
      </c>
      <c r="E215" s="5" t="str">
        <f>_xlfn.XLOOKUP(fRealizado5[[#This Row],[Conta]],'Plano de Contas'!A:A,'Plano de Contas'!D:D)</f>
        <v>03 - Devoluções de Produtos</v>
      </c>
    </row>
    <row r="216" spans="1:5" hidden="1" x14ac:dyDescent="0.25">
      <c r="A216" s="23">
        <f t="shared" si="1"/>
        <v>43497</v>
      </c>
      <c r="B216" s="5" t="s">
        <v>125</v>
      </c>
      <c r="C216" s="5">
        <v>-8358</v>
      </c>
      <c r="D216" s="5" t="str">
        <f>_xlfn.XLOOKUP(fRealizado5[[#This Row],[Conta]],'Plano de Contas'!A:A,'Plano de Contas'!C:C)</f>
        <v>(-) Deduções da Receita</v>
      </c>
      <c r="E216" s="5" t="str">
        <f>_xlfn.XLOOKUP(fRealizado5[[#This Row],[Conta]],'Plano de Contas'!A:A,'Plano de Contas'!D:D)</f>
        <v>03 - Devoluções de Produtos</v>
      </c>
    </row>
    <row r="217" spans="1:5" hidden="1" x14ac:dyDescent="0.25">
      <c r="A217" s="23">
        <f t="shared" si="1"/>
        <v>43497</v>
      </c>
      <c r="B217" s="5" t="s">
        <v>126</v>
      </c>
      <c r="C217" s="5">
        <v>-5328</v>
      </c>
      <c r="D217" s="5" t="str">
        <f>_xlfn.XLOOKUP(fRealizado5[[#This Row],[Conta]],'Plano de Contas'!A:A,'Plano de Contas'!C:C)</f>
        <v>(-) Deduções da Receita</v>
      </c>
      <c r="E217" s="5" t="str">
        <f>_xlfn.XLOOKUP(fRealizado5[[#This Row],[Conta]],'Plano de Contas'!A:A,'Plano de Contas'!D:D)</f>
        <v>03 - Devoluções de Produtos</v>
      </c>
    </row>
    <row r="218" spans="1:5" hidden="1" x14ac:dyDescent="0.25">
      <c r="A218" s="23">
        <f t="shared" si="1"/>
        <v>43497</v>
      </c>
      <c r="B218" s="5" t="s">
        <v>127</v>
      </c>
      <c r="C218" s="5">
        <v>-8344</v>
      </c>
      <c r="D218" s="5" t="str">
        <f>_xlfn.XLOOKUP(fRealizado5[[#This Row],[Conta]],'Plano de Contas'!A:A,'Plano de Contas'!C:C)</f>
        <v>(-) Deduções da Receita</v>
      </c>
      <c r="E218" s="5" t="str">
        <f>_xlfn.XLOOKUP(fRealizado5[[#This Row],[Conta]],'Plano de Contas'!A:A,'Plano de Contas'!D:D)</f>
        <v>03 - Devoluções de Produtos</v>
      </c>
    </row>
    <row r="219" spans="1:5" hidden="1" x14ac:dyDescent="0.25">
      <c r="A219" s="23">
        <f t="shared" si="1"/>
        <v>43497</v>
      </c>
      <c r="B219" s="5" t="s">
        <v>128</v>
      </c>
      <c r="C219" s="5">
        <v>-1724</v>
      </c>
      <c r="D219" s="5" t="str">
        <f>_xlfn.XLOOKUP(fRealizado5[[#This Row],[Conta]],'Plano de Contas'!A:A,'Plano de Contas'!C:C)</f>
        <v>(-) Deduções da Receita</v>
      </c>
      <c r="E219" s="5" t="str">
        <f>_xlfn.XLOOKUP(fRealizado5[[#This Row],[Conta]],'Plano de Contas'!A:A,'Plano de Contas'!D:D)</f>
        <v>03 - Devoluções de Produtos</v>
      </c>
    </row>
    <row r="220" spans="1:5" hidden="1" x14ac:dyDescent="0.25">
      <c r="A220" s="23">
        <f t="shared" si="1"/>
        <v>43497</v>
      </c>
      <c r="B220" s="5" t="s">
        <v>129</v>
      </c>
      <c r="C220" s="5">
        <v>-4776</v>
      </c>
      <c r="D220" s="5" t="str">
        <f>_xlfn.XLOOKUP(fRealizado5[[#This Row],[Conta]],'Plano de Contas'!A:A,'Plano de Contas'!C:C)</f>
        <v>(-) Deduções da Receita</v>
      </c>
      <c r="E220" s="5" t="str">
        <f>_xlfn.XLOOKUP(fRealizado5[[#This Row],[Conta]],'Plano de Contas'!A:A,'Plano de Contas'!D:D)</f>
        <v>03 - Devoluções de Produtos</v>
      </c>
    </row>
    <row r="221" spans="1:5" hidden="1" x14ac:dyDescent="0.25">
      <c r="A221" s="23">
        <f t="shared" si="1"/>
        <v>43497</v>
      </c>
      <c r="B221" s="5" t="s">
        <v>130</v>
      </c>
      <c r="C221" s="5">
        <v>-4575</v>
      </c>
      <c r="D221" s="5" t="str">
        <f>_xlfn.XLOOKUP(fRealizado5[[#This Row],[Conta]],'Plano de Contas'!A:A,'Plano de Contas'!C:C)</f>
        <v>(-) Deduções da Receita</v>
      </c>
      <c r="E221" s="5" t="str">
        <f>_xlfn.XLOOKUP(fRealizado5[[#This Row],[Conta]],'Plano de Contas'!A:A,'Plano de Contas'!D:D)</f>
        <v>03 - Devoluções de Produtos</v>
      </c>
    </row>
    <row r="222" spans="1:5" hidden="1" x14ac:dyDescent="0.25">
      <c r="A222" s="23">
        <f t="shared" si="1"/>
        <v>43497</v>
      </c>
      <c r="B222" s="5" t="s">
        <v>131</v>
      </c>
      <c r="C222" s="5">
        <v>-2784</v>
      </c>
      <c r="D222" s="5" t="str">
        <f>_xlfn.XLOOKUP(fRealizado5[[#This Row],[Conta]],'Plano de Contas'!A:A,'Plano de Contas'!C:C)</f>
        <v>(-) Deduções da Receita</v>
      </c>
      <c r="E222" s="5" t="str">
        <f>_xlfn.XLOOKUP(fRealizado5[[#This Row],[Conta]],'Plano de Contas'!A:A,'Plano de Contas'!D:D)</f>
        <v>03 - Devoluções de Produtos</v>
      </c>
    </row>
    <row r="223" spans="1:5" hidden="1" x14ac:dyDescent="0.25">
      <c r="A223" s="23">
        <f t="shared" si="1"/>
        <v>43497</v>
      </c>
      <c r="B223" s="5" t="s">
        <v>132</v>
      </c>
      <c r="C223" s="5">
        <v>-4664</v>
      </c>
      <c r="D223" s="5" t="str">
        <f>_xlfn.XLOOKUP(fRealizado5[[#This Row],[Conta]],'Plano de Contas'!A:A,'Plano de Contas'!C:C)</f>
        <v>(-) Deduções da Receita</v>
      </c>
      <c r="E223" s="5" t="str">
        <f>_xlfn.XLOOKUP(fRealizado5[[#This Row],[Conta]],'Plano de Contas'!A:A,'Plano de Contas'!D:D)</f>
        <v>03 - Devoluções de Produtos</v>
      </c>
    </row>
    <row r="224" spans="1:5" hidden="1" x14ac:dyDescent="0.25">
      <c r="A224" s="23">
        <f t="shared" si="1"/>
        <v>43497</v>
      </c>
      <c r="B224" s="5" t="s">
        <v>133</v>
      </c>
      <c r="C224" s="5">
        <v>-1066</v>
      </c>
      <c r="D224" s="5" t="str">
        <f>_xlfn.XLOOKUP(fRealizado5[[#This Row],[Conta]],'Plano de Contas'!A:A,'Plano de Contas'!C:C)</f>
        <v>(-) Deduções da Receita</v>
      </c>
      <c r="E224" s="5" t="str">
        <f>_xlfn.XLOOKUP(fRealizado5[[#This Row],[Conta]],'Plano de Contas'!A:A,'Plano de Contas'!D:D)</f>
        <v>03 - Devoluções de Produtos</v>
      </c>
    </row>
    <row r="225" spans="1:5" hidden="1" x14ac:dyDescent="0.25">
      <c r="A225" s="23">
        <f t="shared" si="1"/>
        <v>43497</v>
      </c>
      <c r="B225" s="5" t="s">
        <v>134</v>
      </c>
      <c r="C225" s="5">
        <v>-1891</v>
      </c>
      <c r="D225" s="5" t="str">
        <f>_xlfn.XLOOKUP(fRealizado5[[#This Row],[Conta]],'Plano de Contas'!A:A,'Plano de Contas'!C:C)</f>
        <v>(-) Deduções da Receita</v>
      </c>
      <c r="E225" s="5" t="str">
        <f>_xlfn.XLOOKUP(fRealizado5[[#This Row],[Conta]],'Plano de Contas'!A:A,'Plano de Contas'!D:D)</f>
        <v>03 - Devoluções de Produtos</v>
      </c>
    </row>
    <row r="226" spans="1:5" hidden="1" x14ac:dyDescent="0.25">
      <c r="A226" s="23">
        <f t="shared" si="1"/>
        <v>43497</v>
      </c>
      <c r="B226" s="5" t="s">
        <v>135</v>
      </c>
      <c r="C226" s="5">
        <v>-9977</v>
      </c>
      <c r="D226" s="5" t="str">
        <f>_xlfn.XLOOKUP(fRealizado5[[#This Row],[Conta]],'Plano de Contas'!A:A,'Plano de Contas'!C:C)</f>
        <v>(-) Deduções da Receita</v>
      </c>
      <c r="E226" s="5" t="str">
        <f>_xlfn.XLOOKUP(fRealizado5[[#This Row],[Conta]],'Plano de Contas'!A:A,'Plano de Contas'!D:D)</f>
        <v>03 - Devoluções de Produtos</v>
      </c>
    </row>
    <row r="227" spans="1:5" hidden="1" x14ac:dyDescent="0.25">
      <c r="A227" s="23">
        <f t="shared" si="1"/>
        <v>43497</v>
      </c>
      <c r="B227" s="5" t="s">
        <v>136</v>
      </c>
      <c r="C227" s="5">
        <v>-8601</v>
      </c>
      <c r="D227" s="5" t="str">
        <f>_xlfn.XLOOKUP(fRealizado5[[#This Row],[Conta]],'Plano de Contas'!A:A,'Plano de Contas'!C:C)</f>
        <v>(-) Deduções da Receita</v>
      </c>
      <c r="E227" s="5" t="str">
        <f>_xlfn.XLOOKUP(fRealizado5[[#This Row],[Conta]],'Plano de Contas'!A:A,'Plano de Contas'!D:D)</f>
        <v>04 - Taxas de Serviço</v>
      </c>
    </row>
    <row r="228" spans="1:5" hidden="1" x14ac:dyDescent="0.25">
      <c r="A228" s="23">
        <f t="shared" si="1"/>
        <v>43497</v>
      </c>
      <c r="B228" s="5" t="s">
        <v>137</v>
      </c>
      <c r="C228" s="5">
        <v>-8992</v>
      </c>
      <c r="D228" s="5" t="str">
        <f>_xlfn.XLOOKUP(fRealizado5[[#This Row],[Conta]],'Plano de Contas'!A:A,'Plano de Contas'!C:C)</f>
        <v>(-) Deduções da Receita</v>
      </c>
      <c r="E228" s="5" t="str">
        <f>_xlfn.XLOOKUP(fRealizado5[[#This Row],[Conta]],'Plano de Contas'!A:A,'Plano de Contas'!D:D)</f>
        <v>04 - Taxas de Serviço</v>
      </c>
    </row>
    <row r="229" spans="1:5" hidden="1" x14ac:dyDescent="0.25">
      <c r="A229" s="23">
        <f t="shared" si="1"/>
        <v>43497</v>
      </c>
      <c r="B229" s="5" t="s">
        <v>138</v>
      </c>
      <c r="C229" s="5">
        <v>-6833</v>
      </c>
      <c r="D229" s="5" t="str">
        <f>_xlfn.XLOOKUP(fRealizado5[[#This Row],[Conta]],'Plano de Contas'!A:A,'Plano de Contas'!C:C)</f>
        <v>(-) Deduções da Receita</v>
      </c>
      <c r="E229" s="5" t="str">
        <f>_xlfn.XLOOKUP(fRealizado5[[#This Row],[Conta]],'Plano de Contas'!A:A,'Plano de Contas'!D:D)</f>
        <v>04 - Taxas de Serviço</v>
      </c>
    </row>
    <row r="230" spans="1:5" hidden="1" x14ac:dyDescent="0.25">
      <c r="A230" s="23">
        <f t="shared" si="1"/>
        <v>43497</v>
      </c>
      <c r="B230" s="5" t="s">
        <v>139</v>
      </c>
      <c r="C230" s="5">
        <v>-8780</v>
      </c>
      <c r="D230" s="5" t="str">
        <f>_xlfn.XLOOKUP(fRealizado5[[#This Row],[Conta]],'Plano de Contas'!A:A,'Plano de Contas'!C:C)</f>
        <v>(-) Deduções da Receita</v>
      </c>
      <c r="E230" s="5" t="str">
        <f>_xlfn.XLOOKUP(fRealizado5[[#This Row],[Conta]],'Plano de Contas'!A:A,'Plano de Contas'!D:D)</f>
        <v>04 - Taxas de Serviço</v>
      </c>
    </row>
    <row r="231" spans="1:5" hidden="1" x14ac:dyDescent="0.25">
      <c r="A231" s="23">
        <f t="shared" si="1"/>
        <v>43497</v>
      </c>
      <c r="B231" s="5" t="s">
        <v>140</v>
      </c>
      <c r="C231" s="5">
        <v>-272757</v>
      </c>
      <c r="D231" s="5" t="str">
        <f>_xlfn.XLOOKUP(fRealizado5[[#This Row],[Conta]],'Plano de Contas'!A:A,'Plano de Contas'!C:C)</f>
        <v>(-) Custos de Vendas</v>
      </c>
      <c r="E231" s="5" t="str">
        <f>_xlfn.XLOOKUP(fRealizado5[[#This Row],[Conta]],'Plano de Contas'!A:A,'Plano de Contas'!D:D)</f>
        <v>05 - Custo do Produto</v>
      </c>
    </row>
    <row r="232" spans="1:5" hidden="1" x14ac:dyDescent="0.25">
      <c r="A232" s="23">
        <f t="shared" si="1"/>
        <v>43497</v>
      </c>
      <c r="B232" s="5" t="s">
        <v>141</v>
      </c>
      <c r="C232" s="5">
        <v>-87894</v>
      </c>
      <c r="D232" s="5" t="str">
        <f>_xlfn.XLOOKUP(fRealizado5[[#This Row],[Conta]],'Plano de Contas'!A:A,'Plano de Contas'!C:C)</f>
        <v>(-) Custos de Vendas</v>
      </c>
      <c r="E232" s="5" t="str">
        <f>_xlfn.XLOOKUP(fRealizado5[[#This Row],[Conta]],'Plano de Contas'!A:A,'Plano de Contas'!D:D)</f>
        <v>05 - Custo do Produto</v>
      </c>
    </row>
    <row r="233" spans="1:5" hidden="1" x14ac:dyDescent="0.25">
      <c r="A233" s="23">
        <f t="shared" si="1"/>
        <v>43497</v>
      </c>
      <c r="B233" s="5" t="s">
        <v>142</v>
      </c>
      <c r="C233" s="5">
        <v>-79907</v>
      </c>
      <c r="D233" s="5" t="str">
        <f>_xlfn.XLOOKUP(fRealizado5[[#This Row],[Conta]],'Plano de Contas'!A:A,'Plano de Contas'!C:C)</f>
        <v>(-) Custos de Vendas</v>
      </c>
      <c r="E233" s="5" t="str">
        <f>_xlfn.XLOOKUP(fRealizado5[[#This Row],[Conta]],'Plano de Contas'!A:A,'Plano de Contas'!D:D)</f>
        <v>05 - Custo do Produto</v>
      </c>
    </row>
    <row r="234" spans="1:5" hidden="1" x14ac:dyDescent="0.25">
      <c r="A234" s="23">
        <f t="shared" si="1"/>
        <v>43497</v>
      </c>
      <c r="B234" s="5" t="s">
        <v>143</v>
      </c>
      <c r="C234" s="5">
        <v>-109953</v>
      </c>
      <c r="D234" s="5" t="str">
        <f>_xlfn.XLOOKUP(fRealizado5[[#This Row],[Conta]],'Plano de Contas'!A:A,'Plano de Contas'!C:C)</f>
        <v>(-) Custos de Vendas</v>
      </c>
      <c r="E234" s="5" t="str">
        <f>_xlfn.XLOOKUP(fRealizado5[[#This Row],[Conta]],'Plano de Contas'!A:A,'Plano de Contas'!D:D)</f>
        <v>05 - Custo do Produto</v>
      </c>
    </row>
    <row r="235" spans="1:5" hidden="1" x14ac:dyDescent="0.25">
      <c r="A235" s="23">
        <f t="shared" si="1"/>
        <v>43497</v>
      </c>
      <c r="B235" s="5" t="s">
        <v>144</v>
      </c>
      <c r="C235" s="5">
        <v>-227198</v>
      </c>
      <c r="D235" s="5" t="str">
        <f>_xlfn.XLOOKUP(fRealizado5[[#This Row],[Conta]],'Plano de Contas'!A:A,'Plano de Contas'!C:C)</f>
        <v>(-) Custos de Vendas</v>
      </c>
      <c r="E235" s="5" t="str">
        <f>_xlfn.XLOOKUP(fRealizado5[[#This Row],[Conta]],'Plano de Contas'!A:A,'Plano de Contas'!D:D)</f>
        <v>05 - Custo do Produto</v>
      </c>
    </row>
    <row r="236" spans="1:5" hidden="1" x14ac:dyDescent="0.25">
      <c r="A236" s="23">
        <f t="shared" si="1"/>
        <v>43497</v>
      </c>
      <c r="B236" s="5" t="s">
        <v>145</v>
      </c>
      <c r="C236" s="5">
        <v>-179745</v>
      </c>
      <c r="D236" s="5" t="str">
        <f>_xlfn.XLOOKUP(fRealizado5[[#This Row],[Conta]],'Plano de Contas'!A:A,'Plano de Contas'!C:C)</f>
        <v>(-) Custos de Vendas</v>
      </c>
      <c r="E236" s="5" t="str">
        <f>_xlfn.XLOOKUP(fRealizado5[[#This Row],[Conta]],'Plano de Contas'!A:A,'Plano de Contas'!D:D)</f>
        <v>05 - Custo do Produto</v>
      </c>
    </row>
    <row r="237" spans="1:5" hidden="1" x14ac:dyDescent="0.25">
      <c r="A237" s="23">
        <f t="shared" si="1"/>
        <v>43497</v>
      </c>
      <c r="B237" s="5" t="s">
        <v>146</v>
      </c>
      <c r="C237" s="5">
        <v>-298230</v>
      </c>
      <c r="D237" s="5" t="str">
        <f>_xlfn.XLOOKUP(fRealizado5[[#This Row],[Conta]],'Plano de Contas'!A:A,'Plano de Contas'!C:C)</f>
        <v>(-) Custos de Vendas</v>
      </c>
      <c r="E237" s="5" t="str">
        <f>_xlfn.XLOOKUP(fRealizado5[[#This Row],[Conta]],'Plano de Contas'!A:A,'Plano de Contas'!D:D)</f>
        <v>05 - Custo do Produto</v>
      </c>
    </row>
    <row r="238" spans="1:5" hidden="1" x14ac:dyDescent="0.25">
      <c r="A238" s="23">
        <f t="shared" si="1"/>
        <v>43497</v>
      </c>
      <c r="B238" s="5" t="s">
        <v>147</v>
      </c>
      <c r="C238" s="5">
        <v>-208807</v>
      </c>
      <c r="D238" s="5" t="str">
        <f>_xlfn.XLOOKUP(fRealizado5[[#This Row],[Conta]],'Plano de Contas'!A:A,'Plano de Contas'!C:C)</f>
        <v>(-) Custos de Vendas</v>
      </c>
      <c r="E238" s="5" t="str">
        <f>_xlfn.XLOOKUP(fRealizado5[[#This Row],[Conta]],'Plano de Contas'!A:A,'Plano de Contas'!D:D)</f>
        <v>05 - Custo do Produto</v>
      </c>
    </row>
    <row r="239" spans="1:5" hidden="1" x14ac:dyDescent="0.25">
      <c r="A239" s="23">
        <f t="shared" si="1"/>
        <v>43497</v>
      </c>
      <c r="B239" s="5" t="s">
        <v>148</v>
      </c>
      <c r="C239" s="5">
        <v>-273036</v>
      </c>
      <c r="D239" s="5" t="str">
        <f>_xlfn.XLOOKUP(fRealizado5[[#This Row],[Conta]],'Plano de Contas'!A:A,'Plano de Contas'!C:C)</f>
        <v>(-) Custos de Vendas</v>
      </c>
      <c r="E239" s="5" t="str">
        <f>_xlfn.XLOOKUP(fRealizado5[[#This Row],[Conta]],'Plano de Contas'!A:A,'Plano de Contas'!D:D)</f>
        <v>05 - Custo do Produto</v>
      </c>
    </row>
    <row r="240" spans="1:5" hidden="1" x14ac:dyDescent="0.25">
      <c r="A240" s="23">
        <f t="shared" si="1"/>
        <v>43497</v>
      </c>
      <c r="B240" s="5" t="s">
        <v>149</v>
      </c>
      <c r="C240" s="5">
        <v>-237736</v>
      </c>
      <c r="D240" s="5" t="str">
        <f>_xlfn.XLOOKUP(fRealizado5[[#This Row],[Conta]],'Plano de Contas'!A:A,'Plano de Contas'!C:C)</f>
        <v>(-) Custos de Vendas</v>
      </c>
      <c r="E240" s="5" t="str">
        <f>_xlfn.XLOOKUP(fRealizado5[[#This Row],[Conta]],'Plano de Contas'!A:A,'Plano de Contas'!D:D)</f>
        <v>05 - Custo do Produto</v>
      </c>
    </row>
    <row r="241" spans="1:5" hidden="1" x14ac:dyDescent="0.25">
      <c r="A241" s="23">
        <f t="shared" si="1"/>
        <v>43497</v>
      </c>
      <c r="B241" s="5" t="s">
        <v>150</v>
      </c>
      <c r="C241" s="5">
        <v>-207123</v>
      </c>
      <c r="D241" s="5" t="str">
        <f>_xlfn.XLOOKUP(fRealizado5[[#This Row],[Conta]],'Plano de Contas'!A:A,'Plano de Contas'!C:C)</f>
        <v>(-) Custos de Vendas</v>
      </c>
      <c r="E241" s="5" t="str">
        <f>_xlfn.XLOOKUP(fRealizado5[[#This Row],[Conta]],'Plano de Contas'!A:A,'Plano de Contas'!D:D)</f>
        <v>05 - Custo do Produto</v>
      </c>
    </row>
    <row r="242" spans="1:5" hidden="1" x14ac:dyDescent="0.25">
      <c r="A242" s="23">
        <f t="shared" si="1"/>
        <v>43497</v>
      </c>
      <c r="B242" s="5" t="s">
        <v>151</v>
      </c>
      <c r="C242" s="5">
        <v>-152155</v>
      </c>
      <c r="D242" s="5" t="str">
        <f>_xlfn.XLOOKUP(fRealizado5[[#This Row],[Conta]],'Plano de Contas'!A:A,'Plano de Contas'!C:C)</f>
        <v>(-) Custos de Vendas</v>
      </c>
      <c r="E242" s="5" t="str">
        <f>_xlfn.XLOOKUP(fRealizado5[[#This Row],[Conta]],'Plano de Contas'!A:A,'Plano de Contas'!D:D)</f>
        <v>05 - Custo do Produto</v>
      </c>
    </row>
    <row r="243" spans="1:5" hidden="1" x14ac:dyDescent="0.25">
      <c r="A243" s="23">
        <f t="shared" si="1"/>
        <v>43497</v>
      </c>
      <c r="B243" s="5" t="s">
        <v>152</v>
      </c>
      <c r="C243" s="5">
        <v>-233235</v>
      </c>
      <c r="D243" s="5" t="str">
        <f>_xlfn.XLOOKUP(fRealizado5[[#This Row],[Conta]],'Plano de Contas'!A:A,'Plano de Contas'!C:C)</f>
        <v>(-) Custos de Vendas</v>
      </c>
      <c r="E243" s="5" t="str">
        <f>_xlfn.XLOOKUP(fRealizado5[[#This Row],[Conta]],'Plano de Contas'!A:A,'Plano de Contas'!D:D)</f>
        <v>05 - Custo do Produto</v>
      </c>
    </row>
    <row r="244" spans="1:5" hidden="1" x14ac:dyDescent="0.25">
      <c r="A244" s="23">
        <f t="shared" si="1"/>
        <v>43497</v>
      </c>
      <c r="B244" s="5" t="s">
        <v>153</v>
      </c>
      <c r="C244" s="5">
        <v>-142993</v>
      </c>
      <c r="D244" s="5" t="str">
        <f>_xlfn.XLOOKUP(fRealizado5[[#This Row],[Conta]],'Plano de Contas'!A:A,'Plano de Contas'!C:C)</f>
        <v>(-) Custos de Vendas</v>
      </c>
      <c r="E244" s="5" t="str">
        <f>_xlfn.XLOOKUP(fRealizado5[[#This Row],[Conta]],'Plano de Contas'!A:A,'Plano de Contas'!D:D)</f>
        <v>05 - Custo do Produto</v>
      </c>
    </row>
    <row r="245" spans="1:5" hidden="1" x14ac:dyDescent="0.25">
      <c r="A245" s="23">
        <f t="shared" si="1"/>
        <v>43497</v>
      </c>
      <c r="B245" s="5" t="s">
        <v>154</v>
      </c>
      <c r="C245" s="5">
        <v>-234327</v>
      </c>
      <c r="D245" s="5" t="str">
        <f>_xlfn.XLOOKUP(fRealizado5[[#This Row],[Conta]],'Plano de Contas'!A:A,'Plano de Contas'!C:C)</f>
        <v>(-) Custos de Vendas</v>
      </c>
      <c r="E245" s="5" t="str">
        <f>_xlfn.XLOOKUP(fRealizado5[[#This Row],[Conta]],'Plano de Contas'!A:A,'Plano de Contas'!D:D)</f>
        <v>05 - Custo do Produto</v>
      </c>
    </row>
    <row r="246" spans="1:5" hidden="1" x14ac:dyDescent="0.25">
      <c r="A246" s="23">
        <f t="shared" si="1"/>
        <v>43497</v>
      </c>
      <c r="B246" s="5" t="s">
        <v>155</v>
      </c>
      <c r="C246" s="5">
        <v>-215262</v>
      </c>
      <c r="D246" s="5" t="str">
        <f>_xlfn.XLOOKUP(fRealizado5[[#This Row],[Conta]],'Plano de Contas'!A:A,'Plano de Contas'!C:C)</f>
        <v>(-) Custos de Vendas</v>
      </c>
      <c r="E246" s="5" t="str">
        <f>_xlfn.XLOOKUP(fRealizado5[[#This Row],[Conta]],'Plano de Contas'!A:A,'Plano de Contas'!D:D)</f>
        <v>05 - Custo do Produto</v>
      </c>
    </row>
    <row r="247" spans="1:5" hidden="1" x14ac:dyDescent="0.25">
      <c r="A247" s="23">
        <f t="shared" si="1"/>
        <v>43497</v>
      </c>
      <c r="B247" s="5" t="s">
        <v>156</v>
      </c>
      <c r="C247" s="5">
        <v>-263409</v>
      </c>
      <c r="D247" s="5" t="str">
        <f>_xlfn.XLOOKUP(fRealizado5[[#This Row],[Conta]],'Plano de Contas'!A:A,'Plano de Contas'!C:C)</f>
        <v>(-) Custos de Vendas</v>
      </c>
      <c r="E247" s="5" t="str">
        <f>_xlfn.XLOOKUP(fRealizado5[[#This Row],[Conta]],'Plano de Contas'!A:A,'Plano de Contas'!D:D)</f>
        <v>05 - Custo do Produto</v>
      </c>
    </row>
    <row r="248" spans="1:5" hidden="1" x14ac:dyDescent="0.25">
      <c r="A248" s="23">
        <f t="shared" si="1"/>
        <v>43497</v>
      </c>
      <c r="B248" s="5" t="s">
        <v>157</v>
      </c>
      <c r="C248" s="5">
        <v>-257810</v>
      </c>
      <c r="D248" s="5" t="str">
        <f>_xlfn.XLOOKUP(fRealizado5[[#This Row],[Conta]],'Plano de Contas'!A:A,'Plano de Contas'!C:C)</f>
        <v>(-) Custos de Vendas</v>
      </c>
      <c r="E248" s="5" t="str">
        <f>_xlfn.XLOOKUP(fRealizado5[[#This Row],[Conta]],'Plano de Contas'!A:A,'Plano de Contas'!D:D)</f>
        <v>05 - Custo do Produto</v>
      </c>
    </row>
    <row r="249" spans="1:5" hidden="1" x14ac:dyDescent="0.25">
      <c r="A249" s="23">
        <f t="shared" si="1"/>
        <v>43497</v>
      </c>
      <c r="B249" s="5" t="s">
        <v>158</v>
      </c>
      <c r="C249" s="5">
        <v>-153147</v>
      </c>
      <c r="D249" s="5" t="str">
        <f>_xlfn.XLOOKUP(fRealizado5[[#This Row],[Conta]],'Plano de Contas'!A:A,'Plano de Contas'!C:C)</f>
        <v>(-) Custos de Vendas</v>
      </c>
      <c r="E249" s="5" t="str">
        <f>_xlfn.XLOOKUP(fRealizado5[[#This Row],[Conta]],'Plano de Contas'!A:A,'Plano de Contas'!D:D)</f>
        <v>05 - Custo do Produto</v>
      </c>
    </row>
    <row r="250" spans="1:5" hidden="1" x14ac:dyDescent="0.25">
      <c r="A250" s="23">
        <f t="shared" si="1"/>
        <v>43497</v>
      </c>
      <c r="B250" s="5" t="s">
        <v>159</v>
      </c>
      <c r="C250" s="5">
        <v>-216763</v>
      </c>
      <c r="D250" s="5" t="str">
        <f>_xlfn.XLOOKUP(fRealizado5[[#This Row],[Conta]],'Plano de Contas'!A:A,'Plano de Contas'!C:C)</f>
        <v>(-) Custos de Vendas</v>
      </c>
      <c r="E250" s="5" t="str">
        <f>_xlfn.XLOOKUP(fRealizado5[[#This Row],[Conta]],'Plano de Contas'!A:A,'Plano de Contas'!D:D)</f>
        <v>05 - Custo do Produto</v>
      </c>
    </row>
    <row r="251" spans="1:5" hidden="1" x14ac:dyDescent="0.25">
      <c r="A251" s="23">
        <f t="shared" si="1"/>
        <v>43497</v>
      </c>
      <c r="B251" s="5" t="s">
        <v>160</v>
      </c>
      <c r="C251" s="5">
        <v>-255588</v>
      </c>
      <c r="D251" s="5" t="str">
        <f>_xlfn.XLOOKUP(fRealizado5[[#This Row],[Conta]],'Plano de Contas'!A:A,'Plano de Contas'!C:C)</f>
        <v>(-) Custos de Vendas</v>
      </c>
      <c r="E251" s="5" t="str">
        <f>_xlfn.XLOOKUP(fRealizado5[[#This Row],[Conta]],'Plano de Contas'!A:A,'Plano de Contas'!D:D)</f>
        <v>05 - Custo do Produto</v>
      </c>
    </row>
    <row r="252" spans="1:5" hidden="1" x14ac:dyDescent="0.25">
      <c r="A252" s="23">
        <f t="shared" si="1"/>
        <v>43497</v>
      </c>
      <c r="B252" s="5" t="s">
        <v>161</v>
      </c>
      <c r="C252" s="5">
        <v>-252266</v>
      </c>
      <c r="D252" s="5" t="str">
        <f>_xlfn.XLOOKUP(fRealizado5[[#This Row],[Conta]],'Plano de Contas'!A:A,'Plano de Contas'!C:C)</f>
        <v>(-) Custos de Vendas</v>
      </c>
      <c r="E252" s="5" t="str">
        <f>_xlfn.XLOOKUP(fRealizado5[[#This Row],[Conta]],'Plano de Contas'!A:A,'Plano de Contas'!D:D)</f>
        <v>05 - Custo do Produto</v>
      </c>
    </row>
    <row r="253" spans="1:5" hidden="1" x14ac:dyDescent="0.25">
      <c r="A253" s="23">
        <f t="shared" si="1"/>
        <v>43497</v>
      </c>
      <c r="B253" s="5" t="s">
        <v>162</v>
      </c>
      <c r="C253" s="5">
        <v>-193375</v>
      </c>
      <c r="D253" s="5" t="str">
        <f>_xlfn.XLOOKUP(fRealizado5[[#This Row],[Conta]],'Plano de Contas'!A:A,'Plano de Contas'!C:C)</f>
        <v>(-) Custos de Vendas</v>
      </c>
      <c r="E253" s="5" t="str">
        <f>_xlfn.XLOOKUP(fRealizado5[[#This Row],[Conta]],'Plano de Contas'!A:A,'Plano de Contas'!D:D)</f>
        <v>05 - Custo do Produto</v>
      </c>
    </row>
    <row r="254" spans="1:5" hidden="1" x14ac:dyDescent="0.25">
      <c r="A254" s="23">
        <f t="shared" si="1"/>
        <v>43497</v>
      </c>
      <c r="B254" s="5" t="s">
        <v>163</v>
      </c>
      <c r="C254" s="5">
        <v>-208332</v>
      </c>
      <c r="D254" s="5" t="str">
        <f>_xlfn.XLOOKUP(fRealizado5[[#This Row],[Conta]],'Plano de Contas'!A:A,'Plano de Contas'!C:C)</f>
        <v>(-) Custos de Vendas</v>
      </c>
      <c r="E254" s="5" t="str">
        <f>_xlfn.XLOOKUP(fRealizado5[[#This Row],[Conta]],'Plano de Contas'!A:A,'Plano de Contas'!D:D)</f>
        <v>05 - Custo do Produto</v>
      </c>
    </row>
    <row r="255" spans="1:5" hidden="1" x14ac:dyDescent="0.25">
      <c r="A255" s="23">
        <f t="shared" si="1"/>
        <v>43497</v>
      </c>
      <c r="B255" s="5" t="s">
        <v>164</v>
      </c>
      <c r="C255" s="5">
        <v>-96454</v>
      </c>
      <c r="D255" s="5" t="str">
        <f>_xlfn.XLOOKUP(fRealizado5[[#This Row],[Conta]],'Plano de Contas'!A:A,'Plano de Contas'!C:C)</f>
        <v>(-) Custos de Vendas</v>
      </c>
      <c r="E255" s="5" t="str">
        <f>_xlfn.XLOOKUP(fRealizado5[[#This Row],[Conta]],'Plano de Contas'!A:A,'Plano de Contas'!D:D)</f>
        <v>06 - Outros Custos</v>
      </c>
    </row>
    <row r="256" spans="1:5" hidden="1" x14ac:dyDescent="0.25">
      <c r="A256" s="23">
        <f t="shared" si="1"/>
        <v>43497</v>
      </c>
      <c r="B256" s="5" t="s">
        <v>165</v>
      </c>
      <c r="C256" s="5">
        <v>-95154</v>
      </c>
      <c r="D256" s="5" t="str">
        <f>_xlfn.XLOOKUP(fRealizado5[[#This Row],[Conta]],'Plano de Contas'!A:A,'Plano de Contas'!C:C)</f>
        <v>(-) Custos de Vendas</v>
      </c>
      <c r="E256" s="5" t="str">
        <f>_xlfn.XLOOKUP(fRealizado5[[#This Row],[Conta]],'Plano de Contas'!A:A,'Plano de Contas'!D:D)</f>
        <v>06 - Outros Custos</v>
      </c>
    </row>
    <row r="257" spans="1:5" hidden="1" x14ac:dyDescent="0.25">
      <c r="A257" s="23">
        <f t="shared" si="1"/>
        <v>43497</v>
      </c>
      <c r="B257" s="5" t="s">
        <v>166</v>
      </c>
      <c r="C257" s="5">
        <v>-68633</v>
      </c>
      <c r="D257" s="5" t="str">
        <f>_xlfn.XLOOKUP(fRealizado5[[#This Row],[Conta]],'Plano de Contas'!A:A,'Plano de Contas'!C:C)</f>
        <v>(-) Custos de Vendas</v>
      </c>
      <c r="E257" s="5" t="str">
        <f>_xlfn.XLOOKUP(fRealizado5[[#This Row],[Conta]],'Plano de Contas'!A:A,'Plano de Contas'!D:D)</f>
        <v>06 - Outros Custos</v>
      </c>
    </row>
    <row r="258" spans="1:5" hidden="1" x14ac:dyDescent="0.25">
      <c r="A258" s="23">
        <f t="shared" si="1"/>
        <v>43497</v>
      </c>
      <c r="B258" s="5" t="s">
        <v>167</v>
      </c>
      <c r="C258" s="5">
        <v>-210437</v>
      </c>
      <c r="D258" s="5" t="str">
        <f>_xlfn.XLOOKUP(fRealizado5[[#This Row],[Conta]],'Plano de Contas'!A:A,'Plano de Contas'!C:C)</f>
        <v>(-) Despesas Gerais</v>
      </c>
      <c r="E258" s="5" t="str">
        <f>_xlfn.XLOOKUP(fRealizado5[[#This Row],[Conta]],'Plano de Contas'!A:A,'Plano de Contas'!D:D)</f>
        <v>07 - Despesas Administrativas</v>
      </c>
    </row>
    <row r="259" spans="1:5" hidden="1" x14ac:dyDescent="0.25">
      <c r="A259" s="23">
        <f t="shared" si="1"/>
        <v>43497</v>
      </c>
      <c r="B259" s="5" t="s">
        <v>168</v>
      </c>
      <c r="C259" s="5">
        <v>-393310</v>
      </c>
      <c r="D259" s="5" t="str">
        <f>_xlfn.XLOOKUP(fRealizado5[[#This Row],[Conta]],'Plano de Contas'!A:A,'Plano de Contas'!C:C)</f>
        <v>(-) Despesas Gerais</v>
      </c>
      <c r="E259" s="5" t="str">
        <f>_xlfn.XLOOKUP(fRealizado5[[#This Row],[Conta]],'Plano de Contas'!A:A,'Plano de Contas'!D:D)</f>
        <v>07 - Despesas Administrativas</v>
      </c>
    </row>
    <row r="260" spans="1:5" hidden="1" x14ac:dyDescent="0.25">
      <c r="A260" s="23">
        <f t="shared" si="1"/>
        <v>43497</v>
      </c>
      <c r="B260" s="5" t="s">
        <v>169</v>
      </c>
      <c r="C260" s="5">
        <v>-317857</v>
      </c>
      <c r="D260" s="5" t="str">
        <f>_xlfn.XLOOKUP(fRealizado5[[#This Row],[Conta]],'Plano de Contas'!A:A,'Plano de Contas'!C:C)</f>
        <v>(-) Despesas Gerais</v>
      </c>
      <c r="E260" s="5" t="str">
        <f>_xlfn.XLOOKUP(fRealizado5[[#This Row],[Conta]],'Plano de Contas'!A:A,'Plano de Contas'!D:D)</f>
        <v>07 - Despesas Administrativas</v>
      </c>
    </row>
    <row r="261" spans="1:5" hidden="1" x14ac:dyDescent="0.25">
      <c r="A261" s="23">
        <f t="shared" si="1"/>
        <v>43497</v>
      </c>
      <c r="B261" s="5" t="s">
        <v>170</v>
      </c>
      <c r="C261" s="5">
        <v>-180739</v>
      </c>
      <c r="D261" s="5" t="str">
        <f>_xlfn.XLOOKUP(fRealizado5[[#This Row],[Conta]],'Plano de Contas'!A:A,'Plano de Contas'!C:C)</f>
        <v>(-) Despesas Gerais</v>
      </c>
      <c r="E261" s="5" t="str">
        <f>_xlfn.XLOOKUP(fRealizado5[[#This Row],[Conta]],'Plano de Contas'!A:A,'Plano de Contas'!D:D)</f>
        <v>07 - Despesas Administrativas</v>
      </c>
    </row>
    <row r="262" spans="1:5" hidden="1" x14ac:dyDescent="0.25">
      <c r="A262" s="23">
        <f t="shared" si="1"/>
        <v>43497</v>
      </c>
      <c r="B262" s="5" t="s">
        <v>171</v>
      </c>
      <c r="C262" s="5">
        <v>-220439</v>
      </c>
      <c r="D262" s="5" t="str">
        <f>_xlfn.XLOOKUP(fRealizado5[[#This Row],[Conta]],'Plano de Contas'!A:A,'Plano de Contas'!C:C)</f>
        <v>(-) Despesas Gerais</v>
      </c>
      <c r="E262" s="5" t="str">
        <f>_xlfn.XLOOKUP(fRealizado5[[#This Row],[Conta]],'Plano de Contas'!A:A,'Plano de Contas'!D:D)</f>
        <v>07 - Despesas Administrativas</v>
      </c>
    </row>
    <row r="263" spans="1:5" hidden="1" x14ac:dyDescent="0.25">
      <c r="A263" s="23">
        <f t="shared" si="1"/>
        <v>43497</v>
      </c>
      <c r="B263" s="5" t="s">
        <v>172</v>
      </c>
      <c r="C263" s="5">
        <v>-307473</v>
      </c>
      <c r="D263" s="5" t="str">
        <f>_xlfn.XLOOKUP(fRealizado5[[#This Row],[Conta]],'Plano de Contas'!A:A,'Plano de Contas'!C:C)</f>
        <v>(-) Despesas Gerais</v>
      </c>
      <c r="E263" s="5" t="str">
        <f>_xlfn.XLOOKUP(fRealizado5[[#This Row],[Conta]],'Plano de Contas'!A:A,'Plano de Contas'!D:D)</f>
        <v>07 - Despesas Administrativas</v>
      </c>
    </row>
    <row r="264" spans="1:5" hidden="1" x14ac:dyDescent="0.25">
      <c r="A264" s="23">
        <f t="shared" si="1"/>
        <v>43497</v>
      </c>
      <c r="B264" s="5" t="s">
        <v>173</v>
      </c>
      <c r="C264" s="5">
        <v>-41175</v>
      </c>
      <c r="D264" s="5" t="str">
        <f>_xlfn.XLOOKUP(fRealizado5[[#This Row],[Conta]],'Plano de Contas'!A:A,'Plano de Contas'!C:C)</f>
        <v>(-) Despesas Gerais</v>
      </c>
      <c r="E264" s="5" t="str">
        <f>_xlfn.XLOOKUP(fRealizado5[[#This Row],[Conta]],'Plano de Contas'!A:A,'Plano de Contas'!D:D)</f>
        <v>08 - Despesas Financeiras</v>
      </c>
    </row>
    <row r="265" spans="1:5" hidden="1" x14ac:dyDescent="0.25">
      <c r="A265" s="23">
        <f t="shared" si="1"/>
        <v>43497</v>
      </c>
      <c r="B265" s="5" t="s">
        <v>174</v>
      </c>
      <c r="C265" s="5">
        <v>-46969</v>
      </c>
      <c r="D265" s="5" t="str">
        <f>_xlfn.XLOOKUP(fRealizado5[[#This Row],[Conta]],'Plano de Contas'!A:A,'Plano de Contas'!C:C)</f>
        <v>(-) Despesas Gerais</v>
      </c>
      <c r="E265" s="5" t="str">
        <f>_xlfn.XLOOKUP(fRealizado5[[#This Row],[Conta]],'Plano de Contas'!A:A,'Plano de Contas'!D:D)</f>
        <v>08 - Despesas Financeiras</v>
      </c>
    </row>
    <row r="266" spans="1:5" hidden="1" x14ac:dyDescent="0.25">
      <c r="A266" s="23">
        <f t="shared" si="1"/>
        <v>43497</v>
      </c>
      <c r="B266" s="5" t="s">
        <v>175</v>
      </c>
      <c r="C266" s="5">
        <v>-43584</v>
      </c>
      <c r="D266" s="5" t="str">
        <f>_xlfn.XLOOKUP(fRealizado5[[#This Row],[Conta]],'Plano de Contas'!A:A,'Plano de Contas'!C:C)</f>
        <v>(-) Despesas Gerais</v>
      </c>
      <c r="E266" s="5" t="str">
        <f>_xlfn.XLOOKUP(fRealizado5[[#This Row],[Conta]],'Plano de Contas'!A:A,'Plano de Contas'!D:D)</f>
        <v>08 - Despesas Financeiras</v>
      </c>
    </row>
    <row r="267" spans="1:5" hidden="1" x14ac:dyDescent="0.25">
      <c r="A267" s="23">
        <f t="shared" si="1"/>
        <v>43497</v>
      </c>
      <c r="B267" s="5" t="s">
        <v>176</v>
      </c>
      <c r="C267" s="5">
        <v>-59674</v>
      </c>
      <c r="D267" s="5" t="str">
        <f>_xlfn.XLOOKUP(fRealizado5[[#This Row],[Conta]],'Plano de Contas'!A:A,'Plano de Contas'!C:C)</f>
        <v>(-) Despesas Gerais</v>
      </c>
      <c r="E267" s="5" t="str">
        <f>_xlfn.XLOOKUP(fRealizado5[[#This Row],[Conta]],'Plano de Contas'!A:A,'Plano de Contas'!D:D)</f>
        <v>08 - Despesas Financeiras</v>
      </c>
    </row>
    <row r="268" spans="1:5" hidden="1" x14ac:dyDescent="0.25">
      <c r="A268" s="23">
        <f t="shared" si="1"/>
        <v>43497</v>
      </c>
      <c r="B268" s="5" t="s">
        <v>177</v>
      </c>
      <c r="C268" s="5">
        <v>-59661</v>
      </c>
      <c r="D268" s="5" t="str">
        <f>_xlfn.XLOOKUP(fRealizado5[[#This Row],[Conta]],'Plano de Contas'!A:A,'Plano de Contas'!C:C)</f>
        <v>(-) Despesas Gerais</v>
      </c>
      <c r="E268" s="5" t="str">
        <f>_xlfn.XLOOKUP(fRealizado5[[#This Row],[Conta]],'Plano de Contas'!A:A,'Plano de Contas'!D:D)</f>
        <v>08 - Despesas Financeiras</v>
      </c>
    </row>
    <row r="269" spans="1:5" hidden="1" x14ac:dyDescent="0.25">
      <c r="A269" s="23">
        <f t="shared" si="1"/>
        <v>43497</v>
      </c>
      <c r="B269" s="5" t="s">
        <v>178</v>
      </c>
      <c r="C269" s="5">
        <v>-271597</v>
      </c>
      <c r="D269" s="5" t="str">
        <f>_xlfn.XLOOKUP(fRealizado5[[#This Row],[Conta]],'Plano de Contas'!A:A,'Plano de Contas'!C:C)</f>
        <v>(-) Despesas Gerais</v>
      </c>
      <c r="E269" s="5" t="str">
        <f>_xlfn.XLOOKUP(fRealizado5[[#This Row],[Conta]],'Plano de Contas'!A:A,'Plano de Contas'!D:D)</f>
        <v>09 - Tecnologia da Informação</v>
      </c>
    </row>
    <row r="270" spans="1:5" hidden="1" x14ac:dyDescent="0.25">
      <c r="A270" s="23">
        <f t="shared" si="1"/>
        <v>43497</v>
      </c>
      <c r="B270" s="5" t="s">
        <v>179</v>
      </c>
      <c r="C270" s="5">
        <v>-196003</v>
      </c>
      <c r="D270" s="5" t="str">
        <f>_xlfn.XLOOKUP(fRealizado5[[#This Row],[Conta]],'Plano de Contas'!A:A,'Plano de Contas'!C:C)</f>
        <v>(-) Despesas Gerais</v>
      </c>
      <c r="E270" s="5" t="str">
        <f>_xlfn.XLOOKUP(fRealizado5[[#This Row],[Conta]],'Plano de Contas'!A:A,'Plano de Contas'!D:D)</f>
        <v>09 - Tecnologia da Informação</v>
      </c>
    </row>
    <row r="271" spans="1:5" hidden="1" x14ac:dyDescent="0.25">
      <c r="A271" s="23">
        <f t="shared" ref="A271:A334" si="2">EDATE(A131,1)</f>
        <v>43497</v>
      </c>
      <c r="B271" s="5" t="s">
        <v>180</v>
      </c>
      <c r="C271" s="5">
        <v>-114820</v>
      </c>
      <c r="D271" s="5" t="str">
        <f>_xlfn.XLOOKUP(fRealizado5[[#This Row],[Conta]],'Plano de Contas'!A:A,'Plano de Contas'!C:C)</f>
        <v>(-) Despesas Gerais</v>
      </c>
      <c r="E271" s="5" t="str">
        <f>_xlfn.XLOOKUP(fRealizado5[[#This Row],[Conta]],'Plano de Contas'!A:A,'Plano de Contas'!D:D)</f>
        <v>09 - Tecnologia da Informação</v>
      </c>
    </row>
    <row r="272" spans="1:5" hidden="1" x14ac:dyDescent="0.25">
      <c r="A272" s="23">
        <f t="shared" si="2"/>
        <v>43497</v>
      </c>
      <c r="B272" s="5" t="s">
        <v>181</v>
      </c>
      <c r="C272" s="5">
        <v>-73568</v>
      </c>
      <c r="D272" s="5" t="str">
        <f>_xlfn.XLOOKUP(fRealizado5[[#This Row],[Conta]],'Plano de Contas'!A:A,'Plano de Contas'!C:C)</f>
        <v>(-) Despesas Gerais</v>
      </c>
      <c r="E272" s="5" t="str">
        <f>_xlfn.XLOOKUP(fRealizado5[[#This Row],[Conta]],'Plano de Contas'!A:A,'Plano de Contas'!D:D)</f>
        <v>10 - Recursos Humanos</v>
      </c>
    </row>
    <row r="273" spans="1:5" hidden="1" x14ac:dyDescent="0.25">
      <c r="A273" s="23">
        <f t="shared" si="2"/>
        <v>43497</v>
      </c>
      <c r="B273" s="5" t="s">
        <v>182</v>
      </c>
      <c r="C273" s="5">
        <v>-58333</v>
      </c>
      <c r="D273" s="5" t="str">
        <f>_xlfn.XLOOKUP(fRealizado5[[#This Row],[Conta]],'Plano de Contas'!A:A,'Plano de Contas'!C:C)</f>
        <v>(-) Despesas Gerais</v>
      </c>
      <c r="E273" s="5" t="str">
        <f>_xlfn.XLOOKUP(fRealizado5[[#This Row],[Conta]],'Plano de Contas'!A:A,'Plano de Contas'!D:D)</f>
        <v>10 - Recursos Humanos</v>
      </c>
    </row>
    <row r="274" spans="1:5" hidden="1" x14ac:dyDescent="0.25">
      <c r="A274" s="23">
        <f t="shared" si="2"/>
        <v>43497</v>
      </c>
      <c r="B274" s="5" t="s">
        <v>183</v>
      </c>
      <c r="C274" s="5">
        <v>-62969</v>
      </c>
      <c r="D274" s="5" t="str">
        <f>_xlfn.XLOOKUP(fRealizado5[[#This Row],[Conta]],'Plano de Contas'!A:A,'Plano de Contas'!C:C)</f>
        <v>(-) Despesas Gerais</v>
      </c>
      <c r="E274" s="5" t="str">
        <f>_xlfn.XLOOKUP(fRealizado5[[#This Row],[Conta]],'Plano de Contas'!A:A,'Plano de Contas'!D:D)</f>
        <v>10 - Recursos Humanos</v>
      </c>
    </row>
    <row r="275" spans="1:5" hidden="1" x14ac:dyDescent="0.25">
      <c r="A275" s="23">
        <f t="shared" si="2"/>
        <v>43497</v>
      </c>
      <c r="B275" s="5" t="s">
        <v>184</v>
      </c>
      <c r="C275" s="5">
        <v>-69917</v>
      </c>
      <c r="D275" s="5" t="str">
        <f>_xlfn.XLOOKUP(fRealizado5[[#This Row],[Conta]],'Plano de Contas'!A:A,'Plano de Contas'!C:C)</f>
        <v>(-) Despesas Gerais</v>
      </c>
      <c r="E275" s="5" t="str">
        <f>_xlfn.XLOOKUP(fRealizado5[[#This Row],[Conta]],'Plano de Contas'!A:A,'Plano de Contas'!D:D)</f>
        <v>10 - Recursos Humanos</v>
      </c>
    </row>
    <row r="276" spans="1:5" hidden="1" x14ac:dyDescent="0.25">
      <c r="A276" s="23">
        <f t="shared" si="2"/>
        <v>43497</v>
      </c>
      <c r="B276" s="5" t="s">
        <v>185</v>
      </c>
      <c r="C276" s="5">
        <v>-108857</v>
      </c>
      <c r="D276" s="5" t="str">
        <f>_xlfn.XLOOKUP(fRealizado5[[#This Row],[Conta]],'Plano de Contas'!A:A,'Plano de Contas'!C:C)</f>
        <v>(-) Despesas Gerais</v>
      </c>
      <c r="E276" s="5" t="str">
        <f>_xlfn.XLOOKUP(fRealizado5[[#This Row],[Conta]],'Plano de Contas'!A:A,'Plano de Contas'!D:D)</f>
        <v>11 - Relacionamento com Cliente</v>
      </c>
    </row>
    <row r="277" spans="1:5" hidden="1" x14ac:dyDescent="0.25">
      <c r="A277" s="23">
        <f t="shared" si="2"/>
        <v>43497</v>
      </c>
      <c r="B277" s="5" t="s">
        <v>186</v>
      </c>
      <c r="C277" s="5">
        <v>-85224</v>
      </c>
      <c r="D277" s="5" t="str">
        <f>_xlfn.XLOOKUP(fRealizado5[[#This Row],[Conta]],'Plano de Contas'!A:A,'Plano de Contas'!C:C)</f>
        <v>(-) Despesas Gerais</v>
      </c>
      <c r="E277" s="5" t="str">
        <f>_xlfn.XLOOKUP(fRealizado5[[#This Row],[Conta]],'Plano de Contas'!A:A,'Plano de Contas'!D:D)</f>
        <v>11 - Relacionamento com Cliente</v>
      </c>
    </row>
    <row r="278" spans="1:5" hidden="1" x14ac:dyDescent="0.25">
      <c r="A278" s="23">
        <f t="shared" si="2"/>
        <v>43497</v>
      </c>
      <c r="B278" s="5" t="s">
        <v>187</v>
      </c>
      <c r="C278" s="5">
        <v>-124712</v>
      </c>
      <c r="D278" s="5" t="str">
        <f>_xlfn.XLOOKUP(fRealizado5[[#This Row],[Conta]],'Plano de Contas'!A:A,'Plano de Contas'!C:C)</f>
        <v>(-) Despesas Gerais</v>
      </c>
      <c r="E278" s="5" t="str">
        <f>_xlfn.XLOOKUP(fRealizado5[[#This Row],[Conta]],'Plano de Contas'!A:A,'Plano de Contas'!D:D)</f>
        <v>12 - Marketing e Divulgação</v>
      </c>
    </row>
    <row r="279" spans="1:5" hidden="1" x14ac:dyDescent="0.25">
      <c r="A279" s="23">
        <f t="shared" si="2"/>
        <v>43497</v>
      </c>
      <c r="B279" s="5" t="s">
        <v>188</v>
      </c>
      <c r="C279" s="5">
        <v>-141700</v>
      </c>
      <c r="D279" s="5" t="str">
        <f>_xlfn.XLOOKUP(fRealizado5[[#This Row],[Conta]],'Plano de Contas'!A:A,'Plano de Contas'!C:C)</f>
        <v>(-) Despesas Gerais</v>
      </c>
      <c r="E279" s="5" t="str">
        <f>_xlfn.XLOOKUP(fRealizado5[[#This Row],[Conta]],'Plano de Contas'!A:A,'Plano de Contas'!D:D)</f>
        <v>12 - Marketing e Divulgação</v>
      </c>
    </row>
    <row r="280" spans="1:5" hidden="1" x14ac:dyDescent="0.25">
      <c r="A280" s="23">
        <f t="shared" si="2"/>
        <v>43497</v>
      </c>
      <c r="B280" s="5" t="s">
        <v>189</v>
      </c>
      <c r="C280" s="5">
        <v>-10517</v>
      </c>
      <c r="D280" s="5" t="str">
        <f>_xlfn.XLOOKUP(fRealizado5[[#This Row],[Conta]],'Plano de Contas'!A:A,'Plano de Contas'!C:C)</f>
        <v>(-) Impostos</v>
      </c>
      <c r="E280" s="5" t="str">
        <f>_xlfn.XLOOKUP(fRealizado5[[#This Row],[Conta]],'Plano de Contas'!A:A,'Plano de Contas'!D:D)</f>
        <v>13 - Impostos Estaduais</v>
      </c>
    </row>
    <row r="281" spans="1:5" hidden="1" x14ac:dyDescent="0.25">
      <c r="A281" s="23">
        <f t="shared" si="2"/>
        <v>43497</v>
      </c>
      <c r="B281" s="5" t="s">
        <v>190</v>
      </c>
      <c r="C281" s="5">
        <v>-28294</v>
      </c>
      <c r="D281" s="5" t="str">
        <f>_xlfn.XLOOKUP(fRealizado5[[#This Row],[Conta]],'Plano de Contas'!A:A,'Plano de Contas'!C:C)</f>
        <v>(-) Impostos</v>
      </c>
      <c r="E281" s="5" t="str">
        <f>_xlfn.XLOOKUP(fRealizado5[[#This Row],[Conta]],'Plano de Contas'!A:A,'Plano de Contas'!D:D)</f>
        <v>14 - Impostos Federais</v>
      </c>
    </row>
    <row r="282" spans="1:5" hidden="1" x14ac:dyDescent="0.25">
      <c r="A282" s="23">
        <f t="shared" si="2"/>
        <v>43525</v>
      </c>
      <c r="B282" s="5" t="s">
        <v>51</v>
      </c>
      <c r="C282" s="5">
        <v>261710</v>
      </c>
      <c r="D282" s="5" t="str">
        <f>_xlfn.XLOOKUP(fRealizado5[[#This Row],[Conta]],'Plano de Contas'!A:A,'Plano de Contas'!C:C)</f>
        <v>(+) RECEITA BRUTA</v>
      </c>
      <c r="E282" s="5" t="str">
        <f>_xlfn.XLOOKUP(fRealizado5[[#This Row],[Conta]],'Plano de Contas'!A:A,'Plano de Contas'!D:D)</f>
        <v>01 - Vendas de Produtos</v>
      </c>
    </row>
    <row r="283" spans="1:5" hidden="1" x14ac:dyDescent="0.25">
      <c r="A283" s="23">
        <f t="shared" si="2"/>
        <v>43525</v>
      </c>
      <c r="B283" s="5" t="s">
        <v>52</v>
      </c>
      <c r="C283" s="5">
        <v>467433</v>
      </c>
      <c r="D283" s="5" t="str">
        <f>_xlfn.XLOOKUP(fRealizado5[[#This Row],[Conta]],'Plano de Contas'!A:A,'Plano de Contas'!C:C)</f>
        <v>(+) RECEITA BRUTA</v>
      </c>
      <c r="E283" s="5" t="str">
        <f>_xlfn.XLOOKUP(fRealizado5[[#This Row],[Conta]],'Plano de Contas'!A:A,'Plano de Contas'!D:D)</f>
        <v>01 - Vendas de Produtos</v>
      </c>
    </row>
    <row r="284" spans="1:5" hidden="1" x14ac:dyDescent="0.25">
      <c r="A284" s="23">
        <f t="shared" si="2"/>
        <v>43525</v>
      </c>
      <c r="B284" s="5" t="s">
        <v>53</v>
      </c>
      <c r="C284" s="5">
        <v>818011</v>
      </c>
      <c r="D284" s="5" t="str">
        <f>_xlfn.XLOOKUP(fRealizado5[[#This Row],[Conta]],'Plano de Contas'!A:A,'Plano de Contas'!C:C)</f>
        <v>(+) RECEITA BRUTA</v>
      </c>
      <c r="E284" s="5" t="str">
        <f>_xlfn.XLOOKUP(fRealizado5[[#This Row],[Conta]],'Plano de Contas'!A:A,'Plano de Contas'!D:D)</f>
        <v>01 - Vendas de Produtos</v>
      </c>
    </row>
    <row r="285" spans="1:5" hidden="1" x14ac:dyDescent="0.25">
      <c r="A285" s="23">
        <f t="shared" si="2"/>
        <v>43525</v>
      </c>
      <c r="B285" s="5" t="s">
        <v>54</v>
      </c>
      <c r="C285" s="5">
        <v>926236</v>
      </c>
      <c r="D285" s="5" t="str">
        <f>_xlfn.XLOOKUP(fRealizado5[[#This Row],[Conta]],'Plano de Contas'!A:A,'Plano de Contas'!C:C)</f>
        <v>(+) RECEITA BRUTA</v>
      </c>
      <c r="E285" s="5" t="str">
        <f>_xlfn.XLOOKUP(fRealizado5[[#This Row],[Conta]],'Plano de Contas'!A:A,'Plano de Contas'!D:D)</f>
        <v>01 - Vendas de Produtos</v>
      </c>
    </row>
    <row r="286" spans="1:5" hidden="1" x14ac:dyDescent="0.25">
      <c r="A286" s="23">
        <f t="shared" si="2"/>
        <v>43525</v>
      </c>
      <c r="B286" s="5" t="s">
        <v>55</v>
      </c>
      <c r="C286" s="5">
        <v>857348</v>
      </c>
      <c r="D286" s="5" t="str">
        <f>_xlfn.XLOOKUP(fRealizado5[[#This Row],[Conta]],'Plano de Contas'!A:A,'Plano de Contas'!C:C)</f>
        <v>(+) RECEITA BRUTA</v>
      </c>
      <c r="E286" s="5" t="str">
        <f>_xlfn.XLOOKUP(fRealizado5[[#This Row],[Conta]],'Plano de Contas'!A:A,'Plano de Contas'!D:D)</f>
        <v>01 - Vendas de Produtos</v>
      </c>
    </row>
    <row r="287" spans="1:5" hidden="1" x14ac:dyDescent="0.25">
      <c r="A287" s="23">
        <f t="shared" si="2"/>
        <v>43525</v>
      </c>
      <c r="B287" s="5" t="s">
        <v>56</v>
      </c>
      <c r="C287" s="5">
        <v>704503</v>
      </c>
      <c r="D287" s="5" t="str">
        <f>_xlfn.XLOOKUP(fRealizado5[[#This Row],[Conta]],'Plano de Contas'!A:A,'Plano de Contas'!C:C)</f>
        <v>(+) RECEITA BRUTA</v>
      </c>
      <c r="E287" s="5" t="str">
        <f>_xlfn.XLOOKUP(fRealizado5[[#This Row],[Conta]],'Plano de Contas'!A:A,'Plano de Contas'!D:D)</f>
        <v>01 - Vendas de Produtos</v>
      </c>
    </row>
    <row r="288" spans="1:5" hidden="1" x14ac:dyDescent="0.25">
      <c r="A288" s="23">
        <f t="shared" si="2"/>
        <v>43525</v>
      </c>
      <c r="B288" s="5" t="s">
        <v>57</v>
      </c>
      <c r="C288" s="5">
        <v>605201</v>
      </c>
      <c r="D288" s="5" t="str">
        <f>_xlfn.XLOOKUP(fRealizado5[[#This Row],[Conta]],'Plano de Contas'!A:A,'Plano de Contas'!C:C)</f>
        <v>(+) RECEITA BRUTA</v>
      </c>
      <c r="E288" s="5" t="str">
        <f>_xlfn.XLOOKUP(fRealizado5[[#This Row],[Conta]],'Plano de Contas'!A:A,'Plano de Contas'!D:D)</f>
        <v>01 - Vendas de Produtos</v>
      </c>
    </row>
    <row r="289" spans="1:5" hidden="1" x14ac:dyDescent="0.25">
      <c r="A289" s="23">
        <f t="shared" si="2"/>
        <v>43525</v>
      </c>
      <c r="B289" s="5" t="s">
        <v>58</v>
      </c>
      <c r="C289" s="5">
        <v>885922</v>
      </c>
      <c r="D289" s="5" t="str">
        <f>_xlfn.XLOOKUP(fRealizado5[[#This Row],[Conta]],'Plano de Contas'!A:A,'Plano de Contas'!C:C)</f>
        <v>(+) RECEITA BRUTA</v>
      </c>
      <c r="E289" s="5" t="str">
        <f>_xlfn.XLOOKUP(fRealizado5[[#This Row],[Conta]],'Plano de Contas'!A:A,'Plano de Contas'!D:D)</f>
        <v>01 - Vendas de Produtos</v>
      </c>
    </row>
    <row r="290" spans="1:5" hidden="1" x14ac:dyDescent="0.25">
      <c r="A290" s="23">
        <f t="shared" si="2"/>
        <v>43525</v>
      </c>
      <c r="B290" s="5" t="s">
        <v>59</v>
      </c>
      <c r="C290" s="5">
        <v>822114</v>
      </c>
      <c r="D290" s="5" t="str">
        <f>_xlfn.XLOOKUP(fRealizado5[[#This Row],[Conta]],'Plano de Contas'!A:A,'Plano de Contas'!C:C)</f>
        <v>(+) RECEITA BRUTA</v>
      </c>
      <c r="E290" s="5" t="str">
        <f>_xlfn.XLOOKUP(fRealizado5[[#This Row],[Conta]],'Plano de Contas'!A:A,'Plano de Contas'!D:D)</f>
        <v>01 - Vendas de Produtos</v>
      </c>
    </row>
    <row r="291" spans="1:5" hidden="1" x14ac:dyDescent="0.25">
      <c r="A291" s="23">
        <f t="shared" si="2"/>
        <v>43525</v>
      </c>
      <c r="B291" s="5" t="s">
        <v>60</v>
      </c>
      <c r="C291" s="5">
        <v>604480</v>
      </c>
      <c r="D291" s="5" t="str">
        <f>_xlfn.XLOOKUP(fRealizado5[[#This Row],[Conta]],'Plano de Contas'!A:A,'Plano de Contas'!C:C)</f>
        <v>(+) RECEITA BRUTA</v>
      </c>
      <c r="E291" s="5" t="str">
        <f>_xlfn.XLOOKUP(fRealizado5[[#This Row],[Conta]],'Plano de Contas'!A:A,'Plano de Contas'!D:D)</f>
        <v>01 - Vendas de Produtos</v>
      </c>
    </row>
    <row r="292" spans="1:5" hidden="1" x14ac:dyDescent="0.25">
      <c r="A292" s="23">
        <f t="shared" si="2"/>
        <v>43525</v>
      </c>
      <c r="B292" s="5" t="s">
        <v>61</v>
      </c>
      <c r="C292" s="5">
        <v>825229</v>
      </c>
      <c r="D292" s="5" t="str">
        <f>_xlfn.XLOOKUP(fRealizado5[[#This Row],[Conta]],'Plano de Contas'!A:A,'Plano de Contas'!C:C)</f>
        <v>(+) RECEITA BRUTA</v>
      </c>
      <c r="E292" s="5" t="str">
        <f>_xlfn.XLOOKUP(fRealizado5[[#This Row],[Conta]],'Plano de Contas'!A:A,'Plano de Contas'!D:D)</f>
        <v>01 - Vendas de Produtos</v>
      </c>
    </row>
    <row r="293" spans="1:5" hidden="1" x14ac:dyDescent="0.25">
      <c r="A293" s="23">
        <f t="shared" si="2"/>
        <v>43525</v>
      </c>
      <c r="B293" s="5" t="s">
        <v>62</v>
      </c>
      <c r="C293" s="5">
        <v>459911</v>
      </c>
      <c r="D293" s="5" t="str">
        <f>_xlfn.XLOOKUP(fRealizado5[[#This Row],[Conta]],'Plano de Contas'!A:A,'Plano de Contas'!C:C)</f>
        <v>(+) RECEITA BRUTA</v>
      </c>
      <c r="E293" s="5" t="str">
        <f>_xlfn.XLOOKUP(fRealizado5[[#This Row],[Conta]],'Plano de Contas'!A:A,'Plano de Contas'!D:D)</f>
        <v>01 - Vendas de Produtos</v>
      </c>
    </row>
    <row r="294" spans="1:5" hidden="1" x14ac:dyDescent="0.25">
      <c r="A294" s="23">
        <f t="shared" si="2"/>
        <v>43525</v>
      </c>
      <c r="B294" s="5" t="s">
        <v>63</v>
      </c>
      <c r="C294" s="5">
        <v>415644</v>
      </c>
      <c r="D294" s="5" t="str">
        <f>_xlfn.XLOOKUP(fRealizado5[[#This Row],[Conta]],'Plano de Contas'!A:A,'Plano de Contas'!C:C)</f>
        <v>(+) RECEITA BRUTA</v>
      </c>
      <c r="E294" s="5" t="str">
        <f>_xlfn.XLOOKUP(fRealizado5[[#This Row],[Conta]],'Plano de Contas'!A:A,'Plano de Contas'!D:D)</f>
        <v>01 - Vendas de Produtos</v>
      </c>
    </row>
    <row r="295" spans="1:5" hidden="1" x14ac:dyDescent="0.25">
      <c r="A295" s="23">
        <f t="shared" si="2"/>
        <v>43525</v>
      </c>
      <c r="B295" s="5" t="s">
        <v>64</v>
      </c>
      <c r="C295" s="5">
        <v>410776</v>
      </c>
      <c r="D295" s="5" t="str">
        <f>_xlfn.XLOOKUP(fRealizado5[[#This Row],[Conta]],'Plano de Contas'!A:A,'Plano de Contas'!C:C)</f>
        <v>(+) RECEITA BRUTA</v>
      </c>
      <c r="E295" s="5" t="str">
        <f>_xlfn.XLOOKUP(fRealizado5[[#This Row],[Conta]],'Plano de Contas'!A:A,'Plano de Contas'!D:D)</f>
        <v>01 - Vendas de Produtos</v>
      </c>
    </row>
    <row r="296" spans="1:5" hidden="1" x14ac:dyDescent="0.25">
      <c r="A296" s="23">
        <f t="shared" si="2"/>
        <v>43525</v>
      </c>
      <c r="B296" s="5" t="s">
        <v>65</v>
      </c>
      <c r="C296" s="5">
        <v>590332</v>
      </c>
      <c r="D296" s="5" t="str">
        <f>_xlfn.XLOOKUP(fRealizado5[[#This Row],[Conta]],'Plano de Contas'!A:A,'Plano de Contas'!C:C)</f>
        <v>(+) RECEITA BRUTA</v>
      </c>
      <c r="E296" s="5" t="str">
        <f>_xlfn.XLOOKUP(fRealizado5[[#This Row],[Conta]],'Plano de Contas'!A:A,'Plano de Contas'!D:D)</f>
        <v>01 - Vendas de Produtos</v>
      </c>
    </row>
    <row r="297" spans="1:5" hidden="1" x14ac:dyDescent="0.25">
      <c r="A297" s="23">
        <f t="shared" si="2"/>
        <v>43525</v>
      </c>
      <c r="B297" s="5" t="s">
        <v>66</v>
      </c>
      <c r="C297" s="5">
        <v>711836</v>
      </c>
      <c r="D297" s="5" t="str">
        <f>_xlfn.XLOOKUP(fRealizado5[[#This Row],[Conta]],'Plano de Contas'!A:A,'Plano de Contas'!C:C)</f>
        <v>(+) RECEITA BRUTA</v>
      </c>
      <c r="E297" s="5" t="str">
        <f>_xlfn.XLOOKUP(fRealizado5[[#This Row],[Conta]],'Plano de Contas'!A:A,'Plano de Contas'!D:D)</f>
        <v>01 - Vendas de Produtos</v>
      </c>
    </row>
    <row r="298" spans="1:5" hidden="1" x14ac:dyDescent="0.25">
      <c r="A298" s="23">
        <f t="shared" si="2"/>
        <v>43525</v>
      </c>
      <c r="B298" s="5" t="s">
        <v>67</v>
      </c>
      <c r="C298" s="5">
        <v>973509</v>
      </c>
      <c r="D298" s="5" t="str">
        <f>_xlfn.XLOOKUP(fRealizado5[[#This Row],[Conta]],'Plano de Contas'!A:A,'Plano de Contas'!C:C)</f>
        <v>(+) RECEITA BRUTA</v>
      </c>
      <c r="E298" s="5" t="str">
        <f>_xlfn.XLOOKUP(fRealizado5[[#This Row],[Conta]],'Plano de Contas'!A:A,'Plano de Contas'!D:D)</f>
        <v>01 - Vendas de Produtos</v>
      </c>
    </row>
    <row r="299" spans="1:5" hidden="1" x14ac:dyDescent="0.25">
      <c r="A299" s="23">
        <f t="shared" si="2"/>
        <v>43525</v>
      </c>
      <c r="B299" s="5" t="s">
        <v>68</v>
      </c>
      <c r="C299" s="5">
        <v>939198</v>
      </c>
      <c r="D299" s="5" t="str">
        <f>_xlfn.XLOOKUP(fRealizado5[[#This Row],[Conta]],'Plano de Contas'!A:A,'Plano de Contas'!C:C)</f>
        <v>(+) RECEITA BRUTA</v>
      </c>
      <c r="E299" s="5" t="str">
        <f>_xlfn.XLOOKUP(fRealizado5[[#This Row],[Conta]],'Plano de Contas'!A:A,'Plano de Contas'!D:D)</f>
        <v>01 - Vendas de Produtos</v>
      </c>
    </row>
    <row r="300" spans="1:5" hidden="1" x14ac:dyDescent="0.25">
      <c r="A300" s="23">
        <f t="shared" si="2"/>
        <v>43525</v>
      </c>
      <c r="B300" s="5" t="s">
        <v>69</v>
      </c>
      <c r="C300" s="5">
        <v>665175</v>
      </c>
      <c r="D300" s="5" t="str">
        <f>_xlfn.XLOOKUP(fRealizado5[[#This Row],[Conta]],'Plano de Contas'!A:A,'Plano de Contas'!C:C)</f>
        <v>(+) RECEITA BRUTA</v>
      </c>
      <c r="E300" s="5" t="str">
        <f>_xlfn.XLOOKUP(fRealizado5[[#This Row],[Conta]],'Plano de Contas'!A:A,'Plano de Contas'!D:D)</f>
        <v>01 - Vendas de Produtos</v>
      </c>
    </row>
    <row r="301" spans="1:5" hidden="1" x14ac:dyDescent="0.25">
      <c r="A301" s="23">
        <f t="shared" si="2"/>
        <v>43525</v>
      </c>
      <c r="B301" s="5" t="s">
        <v>70</v>
      </c>
      <c r="C301" s="5">
        <v>866865</v>
      </c>
      <c r="D301" s="5" t="str">
        <f>_xlfn.XLOOKUP(fRealizado5[[#This Row],[Conta]],'Plano de Contas'!A:A,'Plano de Contas'!C:C)</f>
        <v>(+) RECEITA BRUTA</v>
      </c>
      <c r="E301" s="5" t="str">
        <f>_xlfn.XLOOKUP(fRealizado5[[#This Row],[Conta]],'Plano de Contas'!A:A,'Plano de Contas'!D:D)</f>
        <v>01 - Vendas de Produtos</v>
      </c>
    </row>
    <row r="302" spans="1:5" hidden="1" x14ac:dyDescent="0.25">
      <c r="A302" s="23">
        <f t="shared" si="2"/>
        <v>43525</v>
      </c>
      <c r="B302" s="5" t="s">
        <v>71</v>
      </c>
      <c r="C302" s="5">
        <v>235785</v>
      </c>
      <c r="D302" s="5" t="str">
        <f>_xlfn.XLOOKUP(fRealizado5[[#This Row],[Conta]],'Plano de Contas'!A:A,'Plano de Contas'!C:C)</f>
        <v>(+) RECEITA BRUTA</v>
      </c>
      <c r="E302" s="5" t="str">
        <f>_xlfn.XLOOKUP(fRealizado5[[#This Row],[Conta]],'Plano de Contas'!A:A,'Plano de Contas'!D:D)</f>
        <v>01 - Vendas de Produtos</v>
      </c>
    </row>
    <row r="303" spans="1:5" hidden="1" x14ac:dyDescent="0.25">
      <c r="A303" s="23">
        <f t="shared" si="2"/>
        <v>43525</v>
      </c>
      <c r="B303" s="5" t="s">
        <v>72</v>
      </c>
      <c r="C303" s="5">
        <v>676379</v>
      </c>
      <c r="D303" s="5" t="str">
        <f>_xlfn.XLOOKUP(fRealizado5[[#This Row],[Conta]],'Plano de Contas'!A:A,'Plano de Contas'!C:C)</f>
        <v>(+) RECEITA BRUTA</v>
      </c>
      <c r="E303" s="5" t="str">
        <f>_xlfn.XLOOKUP(fRealizado5[[#This Row],[Conta]],'Plano de Contas'!A:A,'Plano de Contas'!D:D)</f>
        <v>01 - Vendas de Produtos</v>
      </c>
    </row>
    <row r="304" spans="1:5" hidden="1" x14ac:dyDescent="0.25">
      <c r="A304" s="23">
        <f t="shared" si="2"/>
        <v>43525</v>
      </c>
      <c r="B304" s="5" t="s">
        <v>73</v>
      </c>
      <c r="C304" s="5">
        <v>199741</v>
      </c>
      <c r="D304" s="5" t="str">
        <f>_xlfn.XLOOKUP(fRealizado5[[#This Row],[Conta]],'Plano de Contas'!A:A,'Plano de Contas'!C:C)</f>
        <v>(+) RECEITA BRUTA</v>
      </c>
      <c r="E304" s="5" t="str">
        <f>_xlfn.XLOOKUP(fRealizado5[[#This Row],[Conta]],'Plano de Contas'!A:A,'Plano de Contas'!D:D)</f>
        <v>01 - Vendas de Produtos</v>
      </c>
    </row>
    <row r="305" spans="1:5" hidden="1" x14ac:dyDescent="0.25">
      <c r="A305" s="23">
        <f t="shared" si="2"/>
        <v>43525</v>
      </c>
      <c r="B305" s="5" t="s">
        <v>74</v>
      </c>
      <c r="C305" s="5">
        <v>170012</v>
      </c>
      <c r="D305" s="5" t="str">
        <f>_xlfn.XLOOKUP(fRealizado5[[#This Row],[Conta]],'Plano de Contas'!A:A,'Plano de Contas'!C:C)</f>
        <v>(+) RECEITA BRUTA</v>
      </c>
      <c r="E305" s="5" t="str">
        <f>_xlfn.XLOOKUP(fRealizado5[[#This Row],[Conta]],'Plano de Contas'!A:A,'Plano de Contas'!D:D)</f>
        <v>01 - Vendas de Produtos</v>
      </c>
    </row>
    <row r="306" spans="1:5" hidden="1" x14ac:dyDescent="0.25">
      <c r="A306" s="23">
        <f t="shared" si="2"/>
        <v>43525</v>
      </c>
      <c r="B306" s="5" t="s">
        <v>75</v>
      </c>
      <c r="C306" s="5">
        <v>245264</v>
      </c>
      <c r="D306" s="5" t="str">
        <f>_xlfn.XLOOKUP(fRealizado5[[#This Row],[Conta]],'Plano de Contas'!A:A,'Plano de Contas'!C:C)</f>
        <v>(+) RECEITA BRUTA</v>
      </c>
      <c r="E306" s="5" t="str">
        <f>_xlfn.XLOOKUP(fRealizado5[[#This Row],[Conta]],'Plano de Contas'!A:A,'Plano de Contas'!D:D)</f>
        <v>02 - Outras Receitas</v>
      </c>
    </row>
    <row r="307" spans="1:5" hidden="1" x14ac:dyDescent="0.25">
      <c r="A307" s="23">
        <f t="shared" si="2"/>
        <v>43525</v>
      </c>
      <c r="B307" s="5" t="s">
        <v>76</v>
      </c>
      <c r="C307" s="5">
        <v>264553</v>
      </c>
      <c r="D307" s="5" t="str">
        <f>_xlfn.XLOOKUP(fRealizado5[[#This Row],[Conta]],'Plano de Contas'!A:A,'Plano de Contas'!C:C)</f>
        <v>(+) RECEITA BRUTA</v>
      </c>
      <c r="E307" s="5" t="str">
        <f>_xlfn.XLOOKUP(fRealizado5[[#This Row],[Conta]],'Plano de Contas'!A:A,'Plano de Contas'!D:D)</f>
        <v>02 - Outras Receitas</v>
      </c>
    </row>
    <row r="308" spans="1:5" hidden="1" x14ac:dyDescent="0.25">
      <c r="A308" s="23">
        <f t="shared" si="2"/>
        <v>43525</v>
      </c>
      <c r="B308" s="5" t="s">
        <v>77</v>
      </c>
      <c r="C308" s="5">
        <v>226115</v>
      </c>
      <c r="D308" s="5" t="str">
        <f>_xlfn.XLOOKUP(fRealizado5[[#This Row],[Conta]],'Plano de Contas'!A:A,'Plano de Contas'!C:C)</f>
        <v>(+) RECEITA BRUTA</v>
      </c>
      <c r="E308" s="5" t="str">
        <f>_xlfn.XLOOKUP(fRealizado5[[#This Row],[Conta]],'Plano de Contas'!A:A,'Plano de Contas'!D:D)</f>
        <v>02 - Outras Receitas</v>
      </c>
    </row>
    <row r="309" spans="1:5" hidden="1" x14ac:dyDescent="0.25">
      <c r="A309" s="23">
        <f t="shared" si="2"/>
        <v>43525</v>
      </c>
      <c r="B309" s="5" t="s">
        <v>78</v>
      </c>
      <c r="C309" s="5">
        <v>231223</v>
      </c>
      <c r="D309" s="5" t="str">
        <f>_xlfn.XLOOKUP(fRealizado5[[#This Row],[Conta]],'Plano de Contas'!A:A,'Plano de Contas'!C:C)</f>
        <v>(+) RECEITA BRUTA</v>
      </c>
      <c r="E309" s="5" t="str">
        <f>_xlfn.XLOOKUP(fRealizado5[[#This Row],[Conta]],'Plano de Contas'!A:A,'Plano de Contas'!D:D)</f>
        <v>02 - Outras Receitas</v>
      </c>
    </row>
    <row r="310" spans="1:5" hidden="1" x14ac:dyDescent="0.25">
      <c r="A310" s="23">
        <f t="shared" si="2"/>
        <v>43525</v>
      </c>
      <c r="B310" s="5" t="s">
        <v>79</v>
      </c>
      <c r="C310" s="5">
        <v>180586</v>
      </c>
      <c r="D310" s="5" t="str">
        <f>_xlfn.XLOOKUP(fRealizado5[[#This Row],[Conta]],'Plano de Contas'!A:A,'Plano de Contas'!C:C)</f>
        <v>(+) RECEITA BRUTA</v>
      </c>
      <c r="E310" s="5" t="str">
        <f>_xlfn.XLOOKUP(fRealizado5[[#This Row],[Conta]],'Plano de Contas'!A:A,'Plano de Contas'!D:D)</f>
        <v>02 - Outras Receitas</v>
      </c>
    </row>
    <row r="311" spans="1:5" hidden="1" x14ac:dyDescent="0.25">
      <c r="A311" s="23">
        <f t="shared" si="2"/>
        <v>43525</v>
      </c>
      <c r="B311" s="5" t="s">
        <v>80</v>
      </c>
      <c r="C311" s="5">
        <v>226063</v>
      </c>
      <c r="D311" s="5" t="str">
        <f>_xlfn.XLOOKUP(fRealizado5[[#This Row],[Conta]],'Plano de Contas'!A:A,'Plano de Contas'!C:C)</f>
        <v>(+) RECEITA BRUTA</v>
      </c>
      <c r="E311" s="5" t="str">
        <f>_xlfn.XLOOKUP(fRealizado5[[#This Row],[Conta]],'Plano de Contas'!A:A,'Plano de Contas'!D:D)</f>
        <v>02 - Outras Receitas</v>
      </c>
    </row>
    <row r="312" spans="1:5" hidden="1" x14ac:dyDescent="0.25">
      <c r="A312" s="23">
        <f t="shared" si="2"/>
        <v>43525</v>
      </c>
      <c r="B312" s="5" t="s">
        <v>81</v>
      </c>
      <c r="C312" s="5">
        <v>121808</v>
      </c>
      <c r="D312" s="5" t="str">
        <f>_xlfn.XLOOKUP(fRealizado5[[#This Row],[Conta]],'Plano de Contas'!A:A,'Plano de Contas'!C:C)</f>
        <v>(+) RECEITA BRUTA</v>
      </c>
      <c r="E312" s="5" t="str">
        <f>_xlfn.XLOOKUP(fRealizado5[[#This Row],[Conta]],'Plano de Contas'!A:A,'Plano de Contas'!D:D)</f>
        <v>02 - Outras Receitas</v>
      </c>
    </row>
    <row r="313" spans="1:5" hidden="1" x14ac:dyDescent="0.25">
      <c r="A313" s="23">
        <f t="shared" si="2"/>
        <v>43525</v>
      </c>
      <c r="B313" s="5" t="s">
        <v>82</v>
      </c>
      <c r="C313" s="5">
        <v>241959</v>
      </c>
      <c r="D313" s="5" t="str">
        <f>_xlfn.XLOOKUP(fRealizado5[[#This Row],[Conta]],'Plano de Contas'!A:A,'Plano de Contas'!C:C)</f>
        <v>(+) RECEITA BRUTA</v>
      </c>
      <c r="E313" s="5" t="str">
        <f>_xlfn.XLOOKUP(fRealizado5[[#This Row],[Conta]],'Plano de Contas'!A:A,'Plano de Contas'!D:D)</f>
        <v>02 - Outras Receitas</v>
      </c>
    </row>
    <row r="314" spans="1:5" hidden="1" x14ac:dyDescent="0.25">
      <c r="A314" s="23">
        <f t="shared" si="2"/>
        <v>43525</v>
      </c>
      <c r="B314" s="5" t="s">
        <v>83</v>
      </c>
      <c r="C314" s="5">
        <v>133108</v>
      </c>
      <c r="D314" s="5" t="str">
        <f>_xlfn.XLOOKUP(fRealizado5[[#This Row],[Conta]],'Plano de Contas'!A:A,'Plano de Contas'!C:C)</f>
        <v>(+) RECEITA BRUTA</v>
      </c>
      <c r="E314" s="5" t="str">
        <f>_xlfn.XLOOKUP(fRealizado5[[#This Row],[Conta]],'Plano de Contas'!A:A,'Plano de Contas'!D:D)</f>
        <v>02 - Outras Receitas</v>
      </c>
    </row>
    <row r="315" spans="1:5" hidden="1" x14ac:dyDescent="0.25">
      <c r="A315" s="23">
        <f t="shared" si="2"/>
        <v>43525</v>
      </c>
      <c r="B315" s="5" t="s">
        <v>84</v>
      </c>
      <c r="C315" s="5">
        <v>222869</v>
      </c>
      <c r="D315" s="5" t="str">
        <f>_xlfn.XLOOKUP(fRealizado5[[#This Row],[Conta]],'Plano de Contas'!A:A,'Plano de Contas'!C:C)</f>
        <v>(+) RECEITA BRUTA</v>
      </c>
      <c r="E315" s="5" t="str">
        <f>_xlfn.XLOOKUP(fRealizado5[[#This Row],[Conta]],'Plano de Contas'!A:A,'Plano de Contas'!D:D)</f>
        <v>02 - Outras Receitas</v>
      </c>
    </row>
    <row r="316" spans="1:5" hidden="1" x14ac:dyDescent="0.25">
      <c r="A316" s="23">
        <f t="shared" si="2"/>
        <v>43525</v>
      </c>
      <c r="B316" s="5" t="s">
        <v>85</v>
      </c>
      <c r="C316" s="5">
        <v>144902</v>
      </c>
      <c r="D316" s="5" t="str">
        <f>_xlfn.XLOOKUP(fRealizado5[[#This Row],[Conta]],'Plano de Contas'!A:A,'Plano de Contas'!C:C)</f>
        <v>(+) RECEITA BRUTA</v>
      </c>
      <c r="E316" s="5" t="str">
        <f>_xlfn.XLOOKUP(fRealizado5[[#This Row],[Conta]],'Plano de Contas'!A:A,'Plano de Contas'!D:D)</f>
        <v>02 - Outras Receitas</v>
      </c>
    </row>
    <row r="317" spans="1:5" hidden="1" x14ac:dyDescent="0.25">
      <c r="A317" s="23">
        <f t="shared" si="2"/>
        <v>43525</v>
      </c>
      <c r="B317" s="5" t="s">
        <v>86</v>
      </c>
      <c r="C317" s="5">
        <v>60617</v>
      </c>
      <c r="D317" s="5" t="str">
        <f>_xlfn.XLOOKUP(fRealizado5[[#This Row],[Conta]],'Plano de Contas'!A:A,'Plano de Contas'!C:C)</f>
        <v>(+) RECEITA BRUTA</v>
      </c>
      <c r="E317" s="5" t="str">
        <f>_xlfn.XLOOKUP(fRealizado5[[#This Row],[Conta]],'Plano de Contas'!A:A,'Plano de Contas'!D:D)</f>
        <v>02 - Outras Receitas</v>
      </c>
    </row>
    <row r="318" spans="1:5" hidden="1" x14ac:dyDescent="0.25">
      <c r="A318" s="23">
        <f t="shared" si="2"/>
        <v>43525</v>
      </c>
      <c r="B318" s="5" t="s">
        <v>87</v>
      </c>
      <c r="C318" s="5">
        <v>62239</v>
      </c>
      <c r="D318" s="5" t="str">
        <f>_xlfn.XLOOKUP(fRealizado5[[#This Row],[Conta]],'Plano de Contas'!A:A,'Plano de Contas'!C:C)</f>
        <v>(+) RECEITA BRUTA</v>
      </c>
      <c r="E318" s="5" t="str">
        <f>_xlfn.XLOOKUP(fRealizado5[[#This Row],[Conta]],'Plano de Contas'!A:A,'Plano de Contas'!D:D)</f>
        <v>02 - Outras Receitas</v>
      </c>
    </row>
    <row r="319" spans="1:5" hidden="1" x14ac:dyDescent="0.25">
      <c r="A319" s="23">
        <f t="shared" si="2"/>
        <v>43525</v>
      </c>
      <c r="B319" s="5" t="s">
        <v>88</v>
      </c>
      <c r="C319" s="5">
        <v>161848</v>
      </c>
      <c r="D319" s="5" t="str">
        <f>_xlfn.XLOOKUP(fRealizado5[[#This Row],[Conta]],'Plano de Contas'!A:A,'Plano de Contas'!C:C)</f>
        <v>(+) RECEITA BRUTA</v>
      </c>
      <c r="E319" s="5" t="str">
        <f>_xlfn.XLOOKUP(fRealizado5[[#This Row],[Conta]],'Plano de Contas'!A:A,'Plano de Contas'!D:D)</f>
        <v>02 - Outras Receitas</v>
      </c>
    </row>
    <row r="320" spans="1:5" hidden="1" x14ac:dyDescent="0.25">
      <c r="A320" s="23">
        <f t="shared" si="2"/>
        <v>43525</v>
      </c>
      <c r="B320" s="5" t="s">
        <v>89</v>
      </c>
      <c r="C320" s="5">
        <v>196588</v>
      </c>
      <c r="D320" s="5" t="str">
        <f>_xlfn.XLOOKUP(fRealizado5[[#This Row],[Conta]],'Plano de Contas'!A:A,'Plano de Contas'!C:C)</f>
        <v>(+) RECEITA BRUTA</v>
      </c>
      <c r="E320" s="5" t="str">
        <f>_xlfn.XLOOKUP(fRealizado5[[#This Row],[Conta]],'Plano de Contas'!A:A,'Plano de Contas'!D:D)</f>
        <v>02 - Outras Receitas</v>
      </c>
    </row>
    <row r="321" spans="1:5" hidden="1" x14ac:dyDescent="0.25">
      <c r="A321" s="23">
        <f t="shared" si="2"/>
        <v>43525</v>
      </c>
      <c r="B321" s="5" t="s">
        <v>90</v>
      </c>
      <c r="C321" s="5">
        <v>157562</v>
      </c>
      <c r="D321" s="5" t="str">
        <f>_xlfn.XLOOKUP(fRealizado5[[#This Row],[Conta]],'Plano de Contas'!A:A,'Plano de Contas'!C:C)</f>
        <v>(+) RECEITA BRUTA</v>
      </c>
      <c r="E321" s="5" t="str">
        <f>_xlfn.XLOOKUP(fRealizado5[[#This Row],[Conta]],'Plano de Contas'!A:A,'Plano de Contas'!D:D)</f>
        <v>02 - Outras Receitas</v>
      </c>
    </row>
    <row r="322" spans="1:5" hidden="1" x14ac:dyDescent="0.25">
      <c r="A322" s="23">
        <f t="shared" si="2"/>
        <v>43525</v>
      </c>
      <c r="B322" s="5" t="s">
        <v>91</v>
      </c>
      <c r="C322" s="5">
        <v>200996</v>
      </c>
      <c r="D322" s="5" t="str">
        <f>_xlfn.XLOOKUP(fRealizado5[[#This Row],[Conta]],'Plano de Contas'!A:A,'Plano de Contas'!C:C)</f>
        <v>(+) RECEITA BRUTA</v>
      </c>
      <c r="E322" s="5" t="str">
        <f>_xlfn.XLOOKUP(fRealizado5[[#This Row],[Conta]],'Plano de Contas'!A:A,'Plano de Contas'!D:D)</f>
        <v>02 - Outras Receitas</v>
      </c>
    </row>
    <row r="323" spans="1:5" hidden="1" x14ac:dyDescent="0.25">
      <c r="A323" s="23">
        <f t="shared" si="2"/>
        <v>43525</v>
      </c>
      <c r="B323" s="5" t="s">
        <v>92</v>
      </c>
      <c r="C323" s="5">
        <v>218310</v>
      </c>
      <c r="D323" s="5" t="str">
        <f>_xlfn.XLOOKUP(fRealizado5[[#This Row],[Conta]],'Plano de Contas'!A:A,'Plano de Contas'!C:C)</f>
        <v>(+) RECEITA BRUTA</v>
      </c>
      <c r="E323" s="5" t="str">
        <f>_xlfn.XLOOKUP(fRealizado5[[#This Row],[Conta]],'Plano de Contas'!A:A,'Plano de Contas'!D:D)</f>
        <v>02 - Outras Receitas</v>
      </c>
    </row>
    <row r="324" spans="1:5" hidden="1" x14ac:dyDescent="0.25">
      <c r="A324" s="23">
        <f t="shared" si="2"/>
        <v>43525</v>
      </c>
      <c r="B324" s="5" t="s">
        <v>93</v>
      </c>
      <c r="C324" s="5">
        <v>122938</v>
      </c>
      <c r="D324" s="5" t="str">
        <f>_xlfn.XLOOKUP(fRealizado5[[#This Row],[Conta]],'Plano de Contas'!A:A,'Plano de Contas'!C:C)</f>
        <v>(+) RECEITA BRUTA</v>
      </c>
      <c r="E324" s="5" t="str">
        <f>_xlfn.XLOOKUP(fRealizado5[[#This Row],[Conta]],'Plano de Contas'!A:A,'Plano de Contas'!D:D)</f>
        <v>02 - Outras Receitas</v>
      </c>
    </row>
    <row r="325" spans="1:5" hidden="1" x14ac:dyDescent="0.25">
      <c r="A325" s="23">
        <f t="shared" si="2"/>
        <v>43525</v>
      </c>
      <c r="B325" s="5" t="s">
        <v>94</v>
      </c>
      <c r="C325" s="5">
        <v>109667</v>
      </c>
      <c r="D325" s="5" t="str">
        <f>_xlfn.XLOOKUP(fRealizado5[[#This Row],[Conta]],'Plano de Contas'!A:A,'Plano de Contas'!C:C)</f>
        <v>(+) RECEITA BRUTA</v>
      </c>
      <c r="E325" s="5" t="str">
        <f>_xlfn.XLOOKUP(fRealizado5[[#This Row],[Conta]],'Plano de Contas'!A:A,'Plano de Contas'!D:D)</f>
        <v>02 - Outras Receitas</v>
      </c>
    </row>
    <row r="326" spans="1:5" hidden="1" x14ac:dyDescent="0.25">
      <c r="A326" s="23">
        <f t="shared" si="2"/>
        <v>43525</v>
      </c>
      <c r="B326" s="5" t="s">
        <v>95</v>
      </c>
      <c r="C326" s="5">
        <v>136067</v>
      </c>
      <c r="D326" s="5" t="str">
        <f>_xlfn.XLOOKUP(fRealizado5[[#This Row],[Conta]],'Plano de Contas'!A:A,'Plano de Contas'!C:C)</f>
        <v>(+) RECEITA BRUTA</v>
      </c>
      <c r="E326" s="5" t="str">
        <f>_xlfn.XLOOKUP(fRealizado5[[#This Row],[Conta]],'Plano de Contas'!A:A,'Plano de Contas'!D:D)</f>
        <v>02 - Outras Receitas</v>
      </c>
    </row>
    <row r="327" spans="1:5" hidden="1" x14ac:dyDescent="0.25">
      <c r="A327" s="23">
        <f t="shared" si="2"/>
        <v>43525</v>
      </c>
      <c r="B327" s="5" t="s">
        <v>96</v>
      </c>
      <c r="C327" s="5">
        <v>232835</v>
      </c>
      <c r="D327" s="5" t="str">
        <f>_xlfn.XLOOKUP(fRealizado5[[#This Row],[Conta]],'Plano de Contas'!A:A,'Plano de Contas'!C:C)</f>
        <v>(+) RECEITA BRUTA</v>
      </c>
      <c r="E327" s="5" t="str">
        <f>_xlfn.XLOOKUP(fRealizado5[[#This Row],[Conta]],'Plano de Contas'!A:A,'Plano de Contas'!D:D)</f>
        <v>02 - Outras Receitas</v>
      </c>
    </row>
    <row r="328" spans="1:5" hidden="1" x14ac:dyDescent="0.25">
      <c r="A328" s="23">
        <f t="shared" si="2"/>
        <v>43525</v>
      </c>
      <c r="B328" s="5" t="s">
        <v>97</v>
      </c>
      <c r="C328" s="5">
        <v>187261</v>
      </c>
      <c r="D328" s="5" t="str">
        <f>_xlfn.XLOOKUP(fRealizado5[[#This Row],[Conta]],'Plano de Contas'!A:A,'Plano de Contas'!C:C)</f>
        <v>(+) RECEITA BRUTA</v>
      </c>
      <c r="E328" s="5" t="str">
        <f>_xlfn.XLOOKUP(fRealizado5[[#This Row],[Conta]],'Plano de Contas'!A:A,'Plano de Contas'!D:D)</f>
        <v>02 - Outras Receitas</v>
      </c>
    </row>
    <row r="329" spans="1:5" hidden="1" x14ac:dyDescent="0.25">
      <c r="A329" s="23">
        <f t="shared" si="2"/>
        <v>43525</v>
      </c>
      <c r="B329" s="5" t="s">
        <v>98</v>
      </c>
      <c r="C329" s="5">
        <v>205688</v>
      </c>
      <c r="D329" s="5" t="str">
        <f>_xlfn.XLOOKUP(fRealizado5[[#This Row],[Conta]],'Plano de Contas'!A:A,'Plano de Contas'!C:C)</f>
        <v>(+) RECEITA BRUTA</v>
      </c>
      <c r="E329" s="5" t="str">
        <f>_xlfn.XLOOKUP(fRealizado5[[#This Row],[Conta]],'Plano de Contas'!A:A,'Plano de Contas'!D:D)</f>
        <v>02 - Outras Receitas</v>
      </c>
    </row>
    <row r="330" spans="1:5" hidden="1" x14ac:dyDescent="0.25">
      <c r="A330" s="23">
        <f t="shared" si="2"/>
        <v>43525</v>
      </c>
      <c r="B330" s="5" t="s">
        <v>99</v>
      </c>
      <c r="C330" s="5">
        <v>121042</v>
      </c>
      <c r="D330" s="5" t="str">
        <f>_xlfn.XLOOKUP(fRealizado5[[#This Row],[Conta]],'Plano de Contas'!A:A,'Plano de Contas'!C:C)</f>
        <v>(+) RECEITA BRUTA</v>
      </c>
      <c r="E330" s="5" t="str">
        <f>_xlfn.XLOOKUP(fRealizado5[[#This Row],[Conta]],'Plano de Contas'!A:A,'Plano de Contas'!D:D)</f>
        <v>02 - Outras Receitas</v>
      </c>
    </row>
    <row r="331" spans="1:5" hidden="1" x14ac:dyDescent="0.25">
      <c r="A331" s="23">
        <f t="shared" si="2"/>
        <v>43525</v>
      </c>
      <c r="B331" s="5" t="s">
        <v>100</v>
      </c>
      <c r="C331" s="5">
        <v>99313</v>
      </c>
      <c r="D331" s="5" t="str">
        <f>_xlfn.XLOOKUP(fRealizado5[[#This Row],[Conta]],'Plano de Contas'!A:A,'Plano de Contas'!C:C)</f>
        <v>(+) RECEITA BRUTA</v>
      </c>
      <c r="E331" s="5" t="str">
        <f>_xlfn.XLOOKUP(fRealizado5[[#This Row],[Conta]],'Plano de Contas'!A:A,'Plano de Contas'!D:D)</f>
        <v>02 - Outras Receitas</v>
      </c>
    </row>
    <row r="332" spans="1:5" hidden="1" x14ac:dyDescent="0.25">
      <c r="A332" s="23">
        <f t="shared" si="2"/>
        <v>43525</v>
      </c>
      <c r="B332" s="5" t="s">
        <v>101</v>
      </c>
      <c r="C332" s="5">
        <v>149597</v>
      </c>
      <c r="D332" s="5" t="str">
        <f>_xlfn.XLOOKUP(fRealizado5[[#This Row],[Conta]],'Plano de Contas'!A:A,'Plano de Contas'!C:C)</f>
        <v>(+) RECEITA BRUTA</v>
      </c>
      <c r="E332" s="5" t="str">
        <f>_xlfn.XLOOKUP(fRealizado5[[#This Row],[Conta]],'Plano de Contas'!A:A,'Plano de Contas'!D:D)</f>
        <v>02 - Outras Receitas</v>
      </c>
    </row>
    <row r="333" spans="1:5" hidden="1" x14ac:dyDescent="0.25">
      <c r="A333" s="23">
        <f t="shared" si="2"/>
        <v>43525</v>
      </c>
      <c r="B333" s="5" t="s">
        <v>102</v>
      </c>
      <c r="C333" s="5">
        <v>194713</v>
      </c>
      <c r="D333" s="5" t="str">
        <f>_xlfn.XLOOKUP(fRealizado5[[#This Row],[Conta]],'Plano de Contas'!A:A,'Plano de Contas'!C:C)</f>
        <v>(+) RECEITA BRUTA</v>
      </c>
      <c r="E333" s="5" t="str">
        <f>_xlfn.XLOOKUP(fRealizado5[[#This Row],[Conta]],'Plano de Contas'!A:A,'Plano de Contas'!D:D)</f>
        <v>02 - Outras Receitas</v>
      </c>
    </row>
    <row r="334" spans="1:5" hidden="1" x14ac:dyDescent="0.25">
      <c r="A334" s="23">
        <f t="shared" si="2"/>
        <v>43525</v>
      </c>
      <c r="B334" s="5" t="s">
        <v>103</v>
      </c>
      <c r="C334" s="5">
        <v>147903</v>
      </c>
      <c r="D334" s="5" t="str">
        <f>_xlfn.XLOOKUP(fRealizado5[[#This Row],[Conta]],'Plano de Contas'!A:A,'Plano de Contas'!C:C)</f>
        <v>(+) RECEITA BRUTA</v>
      </c>
      <c r="E334" s="5" t="str">
        <f>_xlfn.XLOOKUP(fRealizado5[[#This Row],[Conta]],'Plano de Contas'!A:A,'Plano de Contas'!D:D)</f>
        <v>02 - Outras Receitas</v>
      </c>
    </row>
    <row r="335" spans="1:5" hidden="1" x14ac:dyDescent="0.25">
      <c r="A335" s="23">
        <f t="shared" ref="A335:A398" si="3">EDATE(A195,1)</f>
        <v>43525</v>
      </c>
      <c r="B335" s="5" t="s">
        <v>104</v>
      </c>
      <c r="C335" s="5">
        <v>212193</v>
      </c>
      <c r="D335" s="5" t="str">
        <f>_xlfn.XLOOKUP(fRealizado5[[#This Row],[Conta]],'Plano de Contas'!A:A,'Plano de Contas'!C:C)</f>
        <v>(+) RECEITA BRUTA</v>
      </c>
      <c r="E335" s="5" t="str">
        <f>_xlfn.XLOOKUP(fRealizado5[[#This Row],[Conta]],'Plano de Contas'!A:A,'Plano de Contas'!D:D)</f>
        <v>02 - Outras Receitas</v>
      </c>
    </row>
    <row r="336" spans="1:5" hidden="1" x14ac:dyDescent="0.25">
      <c r="A336" s="23">
        <f t="shared" si="3"/>
        <v>43525</v>
      </c>
      <c r="B336" s="5" t="s">
        <v>105</v>
      </c>
      <c r="C336" s="5">
        <v>112185</v>
      </c>
      <c r="D336" s="5" t="str">
        <f>_xlfn.XLOOKUP(fRealizado5[[#This Row],[Conta]],'Plano de Contas'!A:A,'Plano de Contas'!C:C)</f>
        <v>(+) RECEITA BRUTA</v>
      </c>
      <c r="E336" s="5" t="str">
        <f>_xlfn.XLOOKUP(fRealizado5[[#This Row],[Conta]],'Plano de Contas'!A:A,'Plano de Contas'!D:D)</f>
        <v>02 - Outras Receitas</v>
      </c>
    </row>
    <row r="337" spans="1:5" hidden="1" x14ac:dyDescent="0.25">
      <c r="A337" s="23">
        <f t="shared" si="3"/>
        <v>43525</v>
      </c>
      <c r="B337" s="5" t="s">
        <v>106</v>
      </c>
      <c r="C337" s="5">
        <v>271842</v>
      </c>
      <c r="D337" s="5" t="str">
        <f>_xlfn.XLOOKUP(fRealizado5[[#This Row],[Conta]],'Plano de Contas'!A:A,'Plano de Contas'!C:C)</f>
        <v>(+) RECEITA BRUTA</v>
      </c>
      <c r="E337" s="5" t="str">
        <f>_xlfn.XLOOKUP(fRealizado5[[#This Row],[Conta]],'Plano de Contas'!A:A,'Plano de Contas'!D:D)</f>
        <v>02 - Outras Receitas</v>
      </c>
    </row>
    <row r="338" spans="1:5" hidden="1" x14ac:dyDescent="0.25">
      <c r="A338" s="23">
        <f t="shared" si="3"/>
        <v>43525</v>
      </c>
      <c r="B338" s="5" t="s">
        <v>107</v>
      </c>
      <c r="C338" s="5">
        <v>88767</v>
      </c>
      <c r="D338" s="5" t="str">
        <f>_xlfn.XLOOKUP(fRealizado5[[#This Row],[Conta]],'Plano de Contas'!A:A,'Plano de Contas'!C:C)</f>
        <v>(+) RECEITA BRUTA</v>
      </c>
      <c r="E338" s="5" t="str">
        <f>_xlfn.XLOOKUP(fRealizado5[[#This Row],[Conta]],'Plano de Contas'!A:A,'Plano de Contas'!D:D)</f>
        <v>02 - Outras Receitas</v>
      </c>
    </row>
    <row r="339" spans="1:5" hidden="1" x14ac:dyDescent="0.25">
      <c r="A339" s="23">
        <f t="shared" si="3"/>
        <v>43525</v>
      </c>
      <c r="B339" s="5" t="s">
        <v>108</v>
      </c>
      <c r="C339" s="5">
        <v>242847</v>
      </c>
      <c r="D339" s="5" t="str">
        <f>_xlfn.XLOOKUP(fRealizado5[[#This Row],[Conta]],'Plano de Contas'!A:A,'Plano de Contas'!C:C)</f>
        <v>(+) RECEITA BRUTA</v>
      </c>
      <c r="E339" s="5" t="str">
        <f>_xlfn.XLOOKUP(fRealizado5[[#This Row],[Conta]],'Plano de Contas'!A:A,'Plano de Contas'!D:D)</f>
        <v>02 - Outras Receitas</v>
      </c>
    </row>
    <row r="340" spans="1:5" hidden="1" x14ac:dyDescent="0.25">
      <c r="A340" s="23">
        <f t="shared" si="3"/>
        <v>43525</v>
      </c>
      <c r="B340" s="5" t="s">
        <v>109</v>
      </c>
      <c r="C340" s="5">
        <v>70534</v>
      </c>
      <c r="D340" s="5" t="str">
        <f>_xlfn.XLOOKUP(fRealizado5[[#This Row],[Conta]],'Plano de Contas'!A:A,'Plano de Contas'!C:C)</f>
        <v>(+) RECEITA BRUTA</v>
      </c>
      <c r="E340" s="5" t="str">
        <f>_xlfn.XLOOKUP(fRealizado5[[#This Row],[Conta]],'Plano de Contas'!A:A,'Plano de Contas'!D:D)</f>
        <v>02 - Outras Receitas</v>
      </c>
    </row>
    <row r="341" spans="1:5" hidden="1" x14ac:dyDescent="0.25">
      <c r="A341" s="23">
        <f t="shared" si="3"/>
        <v>43525</v>
      </c>
      <c r="B341" s="5" t="s">
        <v>110</v>
      </c>
      <c r="C341" s="5">
        <v>-1045</v>
      </c>
      <c r="D341" s="5" t="str">
        <f>_xlfn.XLOOKUP(fRealizado5[[#This Row],[Conta]],'Plano de Contas'!A:A,'Plano de Contas'!C:C)</f>
        <v>(-) Deduções da Receita</v>
      </c>
      <c r="E341" s="5" t="str">
        <f>_xlfn.XLOOKUP(fRealizado5[[#This Row],[Conta]],'Plano de Contas'!A:A,'Plano de Contas'!D:D)</f>
        <v>03 - Devoluções de Produtos</v>
      </c>
    </row>
    <row r="342" spans="1:5" hidden="1" x14ac:dyDescent="0.25">
      <c r="A342" s="23">
        <f t="shared" si="3"/>
        <v>43525</v>
      </c>
      <c r="B342" s="5" t="s">
        <v>111</v>
      </c>
      <c r="C342" s="5">
        <v>-6349</v>
      </c>
      <c r="D342" s="5" t="str">
        <f>_xlfn.XLOOKUP(fRealizado5[[#This Row],[Conta]],'Plano de Contas'!A:A,'Plano de Contas'!C:C)</f>
        <v>(-) Deduções da Receita</v>
      </c>
      <c r="E342" s="5" t="str">
        <f>_xlfn.XLOOKUP(fRealizado5[[#This Row],[Conta]],'Plano de Contas'!A:A,'Plano de Contas'!D:D)</f>
        <v>03 - Devoluções de Produtos</v>
      </c>
    </row>
    <row r="343" spans="1:5" hidden="1" x14ac:dyDescent="0.25">
      <c r="A343" s="23">
        <f t="shared" si="3"/>
        <v>43525</v>
      </c>
      <c r="B343" s="5" t="s">
        <v>112</v>
      </c>
      <c r="C343" s="5">
        <v>-3973</v>
      </c>
      <c r="D343" s="5" t="str">
        <f>_xlfn.XLOOKUP(fRealizado5[[#This Row],[Conta]],'Plano de Contas'!A:A,'Plano de Contas'!C:C)</f>
        <v>(-) Deduções da Receita</v>
      </c>
      <c r="E343" s="5" t="str">
        <f>_xlfn.XLOOKUP(fRealizado5[[#This Row],[Conta]],'Plano de Contas'!A:A,'Plano de Contas'!D:D)</f>
        <v>03 - Devoluções de Produtos</v>
      </c>
    </row>
    <row r="344" spans="1:5" hidden="1" x14ac:dyDescent="0.25">
      <c r="A344" s="23">
        <f t="shared" si="3"/>
        <v>43525</v>
      </c>
      <c r="B344" s="5" t="s">
        <v>113</v>
      </c>
      <c r="C344" s="5">
        <v>-2388</v>
      </c>
      <c r="D344" s="5" t="str">
        <f>_xlfn.XLOOKUP(fRealizado5[[#This Row],[Conta]],'Plano de Contas'!A:A,'Plano de Contas'!C:C)</f>
        <v>(-) Deduções da Receita</v>
      </c>
      <c r="E344" s="5" t="str">
        <f>_xlfn.XLOOKUP(fRealizado5[[#This Row],[Conta]],'Plano de Contas'!A:A,'Plano de Contas'!D:D)</f>
        <v>03 - Devoluções de Produtos</v>
      </c>
    </row>
    <row r="345" spans="1:5" hidden="1" x14ac:dyDescent="0.25">
      <c r="A345" s="23">
        <f t="shared" si="3"/>
        <v>43525</v>
      </c>
      <c r="B345" s="5" t="s">
        <v>114</v>
      </c>
      <c r="C345" s="5">
        <v>-3365</v>
      </c>
      <c r="D345" s="5" t="str">
        <f>_xlfn.XLOOKUP(fRealizado5[[#This Row],[Conta]],'Plano de Contas'!A:A,'Plano de Contas'!C:C)</f>
        <v>(-) Deduções da Receita</v>
      </c>
      <c r="E345" s="5" t="str">
        <f>_xlfn.XLOOKUP(fRealizado5[[#This Row],[Conta]],'Plano de Contas'!A:A,'Plano de Contas'!D:D)</f>
        <v>03 - Devoluções de Produtos</v>
      </c>
    </row>
    <row r="346" spans="1:5" hidden="1" x14ac:dyDescent="0.25">
      <c r="A346" s="23">
        <f t="shared" si="3"/>
        <v>43525</v>
      </c>
      <c r="B346" s="5" t="s">
        <v>115</v>
      </c>
      <c r="C346" s="5">
        <v>-3417</v>
      </c>
      <c r="D346" s="5" t="str">
        <f>_xlfn.XLOOKUP(fRealizado5[[#This Row],[Conta]],'Plano de Contas'!A:A,'Plano de Contas'!C:C)</f>
        <v>(-) Deduções da Receita</v>
      </c>
      <c r="E346" s="5" t="str">
        <f>_xlfn.XLOOKUP(fRealizado5[[#This Row],[Conta]],'Plano de Contas'!A:A,'Plano de Contas'!D:D)</f>
        <v>03 - Devoluções de Produtos</v>
      </c>
    </row>
    <row r="347" spans="1:5" hidden="1" x14ac:dyDescent="0.25">
      <c r="A347" s="23">
        <f t="shared" si="3"/>
        <v>43525</v>
      </c>
      <c r="B347" s="5" t="s">
        <v>116</v>
      </c>
      <c r="C347" s="5">
        <v>-5854</v>
      </c>
      <c r="D347" s="5" t="str">
        <f>_xlfn.XLOOKUP(fRealizado5[[#This Row],[Conta]],'Plano de Contas'!A:A,'Plano de Contas'!C:C)</f>
        <v>(-) Deduções da Receita</v>
      </c>
      <c r="E347" s="5" t="str">
        <f>_xlfn.XLOOKUP(fRealizado5[[#This Row],[Conta]],'Plano de Contas'!A:A,'Plano de Contas'!D:D)</f>
        <v>03 - Devoluções de Produtos</v>
      </c>
    </row>
    <row r="348" spans="1:5" hidden="1" x14ac:dyDescent="0.25">
      <c r="A348" s="23">
        <f t="shared" si="3"/>
        <v>43525</v>
      </c>
      <c r="B348" s="5" t="s">
        <v>117</v>
      </c>
      <c r="C348" s="5">
        <v>-2131</v>
      </c>
      <c r="D348" s="5" t="str">
        <f>_xlfn.XLOOKUP(fRealizado5[[#This Row],[Conta]],'Plano de Contas'!A:A,'Plano de Contas'!C:C)</f>
        <v>(-) Deduções da Receita</v>
      </c>
      <c r="E348" s="5" t="str">
        <f>_xlfn.XLOOKUP(fRealizado5[[#This Row],[Conta]],'Plano de Contas'!A:A,'Plano de Contas'!D:D)</f>
        <v>03 - Devoluções de Produtos</v>
      </c>
    </row>
    <row r="349" spans="1:5" hidden="1" x14ac:dyDescent="0.25">
      <c r="A349" s="23">
        <f t="shared" si="3"/>
        <v>43525</v>
      </c>
      <c r="B349" s="5" t="s">
        <v>118</v>
      </c>
      <c r="C349" s="5">
        <v>-1768</v>
      </c>
      <c r="D349" s="5" t="str">
        <f>_xlfn.XLOOKUP(fRealizado5[[#This Row],[Conta]],'Plano de Contas'!A:A,'Plano de Contas'!C:C)</f>
        <v>(-) Deduções da Receita</v>
      </c>
      <c r="E349" s="5" t="str">
        <f>_xlfn.XLOOKUP(fRealizado5[[#This Row],[Conta]],'Plano de Contas'!A:A,'Plano de Contas'!D:D)</f>
        <v>03 - Devoluções de Produtos</v>
      </c>
    </row>
    <row r="350" spans="1:5" hidden="1" x14ac:dyDescent="0.25">
      <c r="A350" s="23">
        <f t="shared" si="3"/>
        <v>43525</v>
      </c>
      <c r="B350" s="5" t="s">
        <v>119</v>
      </c>
      <c r="C350" s="5">
        <v>-8573</v>
      </c>
      <c r="D350" s="5" t="str">
        <f>_xlfn.XLOOKUP(fRealizado5[[#This Row],[Conta]],'Plano de Contas'!A:A,'Plano de Contas'!C:C)</f>
        <v>(-) Deduções da Receita</v>
      </c>
      <c r="E350" s="5" t="str">
        <f>_xlfn.XLOOKUP(fRealizado5[[#This Row],[Conta]],'Plano de Contas'!A:A,'Plano de Contas'!D:D)</f>
        <v>03 - Devoluções de Produtos</v>
      </c>
    </row>
    <row r="351" spans="1:5" hidden="1" x14ac:dyDescent="0.25">
      <c r="A351" s="23">
        <f t="shared" si="3"/>
        <v>43525</v>
      </c>
      <c r="B351" s="5" t="s">
        <v>120</v>
      </c>
      <c r="C351" s="5">
        <v>-3500</v>
      </c>
      <c r="D351" s="5" t="str">
        <f>_xlfn.XLOOKUP(fRealizado5[[#This Row],[Conta]],'Plano de Contas'!A:A,'Plano de Contas'!C:C)</f>
        <v>(-) Deduções da Receita</v>
      </c>
      <c r="E351" s="5" t="str">
        <f>_xlfn.XLOOKUP(fRealizado5[[#This Row],[Conta]],'Plano de Contas'!A:A,'Plano de Contas'!D:D)</f>
        <v>03 - Devoluções de Produtos</v>
      </c>
    </row>
    <row r="352" spans="1:5" hidden="1" x14ac:dyDescent="0.25">
      <c r="A352" s="23">
        <f t="shared" si="3"/>
        <v>43525</v>
      </c>
      <c r="B352" s="5" t="s">
        <v>121</v>
      </c>
      <c r="C352" s="5">
        <v>-6284</v>
      </c>
      <c r="D352" s="5" t="str">
        <f>_xlfn.XLOOKUP(fRealizado5[[#This Row],[Conta]],'Plano de Contas'!A:A,'Plano de Contas'!C:C)</f>
        <v>(-) Deduções da Receita</v>
      </c>
      <c r="E352" s="5" t="str">
        <f>_xlfn.XLOOKUP(fRealizado5[[#This Row],[Conta]],'Plano de Contas'!A:A,'Plano de Contas'!D:D)</f>
        <v>03 - Devoluções de Produtos</v>
      </c>
    </row>
    <row r="353" spans="1:5" hidden="1" x14ac:dyDescent="0.25">
      <c r="A353" s="23">
        <f t="shared" si="3"/>
        <v>43525</v>
      </c>
      <c r="B353" s="5" t="s">
        <v>122</v>
      </c>
      <c r="C353" s="5">
        <v>-4360</v>
      </c>
      <c r="D353" s="5" t="str">
        <f>_xlfn.XLOOKUP(fRealizado5[[#This Row],[Conta]],'Plano de Contas'!A:A,'Plano de Contas'!C:C)</f>
        <v>(-) Deduções da Receita</v>
      </c>
      <c r="E353" s="5" t="str">
        <f>_xlfn.XLOOKUP(fRealizado5[[#This Row],[Conta]],'Plano de Contas'!A:A,'Plano de Contas'!D:D)</f>
        <v>03 - Devoluções de Produtos</v>
      </c>
    </row>
    <row r="354" spans="1:5" hidden="1" x14ac:dyDescent="0.25">
      <c r="A354" s="23">
        <f t="shared" si="3"/>
        <v>43525</v>
      </c>
      <c r="B354" s="5" t="s">
        <v>123</v>
      </c>
      <c r="C354" s="5">
        <v>-4087</v>
      </c>
      <c r="D354" s="5" t="str">
        <f>_xlfn.XLOOKUP(fRealizado5[[#This Row],[Conta]],'Plano de Contas'!A:A,'Plano de Contas'!C:C)</f>
        <v>(-) Deduções da Receita</v>
      </c>
      <c r="E354" s="5" t="str">
        <f>_xlfn.XLOOKUP(fRealizado5[[#This Row],[Conta]],'Plano de Contas'!A:A,'Plano de Contas'!D:D)</f>
        <v>03 - Devoluções de Produtos</v>
      </c>
    </row>
    <row r="355" spans="1:5" hidden="1" x14ac:dyDescent="0.25">
      <c r="A355" s="23">
        <f t="shared" si="3"/>
        <v>43525</v>
      </c>
      <c r="B355" s="5" t="s">
        <v>124</v>
      </c>
      <c r="C355" s="5">
        <v>-3701</v>
      </c>
      <c r="D355" s="5" t="str">
        <f>_xlfn.XLOOKUP(fRealizado5[[#This Row],[Conta]],'Plano de Contas'!A:A,'Plano de Contas'!C:C)</f>
        <v>(-) Deduções da Receita</v>
      </c>
      <c r="E355" s="5" t="str">
        <f>_xlfn.XLOOKUP(fRealizado5[[#This Row],[Conta]],'Plano de Contas'!A:A,'Plano de Contas'!D:D)</f>
        <v>03 - Devoluções de Produtos</v>
      </c>
    </row>
    <row r="356" spans="1:5" hidden="1" x14ac:dyDescent="0.25">
      <c r="A356" s="23">
        <f t="shared" si="3"/>
        <v>43525</v>
      </c>
      <c r="B356" s="5" t="s">
        <v>125</v>
      </c>
      <c r="C356" s="5">
        <v>-2916</v>
      </c>
      <c r="D356" s="5" t="str">
        <f>_xlfn.XLOOKUP(fRealizado5[[#This Row],[Conta]],'Plano de Contas'!A:A,'Plano de Contas'!C:C)</f>
        <v>(-) Deduções da Receita</v>
      </c>
      <c r="E356" s="5" t="str">
        <f>_xlfn.XLOOKUP(fRealizado5[[#This Row],[Conta]],'Plano de Contas'!A:A,'Plano de Contas'!D:D)</f>
        <v>03 - Devoluções de Produtos</v>
      </c>
    </row>
    <row r="357" spans="1:5" hidden="1" x14ac:dyDescent="0.25">
      <c r="A357" s="23">
        <f t="shared" si="3"/>
        <v>43525</v>
      </c>
      <c r="B357" s="5" t="s">
        <v>126</v>
      </c>
      <c r="C357" s="5">
        <v>-3870</v>
      </c>
      <c r="D357" s="5" t="str">
        <f>_xlfn.XLOOKUP(fRealizado5[[#This Row],[Conta]],'Plano de Contas'!A:A,'Plano de Contas'!C:C)</f>
        <v>(-) Deduções da Receita</v>
      </c>
      <c r="E357" s="5" t="str">
        <f>_xlfn.XLOOKUP(fRealizado5[[#This Row],[Conta]],'Plano de Contas'!A:A,'Plano de Contas'!D:D)</f>
        <v>03 - Devoluções de Produtos</v>
      </c>
    </row>
    <row r="358" spans="1:5" hidden="1" x14ac:dyDescent="0.25">
      <c r="A358" s="23">
        <f t="shared" si="3"/>
        <v>43525</v>
      </c>
      <c r="B358" s="5" t="s">
        <v>127</v>
      </c>
      <c r="C358" s="5">
        <v>-2023</v>
      </c>
      <c r="D358" s="5" t="str">
        <f>_xlfn.XLOOKUP(fRealizado5[[#This Row],[Conta]],'Plano de Contas'!A:A,'Plano de Contas'!C:C)</f>
        <v>(-) Deduções da Receita</v>
      </c>
      <c r="E358" s="5" t="str">
        <f>_xlfn.XLOOKUP(fRealizado5[[#This Row],[Conta]],'Plano de Contas'!A:A,'Plano de Contas'!D:D)</f>
        <v>03 - Devoluções de Produtos</v>
      </c>
    </row>
    <row r="359" spans="1:5" hidden="1" x14ac:dyDescent="0.25">
      <c r="A359" s="23">
        <f t="shared" si="3"/>
        <v>43525</v>
      </c>
      <c r="B359" s="5" t="s">
        <v>128</v>
      </c>
      <c r="C359" s="5">
        <v>-4276</v>
      </c>
      <c r="D359" s="5" t="str">
        <f>_xlfn.XLOOKUP(fRealizado5[[#This Row],[Conta]],'Plano de Contas'!A:A,'Plano de Contas'!C:C)</f>
        <v>(-) Deduções da Receita</v>
      </c>
      <c r="E359" s="5" t="str">
        <f>_xlfn.XLOOKUP(fRealizado5[[#This Row],[Conta]],'Plano de Contas'!A:A,'Plano de Contas'!D:D)</f>
        <v>03 - Devoluções de Produtos</v>
      </c>
    </row>
    <row r="360" spans="1:5" hidden="1" x14ac:dyDescent="0.25">
      <c r="A360" s="23">
        <f t="shared" si="3"/>
        <v>43525</v>
      </c>
      <c r="B360" s="5" t="s">
        <v>129</v>
      </c>
      <c r="C360" s="5">
        <v>-1520</v>
      </c>
      <c r="D360" s="5" t="str">
        <f>_xlfn.XLOOKUP(fRealizado5[[#This Row],[Conta]],'Plano de Contas'!A:A,'Plano de Contas'!C:C)</f>
        <v>(-) Deduções da Receita</v>
      </c>
      <c r="E360" s="5" t="str">
        <f>_xlfn.XLOOKUP(fRealizado5[[#This Row],[Conta]],'Plano de Contas'!A:A,'Plano de Contas'!D:D)</f>
        <v>03 - Devoluções de Produtos</v>
      </c>
    </row>
    <row r="361" spans="1:5" hidden="1" x14ac:dyDescent="0.25">
      <c r="A361" s="23">
        <f t="shared" si="3"/>
        <v>43525</v>
      </c>
      <c r="B361" s="5" t="s">
        <v>130</v>
      </c>
      <c r="C361" s="5">
        <v>-7351</v>
      </c>
      <c r="D361" s="5" t="str">
        <f>_xlfn.XLOOKUP(fRealizado5[[#This Row],[Conta]],'Plano de Contas'!A:A,'Plano de Contas'!C:C)</f>
        <v>(-) Deduções da Receita</v>
      </c>
      <c r="E361" s="5" t="str">
        <f>_xlfn.XLOOKUP(fRealizado5[[#This Row],[Conta]],'Plano de Contas'!A:A,'Plano de Contas'!D:D)</f>
        <v>03 - Devoluções de Produtos</v>
      </c>
    </row>
    <row r="362" spans="1:5" hidden="1" x14ac:dyDescent="0.25">
      <c r="A362" s="23">
        <f t="shared" si="3"/>
        <v>43525</v>
      </c>
      <c r="B362" s="5" t="s">
        <v>131</v>
      </c>
      <c r="C362" s="5">
        <v>-6889</v>
      </c>
      <c r="D362" s="5" t="str">
        <f>_xlfn.XLOOKUP(fRealizado5[[#This Row],[Conta]],'Plano de Contas'!A:A,'Plano de Contas'!C:C)</f>
        <v>(-) Deduções da Receita</v>
      </c>
      <c r="E362" s="5" t="str">
        <f>_xlfn.XLOOKUP(fRealizado5[[#This Row],[Conta]],'Plano de Contas'!A:A,'Plano de Contas'!D:D)</f>
        <v>03 - Devoluções de Produtos</v>
      </c>
    </row>
    <row r="363" spans="1:5" hidden="1" x14ac:dyDescent="0.25">
      <c r="A363" s="23">
        <f t="shared" si="3"/>
        <v>43525</v>
      </c>
      <c r="B363" s="5" t="s">
        <v>132</v>
      </c>
      <c r="C363" s="5">
        <v>-4190</v>
      </c>
      <c r="D363" s="5" t="str">
        <f>_xlfn.XLOOKUP(fRealizado5[[#This Row],[Conta]],'Plano de Contas'!A:A,'Plano de Contas'!C:C)</f>
        <v>(-) Deduções da Receita</v>
      </c>
      <c r="E363" s="5" t="str">
        <f>_xlfn.XLOOKUP(fRealizado5[[#This Row],[Conta]],'Plano de Contas'!A:A,'Plano de Contas'!D:D)</f>
        <v>03 - Devoluções de Produtos</v>
      </c>
    </row>
    <row r="364" spans="1:5" hidden="1" x14ac:dyDescent="0.25">
      <c r="A364" s="23">
        <f t="shared" si="3"/>
        <v>43525</v>
      </c>
      <c r="B364" s="5" t="s">
        <v>133</v>
      </c>
      <c r="C364" s="5">
        <v>-5324</v>
      </c>
      <c r="D364" s="5" t="str">
        <f>_xlfn.XLOOKUP(fRealizado5[[#This Row],[Conta]],'Plano de Contas'!A:A,'Plano de Contas'!C:C)</f>
        <v>(-) Deduções da Receita</v>
      </c>
      <c r="E364" s="5" t="str">
        <f>_xlfn.XLOOKUP(fRealizado5[[#This Row],[Conta]],'Plano de Contas'!A:A,'Plano de Contas'!D:D)</f>
        <v>03 - Devoluções de Produtos</v>
      </c>
    </row>
    <row r="365" spans="1:5" hidden="1" x14ac:dyDescent="0.25">
      <c r="A365" s="23">
        <f t="shared" si="3"/>
        <v>43525</v>
      </c>
      <c r="B365" s="5" t="s">
        <v>134</v>
      </c>
      <c r="C365" s="5">
        <v>-5816</v>
      </c>
      <c r="D365" s="5" t="str">
        <f>_xlfn.XLOOKUP(fRealizado5[[#This Row],[Conta]],'Plano de Contas'!A:A,'Plano de Contas'!C:C)</f>
        <v>(-) Deduções da Receita</v>
      </c>
      <c r="E365" s="5" t="str">
        <f>_xlfn.XLOOKUP(fRealizado5[[#This Row],[Conta]],'Plano de Contas'!A:A,'Plano de Contas'!D:D)</f>
        <v>03 - Devoluções de Produtos</v>
      </c>
    </row>
    <row r="366" spans="1:5" hidden="1" x14ac:dyDescent="0.25">
      <c r="A366" s="23">
        <f t="shared" si="3"/>
        <v>43525</v>
      </c>
      <c r="B366" s="5" t="s">
        <v>135</v>
      </c>
      <c r="C366" s="5">
        <v>-1981</v>
      </c>
      <c r="D366" s="5" t="str">
        <f>_xlfn.XLOOKUP(fRealizado5[[#This Row],[Conta]],'Plano de Contas'!A:A,'Plano de Contas'!C:C)</f>
        <v>(-) Deduções da Receita</v>
      </c>
      <c r="E366" s="5" t="str">
        <f>_xlfn.XLOOKUP(fRealizado5[[#This Row],[Conta]],'Plano de Contas'!A:A,'Plano de Contas'!D:D)</f>
        <v>03 - Devoluções de Produtos</v>
      </c>
    </row>
    <row r="367" spans="1:5" hidden="1" x14ac:dyDescent="0.25">
      <c r="A367" s="23">
        <f t="shared" si="3"/>
        <v>43525</v>
      </c>
      <c r="B367" s="5" t="s">
        <v>136</v>
      </c>
      <c r="C367" s="5">
        <v>-9895</v>
      </c>
      <c r="D367" s="5" t="str">
        <f>_xlfn.XLOOKUP(fRealizado5[[#This Row],[Conta]],'Plano de Contas'!A:A,'Plano de Contas'!C:C)</f>
        <v>(-) Deduções da Receita</v>
      </c>
      <c r="E367" s="5" t="str">
        <f>_xlfn.XLOOKUP(fRealizado5[[#This Row],[Conta]],'Plano de Contas'!A:A,'Plano de Contas'!D:D)</f>
        <v>04 - Taxas de Serviço</v>
      </c>
    </row>
    <row r="368" spans="1:5" hidden="1" x14ac:dyDescent="0.25">
      <c r="A368" s="23">
        <f t="shared" si="3"/>
        <v>43525</v>
      </c>
      <c r="B368" s="5" t="s">
        <v>137</v>
      </c>
      <c r="C368" s="5">
        <v>-9792</v>
      </c>
      <c r="D368" s="5" t="str">
        <f>_xlfn.XLOOKUP(fRealizado5[[#This Row],[Conta]],'Plano de Contas'!A:A,'Plano de Contas'!C:C)</f>
        <v>(-) Deduções da Receita</v>
      </c>
      <c r="E368" s="5" t="str">
        <f>_xlfn.XLOOKUP(fRealizado5[[#This Row],[Conta]],'Plano de Contas'!A:A,'Plano de Contas'!D:D)</f>
        <v>04 - Taxas de Serviço</v>
      </c>
    </row>
    <row r="369" spans="1:5" hidden="1" x14ac:dyDescent="0.25">
      <c r="A369" s="23">
        <f t="shared" si="3"/>
        <v>43525</v>
      </c>
      <c r="B369" s="5" t="s">
        <v>138</v>
      </c>
      <c r="C369" s="5">
        <v>-9820</v>
      </c>
      <c r="D369" s="5" t="str">
        <f>_xlfn.XLOOKUP(fRealizado5[[#This Row],[Conta]],'Plano de Contas'!A:A,'Plano de Contas'!C:C)</f>
        <v>(-) Deduções da Receita</v>
      </c>
      <c r="E369" s="5" t="str">
        <f>_xlfn.XLOOKUP(fRealizado5[[#This Row],[Conta]],'Plano de Contas'!A:A,'Plano de Contas'!D:D)</f>
        <v>04 - Taxas de Serviço</v>
      </c>
    </row>
    <row r="370" spans="1:5" hidden="1" x14ac:dyDescent="0.25">
      <c r="A370" s="23">
        <f t="shared" si="3"/>
        <v>43525</v>
      </c>
      <c r="B370" s="5" t="s">
        <v>139</v>
      </c>
      <c r="C370" s="5">
        <v>-9452</v>
      </c>
      <c r="D370" s="5" t="str">
        <f>_xlfn.XLOOKUP(fRealizado5[[#This Row],[Conta]],'Plano de Contas'!A:A,'Plano de Contas'!C:C)</f>
        <v>(-) Deduções da Receita</v>
      </c>
      <c r="E370" s="5" t="str">
        <f>_xlfn.XLOOKUP(fRealizado5[[#This Row],[Conta]],'Plano de Contas'!A:A,'Plano de Contas'!D:D)</f>
        <v>04 - Taxas de Serviço</v>
      </c>
    </row>
    <row r="371" spans="1:5" hidden="1" x14ac:dyDescent="0.25">
      <c r="A371" s="23">
        <f t="shared" si="3"/>
        <v>43525</v>
      </c>
      <c r="B371" s="5" t="s">
        <v>140</v>
      </c>
      <c r="C371" s="5">
        <v>-282759</v>
      </c>
      <c r="D371" s="5" t="str">
        <f>_xlfn.XLOOKUP(fRealizado5[[#This Row],[Conta]],'Plano de Contas'!A:A,'Plano de Contas'!C:C)</f>
        <v>(-) Custos de Vendas</v>
      </c>
      <c r="E371" s="5" t="str">
        <f>_xlfn.XLOOKUP(fRealizado5[[#This Row],[Conta]],'Plano de Contas'!A:A,'Plano de Contas'!D:D)</f>
        <v>05 - Custo do Produto</v>
      </c>
    </row>
    <row r="372" spans="1:5" hidden="1" x14ac:dyDescent="0.25">
      <c r="A372" s="23">
        <f t="shared" si="3"/>
        <v>43525</v>
      </c>
      <c r="B372" s="5" t="s">
        <v>141</v>
      </c>
      <c r="C372" s="5">
        <v>-282781</v>
      </c>
      <c r="D372" s="5" t="str">
        <f>_xlfn.XLOOKUP(fRealizado5[[#This Row],[Conta]],'Plano de Contas'!A:A,'Plano de Contas'!C:C)</f>
        <v>(-) Custos de Vendas</v>
      </c>
      <c r="E372" s="5" t="str">
        <f>_xlfn.XLOOKUP(fRealizado5[[#This Row],[Conta]],'Plano de Contas'!A:A,'Plano de Contas'!D:D)</f>
        <v>05 - Custo do Produto</v>
      </c>
    </row>
    <row r="373" spans="1:5" hidden="1" x14ac:dyDescent="0.25">
      <c r="A373" s="23">
        <f t="shared" si="3"/>
        <v>43525</v>
      </c>
      <c r="B373" s="5" t="s">
        <v>142</v>
      </c>
      <c r="C373" s="5">
        <v>-149243</v>
      </c>
      <c r="D373" s="5" t="str">
        <f>_xlfn.XLOOKUP(fRealizado5[[#This Row],[Conta]],'Plano de Contas'!A:A,'Plano de Contas'!C:C)</f>
        <v>(-) Custos de Vendas</v>
      </c>
      <c r="E373" s="5" t="str">
        <f>_xlfn.XLOOKUP(fRealizado5[[#This Row],[Conta]],'Plano de Contas'!A:A,'Plano de Contas'!D:D)</f>
        <v>05 - Custo do Produto</v>
      </c>
    </row>
    <row r="374" spans="1:5" hidden="1" x14ac:dyDescent="0.25">
      <c r="A374" s="23">
        <f t="shared" si="3"/>
        <v>43525</v>
      </c>
      <c r="B374" s="5" t="s">
        <v>143</v>
      </c>
      <c r="C374" s="5">
        <v>-183080</v>
      </c>
      <c r="D374" s="5" t="str">
        <f>_xlfn.XLOOKUP(fRealizado5[[#This Row],[Conta]],'Plano de Contas'!A:A,'Plano de Contas'!C:C)</f>
        <v>(-) Custos de Vendas</v>
      </c>
      <c r="E374" s="5" t="str">
        <f>_xlfn.XLOOKUP(fRealizado5[[#This Row],[Conta]],'Plano de Contas'!A:A,'Plano de Contas'!D:D)</f>
        <v>05 - Custo do Produto</v>
      </c>
    </row>
    <row r="375" spans="1:5" hidden="1" x14ac:dyDescent="0.25">
      <c r="A375" s="23">
        <f t="shared" si="3"/>
        <v>43525</v>
      </c>
      <c r="B375" s="5" t="s">
        <v>144</v>
      </c>
      <c r="C375" s="5">
        <v>-235356</v>
      </c>
      <c r="D375" s="5" t="str">
        <f>_xlfn.XLOOKUP(fRealizado5[[#This Row],[Conta]],'Plano de Contas'!A:A,'Plano de Contas'!C:C)</f>
        <v>(-) Custos de Vendas</v>
      </c>
      <c r="E375" s="5" t="str">
        <f>_xlfn.XLOOKUP(fRealizado5[[#This Row],[Conta]],'Plano de Contas'!A:A,'Plano de Contas'!D:D)</f>
        <v>05 - Custo do Produto</v>
      </c>
    </row>
    <row r="376" spans="1:5" hidden="1" x14ac:dyDescent="0.25">
      <c r="A376" s="23">
        <f t="shared" si="3"/>
        <v>43525</v>
      </c>
      <c r="B376" s="5" t="s">
        <v>145</v>
      </c>
      <c r="C376" s="5">
        <v>-178139</v>
      </c>
      <c r="D376" s="5" t="str">
        <f>_xlfn.XLOOKUP(fRealizado5[[#This Row],[Conta]],'Plano de Contas'!A:A,'Plano de Contas'!C:C)</f>
        <v>(-) Custos de Vendas</v>
      </c>
      <c r="E376" s="5" t="str">
        <f>_xlfn.XLOOKUP(fRealizado5[[#This Row],[Conta]],'Plano de Contas'!A:A,'Plano de Contas'!D:D)</f>
        <v>05 - Custo do Produto</v>
      </c>
    </row>
    <row r="377" spans="1:5" hidden="1" x14ac:dyDescent="0.25">
      <c r="A377" s="23">
        <f t="shared" si="3"/>
        <v>43525</v>
      </c>
      <c r="B377" s="5" t="s">
        <v>146</v>
      </c>
      <c r="C377" s="5">
        <v>-269576</v>
      </c>
      <c r="D377" s="5" t="str">
        <f>_xlfn.XLOOKUP(fRealizado5[[#This Row],[Conta]],'Plano de Contas'!A:A,'Plano de Contas'!C:C)</f>
        <v>(-) Custos de Vendas</v>
      </c>
      <c r="E377" s="5" t="str">
        <f>_xlfn.XLOOKUP(fRealizado5[[#This Row],[Conta]],'Plano de Contas'!A:A,'Plano de Contas'!D:D)</f>
        <v>05 - Custo do Produto</v>
      </c>
    </row>
    <row r="378" spans="1:5" hidden="1" x14ac:dyDescent="0.25">
      <c r="A378" s="23">
        <f t="shared" si="3"/>
        <v>43525</v>
      </c>
      <c r="B378" s="5" t="s">
        <v>147</v>
      </c>
      <c r="C378" s="5">
        <v>-230846</v>
      </c>
      <c r="D378" s="5" t="str">
        <f>_xlfn.XLOOKUP(fRealizado5[[#This Row],[Conta]],'Plano de Contas'!A:A,'Plano de Contas'!C:C)</f>
        <v>(-) Custos de Vendas</v>
      </c>
      <c r="E378" s="5" t="str">
        <f>_xlfn.XLOOKUP(fRealizado5[[#This Row],[Conta]],'Plano de Contas'!A:A,'Plano de Contas'!D:D)</f>
        <v>05 - Custo do Produto</v>
      </c>
    </row>
    <row r="379" spans="1:5" hidden="1" x14ac:dyDescent="0.25">
      <c r="A379" s="23">
        <f t="shared" si="3"/>
        <v>43525</v>
      </c>
      <c r="B379" s="5" t="s">
        <v>148</v>
      </c>
      <c r="C379" s="5">
        <v>-204134</v>
      </c>
      <c r="D379" s="5" t="str">
        <f>_xlfn.XLOOKUP(fRealizado5[[#This Row],[Conta]],'Plano de Contas'!A:A,'Plano de Contas'!C:C)</f>
        <v>(-) Custos de Vendas</v>
      </c>
      <c r="E379" s="5" t="str">
        <f>_xlfn.XLOOKUP(fRealizado5[[#This Row],[Conta]],'Plano de Contas'!A:A,'Plano de Contas'!D:D)</f>
        <v>05 - Custo do Produto</v>
      </c>
    </row>
    <row r="380" spans="1:5" hidden="1" x14ac:dyDescent="0.25">
      <c r="A380" s="23">
        <f t="shared" si="3"/>
        <v>43525</v>
      </c>
      <c r="B380" s="5" t="s">
        <v>149</v>
      </c>
      <c r="C380" s="5">
        <v>-281792</v>
      </c>
      <c r="D380" s="5" t="str">
        <f>_xlfn.XLOOKUP(fRealizado5[[#This Row],[Conta]],'Plano de Contas'!A:A,'Plano de Contas'!C:C)</f>
        <v>(-) Custos de Vendas</v>
      </c>
      <c r="E380" s="5" t="str">
        <f>_xlfn.XLOOKUP(fRealizado5[[#This Row],[Conta]],'Plano de Contas'!A:A,'Plano de Contas'!D:D)</f>
        <v>05 - Custo do Produto</v>
      </c>
    </row>
    <row r="381" spans="1:5" hidden="1" x14ac:dyDescent="0.25">
      <c r="A381" s="23">
        <f t="shared" si="3"/>
        <v>43525</v>
      </c>
      <c r="B381" s="5" t="s">
        <v>150</v>
      </c>
      <c r="C381" s="5">
        <v>-253048</v>
      </c>
      <c r="D381" s="5" t="str">
        <f>_xlfn.XLOOKUP(fRealizado5[[#This Row],[Conta]],'Plano de Contas'!A:A,'Plano de Contas'!C:C)</f>
        <v>(-) Custos de Vendas</v>
      </c>
      <c r="E381" s="5" t="str">
        <f>_xlfn.XLOOKUP(fRealizado5[[#This Row],[Conta]],'Plano de Contas'!A:A,'Plano de Contas'!D:D)</f>
        <v>05 - Custo do Produto</v>
      </c>
    </row>
    <row r="382" spans="1:5" hidden="1" x14ac:dyDescent="0.25">
      <c r="A382" s="23">
        <f t="shared" si="3"/>
        <v>43525</v>
      </c>
      <c r="B382" s="5" t="s">
        <v>151</v>
      </c>
      <c r="C382" s="5">
        <v>-169939</v>
      </c>
      <c r="D382" s="5" t="str">
        <f>_xlfn.XLOOKUP(fRealizado5[[#This Row],[Conta]],'Plano de Contas'!A:A,'Plano de Contas'!C:C)</f>
        <v>(-) Custos de Vendas</v>
      </c>
      <c r="E382" s="5" t="str">
        <f>_xlfn.XLOOKUP(fRealizado5[[#This Row],[Conta]],'Plano de Contas'!A:A,'Plano de Contas'!D:D)</f>
        <v>05 - Custo do Produto</v>
      </c>
    </row>
    <row r="383" spans="1:5" hidden="1" x14ac:dyDescent="0.25">
      <c r="A383" s="23">
        <f t="shared" si="3"/>
        <v>43525</v>
      </c>
      <c r="B383" s="5" t="s">
        <v>152</v>
      </c>
      <c r="C383" s="5">
        <v>-238360</v>
      </c>
      <c r="D383" s="5" t="str">
        <f>_xlfn.XLOOKUP(fRealizado5[[#This Row],[Conta]],'Plano de Contas'!A:A,'Plano de Contas'!C:C)</f>
        <v>(-) Custos de Vendas</v>
      </c>
      <c r="E383" s="5" t="str">
        <f>_xlfn.XLOOKUP(fRealizado5[[#This Row],[Conta]],'Plano de Contas'!A:A,'Plano de Contas'!D:D)</f>
        <v>05 - Custo do Produto</v>
      </c>
    </row>
    <row r="384" spans="1:5" hidden="1" x14ac:dyDescent="0.25">
      <c r="A384" s="23">
        <f t="shared" si="3"/>
        <v>43525</v>
      </c>
      <c r="B384" s="5" t="s">
        <v>153</v>
      </c>
      <c r="C384" s="5">
        <v>-120082</v>
      </c>
      <c r="D384" s="5" t="str">
        <f>_xlfn.XLOOKUP(fRealizado5[[#This Row],[Conta]],'Plano de Contas'!A:A,'Plano de Contas'!C:C)</f>
        <v>(-) Custos de Vendas</v>
      </c>
      <c r="E384" s="5" t="str">
        <f>_xlfn.XLOOKUP(fRealizado5[[#This Row],[Conta]],'Plano de Contas'!A:A,'Plano de Contas'!D:D)</f>
        <v>05 - Custo do Produto</v>
      </c>
    </row>
    <row r="385" spans="1:5" hidden="1" x14ac:dyDescent="0.25">
      <c r="A385" s="23">
        <f t="shared" si="3"/>
        <v>43525</v>
      </c>
      <c r="B385" s="5" t="s">
        <v>154</v>
      </c>
      <c r="C385" s="5">
        <v>-155660</v>
      </c>
      <c r="D385" s="5" t="str">
        <f>_xlfn.XLOOKUP(fRealizado5[[#This Row],[Conta]],'Plano de Contas'!A:A,'Plano de Contas'!C:C)</f>
        <v>(-) Custos de Vendas</v>
      </c>
      <c r="E385" s="5" t="str">
        <f>_xlfn.XLOOKUP(fRealizado5[[#This Row],[Conta]],'Plano de Contas'!A:A,'Plano de Contas'!D:D)</f>
        <v>05 - Custo do Produto</v>
      </c>
    </row>
    <row r="386" spans="1:5" hidden="1" x14ac:dyDescent="0.25">
      <c r="A386" s="23">
        <f t="shared" si="3"/>
        <v>43525</v>
      </c>
      <c r="B386" s="5" t="s">
        <v>155</v>
      </c>
      <c r="C386" s="5">
        <v>-107910</v>
      </c>
      <c r="D386" s="5" t="str">
        <f>_xlfn.XLOOKUP(fRealizado5[[#This Row],[Conta]],'Plano de Contas'!A:A,'Plano de Contas'!C:C)</f>
        <v>(-) Custos de Vendas</v>
      </c>
      <c r="E386" s="5" t="str">
        <f>_xlfn.XLOOKUP(fRealizado5[[#This Row],[Conta]],'Plano de Contas'!A:A,'Plano de Contas'!D:D)</f>
        <v>05 - Custo do Produto</v>
      </c>
    </row>
    <row r="387" spans="1:5" hidden="1" x14ac:dyDescent="0.25">
      <c r="A387" s="23">
        <f t="shared" si="3"/>
        <v>43525</v>
      </c>
      <c r="B387" s="5" t="s">
        <v>156</v>
      </c>
      <c r="C387" s="5">
        <v>-123984</v>
      </c>
      <c r="D387" s="5" t="str">
        <f>_xlfn.XLOOKUP(fRealizado5[[#This Row],[Conta]],'Plano de Contas'!A:A,'Plano de Contas'!C:C)</f>
        <v>(-) Custos de Vendas</v>
      </c>
      <c r="E387" s="5" t="str">
        <f>_xlfn.XLOOKUP(fRealizado5[[#This Row],[Conta]],'Plano de Contas'!A:A,'Plano de Contas'!D:D)</f>
        <v>05 - Custo do Produto</v>
      </c>
    </row>
    <row r="388" spans="1:5" hidden="1" x14ac:dyDescent="0.25">
      <c r="A388" s="23">
        <f t="shared" si="3"/>
        <v>43525</v>
      </c>
      <c r="B388" s="5" t="s">
        <v>157</v>
      </c>
      <c r="C388" s="5">
        <v>-134564</v>
      </c>
      <c r="D388" s="5" t="str">
        <f>_xlfn.XLOOKUP(fRealizado5[[#This Row],[Conta]],'Plano de Contas'!A:A,'Plano de Contas'!C:C)</f>
        <v>(-) Custos de Vendas</v>
      </c>
      <c r="E388" s="5" t="str">
        <f>_xlfn.XLOOKUP(fRealizado5[[#This Row],[Conta]],'Plano de Contas'!A:A,'Plano de Contas'!D:D)</f>
        <v>05 - Custo do Produto</v>
      </c>
    </row>
    <row r="389" spans="1:5" hidden="1" x14ac:dyDescent="0.25">
      <c r="A389" s="23">
        <f t="shared" si="3"/>
        <v>43525</v>
      </c>
      <c r="B389" s="5" t="s">
        <v>158</v>
      </c>
      <c r="C389" s="5">
        <v>-213627</v>
      </c>
      <c r="D389" s="5" t="str">
        <f>_xlfn.XLOOKUP(fRealizado5[[#This Row],[Conta]],'Plano de Contas'!A:A,'Plano de Contas'!C:C)</f>
        <v>(-) Custos de Vendas</v>
      </c>
      <c r="E389" s="5" t="str">
        <f>_xlfn.XLOOKUP(fRealizado5[[#This Row],[Conta]],'Plano de Contas'!A:A,'Plano de Contas'!D:D)</f>
        <v>05 - Custo do Produto</v>
      </c>
    </row>
    <row r="390" spans="1:5" hidden="1" x14ac:dyDescent="0.25">
      <c r="A390" s="23">
        <f t="shared" si="3"/>
        <v>43525</v>
      </c>
      <c r="B390" s="5" t="s">
        <v>159</v>
      </c>
      <c r="C390" s="5">
        <v>-93294</v>
      </c>
      <c r="D390" s="5" t="str">
        <f>_xlfn.XLOOKUP(fRealizado5[[#This Row],[Conta]],'Plano de Contas'!A:A,'Plano de Contas'!C:C)</f>
        <v>(-) Custos de Vendas</v>
      </c>
      <c r="E390" s="5" t="str">
        <f>_xlfn.XLOOKUP(fRealizado5[[#This Row],[Conta]],'Plano de Contas'!A:A,'Plano de Contas'!D:D)</f>
        <v>05 - Custo do Produto</v>
      </c>
    </row>
    <row r="391" spans="1:5" hidden="1" x14ac:dyDescent="0.25">
      <c r="A391" s="23">
        <f t="shared" si="3"/>
        <v>43525</v>
      </c>
      <c r="B391" s="5" t="s">
        <v>160</v>
      </c>
      <c r="C391" s="5">
        <v>-187113</v>
      </c>
      <c r="D391" s="5" t="str">
        <f>_xlfn.XLOOKUP(fRealizado5[[#This Row],[Conta]],'Plano de Contas'!A:A,'Plano de Contas'!C:C)</f>
        <v>(-) Custos de Vendas</v>
      </c>
      <c r="E391" s="5" t="str">
        <f>_xlfn.XLOOKUP(fRealizado5[[#This Row],[Conta]],'Plano de Contas'!A:A,'Plano de Contas'!D:D)</f>
        <v>05 - Custo do Produto</v>
      </c>
    </row>
    <row r="392" spans="1:5" hidden="1" x14ac:dyDescent="0.25">
      <c r="A392" s="23">
        <f t="shared" si="3"/>
        <v>43525</v>
      </c>
      <c r="B392" s="5" t="s">
        <v>161</v>
      </c>
      <c r="C392" s="5">
        <v>-121212</v>
      </c>
      <c r="D392" s="5" t="str">
        <f>_xlfn.XLOOKUP(fRealizado5[[#This Row],[Conta]],'Plano de Contas'!A:A,'Plano de Contas'!C:C)</f>
        <v>(-) Custos de Vendas</v>
      </c>
      <c r="E392" s="5" t="str">
        <f>_xlfn.XLOOKUP(fRealizado5[[#This Row],[Conta]],'Plano de Contas'!A:A,'Plano de Contas'!D:D)</f>
        <v>05 - Custo do Produto</v>
      </c>
    </row>
    <row r="393" spans="1:5" hidden="1" x14ac:dyDescent="0.25">
      <c r="A393" s="23">
        <f t="shared" si="3"/>
        <v>43525</v>
      </c>
      <c r="B393" s="5" t="s">
        <v>162</v>
      </c>
      <c r="C393" s="5">
        <v>-147422</v>
      </c>
      <c r="D393" s="5" t="str">
        <f>_xlfn.XLOOKUP(fRealizado5[[#This Row],[Conta]],'Plano de Contas'!A:A,'Plano de Contas'!C:C)</f>
        <v>(-) Custos de Vendas</v>
      </c>
      <c r="E393" s="5" t="str">
        <f>_xlfn.XLOOKUP(fRealizado5[[#This Row],[Conta]],'Plano de Contas'!A:A,'Plano de Contas'!D:D)</f>
        <v>05 - Custo do Produto</v>
      </c>
    </row>
    <row r="394" spans="1:5" hidden="1" x14ac:dyDescent="0.25">
      <c r="A394" s="23">
        <f t="shared" si="3"/>
        <v>43525</v>
      </c>
      <c r="B394" s="5" t="s">
        <v>163</v>
      </c>
      <c r="C394" s="5">
        <v>-113460</v>
      </c>
      <c r="D394" s="5" t="str">
        <f>_xlfn.XLOOKUP(fRealizado5[[#This Row],[Conta]],'Plano de Contas'!A:A,'Plano de Contas'!C:C)</f>
        <v>(-) Custos de Vendas</v>
      </c>
      <c r="E394" s="5" t="str">
        <f>_xlfn.XLOOKUP(fRealizado5[[#This Row],[Conta]],'Plano de Contas'!A:A,'Plano de Contas'!D:D)</f>
        <v>05 - Custo do Produto</v>
      </c>
    </row>
    <row r="395" spans="1:5" hidden="1" x14ac:dyDescent="0.25">
      <c r="A395" s="23">
        <f t="shared" si="3"/>
        <v>43525</v>
      </c>
      <c r="B395" s="5" t="s">
        <v>164</v>
      </c>
      <c r="C395" s="5">
        <v>-97598</v>
      </c>
      <c r="D395" s="5" t="str">
        <f>_xlfn.XLOOKUP(fRealizado5[[#This Row],[Conta]],'Plano de Contas'!A:A,'Plano de Contas'!C:C)</f>
        <v>(-) Custos de Vendas</v>
      </c>
      <c r="E395" s="5" t="str">
        <f>_xlfn.XLOOKUP(fRealizado5[[#This Row],[Conta]],'Plano de Contas'!A:A,'Plano de Contas'!D:D)</f>
        <v>06 - Outros Custos</v>
      </c>
    </row>
    <row r="396" spans="1:5" hidden="1" x14ac:dyDescent="0.25">
      <c r="A396" s="23">
        <f t="shared" si="3"/>
        <v>43525</v>
      </c>
      <c r="B396" s="5" t="s">
        <v>165</v>
      </c>
      <c r="C396" s="5">
        <v>-62448</v>
      </c>
      <c r="D396" s="5" t="str">
        <f>_xlfn.XLOOKUP(fRealizado5[[#This Row],[Conta]],'Plano de Contas'!A:A,'Plano de Contas'!C:C)</f>
        <v>(-) Custos de Vendas</v>
      </c>
      <c r="E396" s="5" t="str">
        <f>_xlfn.XLOOKUP(fRealizado5[[#This Row],[Conta]],'Plano de Contas'!A:A,'Plano de Contas'!D:D)</f>
        <v>06 - Outros Custos</v>
      </c>
    </row>
    <row r="397" spans="1:5" hidden="1" x14ac:dyDescent="0.25">
      <c r="A397" s="23">
        <f t="shared" si="3"/>
        <v>43525</v>
      </c>
      <c r="B397" s="5" t="s">
        <v>166</v>
      </c>
      <c r="C397" s="5">
        <v>-80666</v>
      </c>
      <c r="D397" s="5" t="str">
        <f>_xlfn.XLOOKUP(fRealizado5[[#This Row],[Conta]],'Plano de Contas'!A:A,'Plano de Contas'!C:C)</f>
        <v>(-) Custos de Vendas</v>
      </c>
      <c r="E397" s="5" t="str">
        <f>_xlfn.XLOOKUP(fRealizado5[[#This Row],[Conta]],'Plano de Contas'!A:A,'Plano de Contas'!D:D)</f>
        <v>06 - Outros Custos</v>
      </c>
    </row>
    <row r="398" spans="1:5" hidden="1" x14ac:dyDescent="0.25">
      <c r="A398" s="23">
        <f t="shared" si="3"/>
        <v>43525</v>
      </c>
      <c r="B398" s="5" t="s">
        <v>167</v>
      </c>
      <c r="C398" s="5">
        <v>-325277</v>
      </c>
      <c r="D398" s="5" t="str">
        <f>_xlfn.XLOOKUP(fRealizado5[[#This Row],[Conta]],'Plano de Contas'!A:A,'Plano de Contas'!C:C)</f>
        <v>(-) Despesas Gerais</v>
      </c>
      <c r="E398" s="5" t="str">
        <f>_xlfn.XLOOKUP(fRealizado5[[#This Row],[Conta]],'Plano de Contas'!A:A,'Plano de Contas'!D:D)</f>
        <v>07 - Despesas Administrativas</v>
      </c>
    </row>
    <row r="399" spans="1:5" hidden="1" x14ac:dyDescent="0.25">
      <c r="A399" s="23">
        <f t="shared" ref="A399:A462" si="4">EDATE(A259,1)</f>
        <v>43525</v>
      </c>
      <c r="B399" s="5" t="s">
        <v>168</v>
      </c>
      <c r="C399" s="5">
        <v>-304234</v>
      </c>
      <c r="D399" s="5" t="str">
        <f>_xlfn.XLOOKUP(fRealizado5[[#This Row],[Conta]],'Plano de Contas'!A:A,'Plano de Contas'!C:C)</f>
        <v>(-) Despesas Gerais</v>
      </c>
      <c r="E399" s="5" t="str">
        <f>_xlfn.XLOOKUP(fRealizado5[[#This Row],[Conta]],'Plano de Contas'!A:A,'Plano de Contas'!D:D)</f>
        <v>07 - Despesas Administrativas</v>
      </c>
    </row>
    <row r="400" spans="1:5" hidden="1" x14ac:dyDescent="0.25">
      <c r="A400" s="23">
        <f t="shared" si="4"/>
        <v>43525</v>
      </c>
      <c r="B400" s="5" t="s">
        <v>169</v>
      </c>
      <c r="C400" s="5">
        <v>-146466</v>
      </c>
      <c r="D400" s="5" t="str">
        <f>_xlfn.XLOOKUP(fRealizado5[[#This Row],[Conta]],'Plano de Contas'!A:A,'Plano de Contas'!C:C)</f>
        <v>(-) Despesas Gerais</v>
      </c>
      <c r="E400" s="5" t="str">
        <f>_xlfn.XLOOKUP(fRealizado5[[#This Row],[Conta]],'Plano de Contas'!A:A,'Plano de Contas'!D:D)</f>
        <v>07 - Despesas Administrativas</v>
      </c>
    </row>
    <row r="401" spans="1:5" hidden="1" x14ac:dyDescent="0.25">
      <c r="A401" s="23">
        <f t="shared" si="4"/>
        <v>43525</v>
      </c>
      <c r="B401" s="5" t="s">
        <v>170</v>
      </c>
      <c r="C401" s="5">
        <v>-279746</v>
      </c>
      <c r="D401" s="5" t="str">
        <f>_xlfn.XLOOKUP(fRealizado5[[#This Row],[Conta]],'Plano de Contas'!A:A,'Plano de Contas'!C:C)</f>
        <v>(-) Despesas Gerais</v>
      </c>
      <c r="E401" s="5" t="str">
        <f>_xlfn.XLOOKUP(fRealizado5[[#This Row],[Conta]],'Plano de Contas'!A:A,'Plano de Contas'!D:D)</f>
        <v>07 - Despesas Administrativas</v>
      </c>
    </row>
    <row r="402" spans="1:5" hidden="1" x14ac:dyDescent="0.25">
      <c r="A402" s="23">
        <f t="shared" si="4"/>
        <v>43525</v>
      </c>
      <c r="B402" s="5" t="s">
        <v>171</v>
      </c>
      <c r="C402" s="5">
        <v>-274567</v>
      </c>
      <c r="D402" s="5" t="str">
        <f>_xlfn.XLOOKUP(fRealizado5[[#This Row],[Conta]],'Plano de Contas'!A:A,'Plano de Contas'!C:C)</f>
        <v>(-) Despesas Gerais</v>
      </c>
      <c r="E402" s="5" t="str">
        <f>_xlfn.XLOOKUP(fRealizado5[[#This Row],[Conta]],'Plano de Contas'!A:A,'Plano de Contas'!D:D)</f>
        <v>07 - Despesas Administrativas</v>
      </c>
    </row>
    <row r="403" spans="1:5" hidden="1" x14ac:dyDescent="0.25">
      <c r="A403" s="23">
        <f t="shared" si="4"/>
        <v>43525</v>
      </c>
      <c r="B403" s="5" t="s">
        <v>172</v>
      </c>
      <c r="C403" s="5">
        <v>-316743</v>
      </c>
      <c r="D403" s="5" t="str">
        <f>_xlfn.XLOOKUP(fRealizado5[[#This Row],[Conta]],'Plano de Contas'!A:A,'Plano de Contas'!C:C)</f>
        <v>(-) Despesas Gerais</v>
      </c>
      <c r="E403" s="5" t="str">
        <f>_xlfn.XLOOKUP(fRealizado5[[#This Row],[Conta]],'Plano de Contas'!A:A,'Plano de Contas'!D:D)</f>
        <v>07 - Despesas Administrativas</v>
      </c>
    </row>
    <row r="404" spans="1:5" hidden="1" x14ac:dyDescent="0.25">
      <c r="A404" s="23">
        <f t="shared" si="4"/>
        <v>43525</v>
      </c>
      <c r="B404" s="5" t="s">
        <v>173</v>
      </c>
      <c r="C404" s="5">
        <v>-43388</v>
      </c>
      <c r="D404" s="5" t="str">
        <f>_xlfn.XLOOKUP(fRealizado5[[#This Row],[Conta]],'Plano de Contas'!A:A,'Plano de Contas'!C:C)</f>
        <v>(-) Despesas Gerais</v>
      </c>
      <c r="E404" s="5" t="str">
        <f>_xlfn.XLOOKUP(fRealizado5[[#This Row],[Conta]],'Plano de Contas'!A:A,'Plano de Contas'!D:D)</f>
        <v>08 - Despesas Financeiras</v>
      </c>
    </row>
    <row r="405" spans="1:5" hidden="1" x14ac:dyDescent="0.25">
      <c r="A405" s="23">
        <f t="shared" si="4"/>
        <v>43525</v>
      </c>
      <c r="B405" s="5" t="s">
        <v>174</v>
      </c>
      <c r="C405" s="5">
        <v>-58872</v>
      </c>
      <c r="D405" s="5" t="str">
        <f>_xlfn.XLOOKUP(fRealizado5[[#This Row],[Conta]],'Plano de Contas'!A:A,'Plano de Contas'!C:C)</f>
        <v>(-) Despesas Gerais</v>
      </c>
      <c r="E405" s="5" t="str">
        <f>_xlfn.XLOOKUP(fRealizado5[[#This Row],[Conta]],'Plano de Contas'!A:A,'Plano de Contas'!D:D)</f>
        <v>08 - Despesas Financeiras</v>
      </c>
    </row>
    <row r="406" spans="1:5" hidden="1" x14ac:dyDescent="0.25">
      <c r="A406" s="23">
        <f t="shared" si="4"/>
        <v>43525</v>
      </c>
      <c r="B406" s="5" t="s">
        <v>175</v>
      </c>
      <c r="C406" s="5">
        <v>-47396</v>
      </c>
      <c r="D406" s="5" t="str">
        <f>_xlfn.XLOOKUP(fRealizado5[[#This Row],[Conta]],'Plano de Contas'!A:A,'Plano de Contas'!C:C)</f>
        <v>(-) Despesas Gerais</v>
      </c>
      <c r="E406" s="5" t="str">
        <f>_xlfn.XLOOKUP(fRealizado5[[#This Row],[Conta]],'Plano de Contas'!A:A,'Plano de Contas'!D:D)</f>
        <v>08 - Despesas Financeiras</v>
      </c>
    </row>
    <row r="407" spans="1:5" hidden="1" x14ac:dyDescent="0.25">
      <c r="A407" s="23">
        <f t="shared" si="4"/>
        <v>43525</v>
      </c>
      <c r="B407" s="5" t="s">
        <v>176</v>
      </c>
      <c r="C407" s="5">
        <v>-48761</v>
      </c>
      <c r="D407" s="5" t="str">
        <f>_xlfn.XLOOKUP(fRealizado5[[#This Row],[Conta]],'Plano de Contas'!A:A,'Plano de Contas'!C:C)</f>
        <v>(-) Despesas Gerais</v>
      </c>
      <c r="E407" s="5" t="str">
        <f>_xlfn.XLOOKUP(fRealizado5[[#This Row],[Conta]],'Plano de Contas'!A:A,'Plano de Contas'!D:D)</f>
        <v>08 - Despesas Financeiras</v>
      </c>
    </row>
    <row r="408" spans="1:5" hidden="1" x14ac:dyDescent="0.25">
      <c r="A408" s="23">
        <f t="shared" si="4"/>
        <v>43525</v>
      </c>
      <c r="B408" s="5" t="s">
        <v>177</v>
      </c>
      <c r="C408" s="5">
        <v>-46680</v>
      </c>
      <c r="D408" s="5" t="str">
        <f>_xlfn.XLOOKUP(fRealizado5[[#This Row],[Conta]],'Plano de Contas'!A:A,'Plano de Contas'!C:C)</f>
        <v>(-) Despesas Gerais</v>
      </c>
      <c r="E408" s="5" t="str">
        <f>_xlfn.XLOOKUP(fRealizado5[[#This Row],[Conta]],'Plano de Contas'!A:A,'Plano de Contas'!D:D)</f>
        <v>08 - Despesas Financeiras</v>
      </c>
    </row>
    <row r="409" spans="1:5" hidden="1" x14ac:dyDescent="0.25">
      <c r="A409" s="23">
        <f t="shared" si="4"/>
        <v>43525</v>
      </c>
      <c r="B409" s="5" t="s">
        <v>178</v>
      </c>
      <c r="C409" s="5">
        <v>-106830</v>
      </c>
      <c r="D409" s="5" t="str">
        <f>_xlfn.XLOOKUP(fRealizado5[[#This Row],[Conta]],'Plano de Contas'!A:A,'Plano de Contas'!C:C)</f>
        <v>(-) Despesas Gerais</v>
      </c>
      <c r="E409" s="5" t="str">
        <f>_xlfn.XLOOKUP(fRealizado5[[#This Row],[Conta]],'Plano de Contas'!A:A,'Plano de Contas'!D:D)</f>
        <v>09 - Tecnologia da Informação</v>
      </c>
    </row>
    <row r="410" spans="1:5" hidden="1" x14ac:dyDescent="0.25">
      <c r="A410" s="23">
        <f t="shared" si="4"/>
        <v>43525</v>
      </c>
      <c r="B410" s="5" t="s">
        <v>179</v>
      </c>
      <c r="C410" s="5">
        <v>-232986</v>
      </c>
      <c r="D410" s="5" t="str">
        <f>_xlfn.XLOOKUP(fRealizado5[[#This Row],[Conta]],'Plano de Contas'!A:A,'Plano de Contas'!C:C)</f>
        <v>(-) Despesas Gerais</v>
      </c>
      <c r="E410" s="5" t="str">
        <f>_xlfn.XLOOKUP(fRealizado5[[#This Row],[Conta]],'Plano de Contas'!A:A,'Plano de Contas'!D:D)</f>
        <v>09 - Tecnologia da Informação</v>
      </c>
    </row>
    <row r="411" spans="1:5" hidden="1" x14ac:dyDescent="0.25">
      <c r="A411" s="23">
        <f t="shared" si="4"/>
        <v>43525</v>
      </c>
      <c r="B411" s="5" t="s">
        <v>180</v>
      </c>
      <c r="C411" s="5">
        <v>-244111</v>
      </c>
      <c r="D411" s="5" t="str">
        <f>_xlfn.XLOOKUP(fRealizado5[[#This Row],[Conta]],'Plano de Contas'!A:A,'Plano de Contas'!C:C)</f>
        <v>(-) Despesas Gerais</v>
      </c>
      <c r="E411" s="5" t="str">
        <f>_xlfn.XLOOKUP(fRealizado5[[#This Row],[Conta]],'Plano de Contas'!A:A,'Plano de Contas'!D:D)</f>
        <v>09 - Tecnologia da Informação</v>
      </c>
    </row>
    <row r="412" spans="1:5" hidden="1" x14ac:dyDescent="0.25">
      <c r="A412" s="23">
        <f t="shared" si="4"/>
        <v>43525</v>
      </c>
      <c r="B412" s="5" t="s">
        <v>181</v>
      </c>
      <c r="C412" s="5">
        <v>-71954</v>
      </c>
      <c r="D412" s="5" t="str">
        <f>_xlfn.XLOOKUP(fRealizado5[[#This Row],[Conta]],'Plano de Contas'!A:A,'Plano de Contas'!C:C)</f>
        <v>(-) Despesas Gerais</v>
      </c>
      <c r="E412" s="5" t="str">
        <f>_xlfn.XLOOKUP(fRealizado5[[#This Row],[Conta]],'Plano de Contas'!A:A,'Plano de Contas'!D:D)</f>
        <v>10 - Recursos Humanos</v>
      </c>
    </row>
    <row r="413" spans="1:5" hidden="1" x14ac:dyDescent="0.25">
      <c r="A413" s="23">
        <f t="shared" si="4"/>
        <v>43525</v>
      </c>
      <c r="B413" s="5" t="s">
        <v>182</v>
      </c>
      <c r="C413" s="5">
        <v>-63280</v>
      </c>
      <c r="D413" s="5" t="str">
        <f>_xlfn.XLOOKUP(fRealizado5[[#This Row],[Conta]],'Plano de Contas'!A:A,'Plano de Contas'!C:C)</f>
        <v>(-) Despesas Gerais</v>
      </c>
      <c r="E413" s="5" t="str">
        <f>_xlfn.XLOOKUP(fRealizado5[[#This Row],[Conta]],'Plano de Contas'!A:A,'Plano de Contas'!D:D)</f>
        <v>10 - Recursos Humanos</v>
      </c>
    </row>
    <row r="414" spans="1:5" hidden="1" x14ac:dyDescent="0.25">
      <c r="A414" s="23">
        <f t="shared" si="4"/>
        <v>43525</v>
      </c>
      <c r="B414" s="5" t="s">
        <v>183</v>
      </c>
      <c r="C414" s="5">
        <v>-56596</v>
      </c>
      <c r="D414" s="5" t="str">
        <f>_xlfn.XLOOKUP(fRealizado5[[#This Row],[Conta]],'Plano de Contas'!A:A,'Plano de Contas'!C:C)</f>
        <v>(-) Despesas Gerais</v>
      </c>
      <c r="E414" s="5" t="str">
        <f>_xlfn.XLOOKUP(fRealizado5[[#This Row],[Conta]],'Plano de Contas'!A:A,'Plano de Contas'!D:D)</f>
        <v>10 - Recursos Humanos</v>
      </c>
    </row>
    <row r="415" spans="1:5" hidden="1" x14ac:dyDescent="0.25">
      <c r="A415" s="23">
        <f t="shared" si="4"/>
        <v>43525</v>
      </c>
      <c r="B415" s="5" t="s">
        <v>184</v>
      </c>
      <c r="C415" s="5">
        <v>-52273</v>
      </c>
      <c r="D415" s="5" t="str">
        <f>_xlfn.XLOOKUP(fRealizado5[[#This Row],[Conta]],'Plano de Contas'!A:A,'Plano de Contas'!C:C)</f>
        <v>(-) Despesas Gerais</v>
      </c>
      <c r="E415" s="5" t="str">
        <f>_xlfn.XLOOKUP(fRealizado5[[#This Row],[Conta]],'Plano de Contas'!A:A,'Plano de Contas'!D:D)</f>
        <v>10 - Recursos Humanos</v>
      </c>
    </row>
    <row r="416" spans="1:5" hidden="1" x14ac:dyDescent="0.25">
      <c r="A416" s="23">
        <f t="shared" si="4"/>
        <v>43525</v>
      </c>
      <c r="B416" s="5" t="s">
        <v>185</v>
      </c>
      <c r="C416" s="5">
        <v>-92808</v>
      </c>
      <c r="D416" s="5" t="str">
        <f>_xlfn.XLOOKUP(fRealizado5[[#This Row],[Conta]],'Plano de Contas'!A:A,'Plano de Contas'!C:C)</f>
        <v>(-) Despesas Gerais</v>
      </c>
      <c r="E416" s="5" t="str">
        <f>_xlfn.XLOOKUP(fRealizado5[[#This Row],[Conta]],'Plano de Contas'!A:A,'Plano de Contas'!D:D)</f>
        <v>11 - Relacionamento com Cliente</v>
      </c>
    </row>
    <row r="417" spans="1:5" hidden="1" x14ac:dyDescent="0.25">
      <c r="A417" s="23">
        <f t="shared" si="4"/>
        <v>43525</v>
      </c>
      <c r="B417" s="5" t="s">
        <v>186</v>
      </c>
      <c r="C417" s="5">
        <v>-91973</v>
      </c>
      <c r="D417" s="5" t="str">
        <f>_xlfn.XLOOKUP(fRealizado5[[#This Row],[Conta]],'Plano de Contas'!A:A,'Plano de Contas'!C:C)</f>
        <v>(-) Despesas Gerais</v>
      </c>
      <c r="E417" s="5" t="str">
        <f>_xlfn.XLOOKUP(fRealizado5[[#This Row],[Conta]],'Plano de Contas'!A:A,'Plano de Contas'!D:D)</f>
        <v>11 - Relacionamento com Cliente</v>
      </c>
    </row>
    <row r="418" spans="1:5" hidden="1" x14ac:dyDescent="0.25">
      <c r="A418" s="23">
        <f t="shared" si="4"/>
        <v>43525</v>
      </c>
      <c r="B418" s="5" t="s">
        <v>187</v>
      </c>
      <c r="C418" s="5">
        <v>-152347</v>
      </c>
      <c r="D418" s="5" t="str">
        <f>_xlfn.XLOOKUP(fRealizado5[[#This Row],[Conta]],'Plano de Contas'!A:A,'Plano de Contas'!C:C)</f>
        <v>(-) Despesas Gerais</v>
      </c>
      <c r="E418" s="5" t="str">
        <f>_xlfn.XLOOKUP(fRealizado5[[#This Row],[Conta]],'Plano de Contas'!A:A,'Plano de Contas'!D:D)</f>
        <v>12 - Marketing e Divulgação</v>
      </c>
    </row>
    <row r="419" spans="1:5" hidden="1" x14ac:dyDescent="0.25">
      <c r="A419" s="23">
        <f t="shared" si="4"/>
        <v>43525</v>
      </c>
      <c r="B419" s="5" t="s">
        <v>188</v>
      </c>
      <c r="C419" s="5">
        <v>-159873</v>
      </c>
      <c r="D419" s="5" t="str">
        <f>_xlfn.XLOOKUP(fRealizado5[[#This Row],[Conta]],'Plano de Contas'!A:A,'Plano de Contas'!C:C)</f>
        <v>(-) Despesas Gerais</v>
      </c>
      <c r="E419" s="5" t="str">
        <f>_xlfn.XLOOKUP(fRealizado5[[#This Row],[Conta]],'Plano de Contas'!A:A,'Plano de Contas'!D:D)</f>
        <v>12 - Marketing e Divulgação</v>
      </c>
    </row>
    <row r="420" spans="1:5" hidden="1" x14ac:dyDescent="0.25">
      <c r="A420" s="23">
        <f t="shared" si="4"/>
        <v>43525</v>
      </c>
      <c r="B420" s="5" t="s">
        <v>189</v>
      </c>
      <c r="C420" s="5">
        <v>-11863</v>
      </c>
      <c r="D420" s="5" t="str">
        <f>_xlfn.XLOOKUP(fRealizado5[[#This Row],[Conta]],'Plano de Contas'!A:A,'Plano de Contas'!C:C)</f>
        <v>(-) Impostos</v>
      </c>
      <c r="E420" s="5" t="str">
        <f>_xlfn.XLOOKUP(fRealizado5[[#This Row],[Conta]],'Plano de Contas'!A:A,'Plano de Contas'!D:D)</f>
        <v>13 - Impostos Estaduais</v>
      </c>
    </row>
    <row r="421" spans="1:5" hidden="1" x14ac:dyDescent="0.25">
      <c r="A421" s="23">
        <f t="shared" si="4"/>
        <v>43525</v>
      </c>
      <c r="B421" s="5" t="s">
        <v>190</v>
      </c>
      <c r="C421" s="5">
        <v>-23387</v>
      </c>
      <c r="D421" s="5" t="str">
        <f>_xlfn.XLOOKUP(fRealizado5[[#This Row],[Conta]],'Plano de Contas'!A:A,'Plano de Contas'!C:C)</f>
        <v>(-) Impostos</v>
      </c>
      <c r="E421" s="5" t="str">
        <f>_xlfn.XLOOKUP(fRealizado5[[#This Row],[Conta]],'Plano de Contas'!A:A,'Plano de Contas'!D:D)</f>
        <v>14 - Impostos Federais</v>
      </c>
    </row>
    <row r="422" spans="1:5" x14ac:dyDescent="0.25">
      <c r="A422" s="23">
        <f t="shared" si="4"/>
        <v>43556</v>
      </c>
      <c r="B422" s="5" t="s">
        <v>51</v>
      </c>
      <c r="C422" s="5">
        <v>647024</v>
      </c>
      <c r="D422" s="5" t="str">
        <f>_xlfn.XLOOKUP(fRealizado5[[#This Row],[Conta]],'Plano de Contas'!A:A,'Plano de Contas'!C:C)</f>
        <v>(+) RECEITA BRUTA</v>
      </c>
      <c r="E422" s="5" t="str">
        <f>_xlfn.XLOOKUP(fRealizado5[[#This Row],[Conta]],'Plano de Contas'!A:A,'Plano de Contas'!D:D)</f>
        <v>01 - Vendas de Produtos</v>
      </c>
    </row>
    <row r="423" spans="1:5" x14ac:dyDescent="0.25">
      <c r="A423" s="23">
        <f t="shared" si="4"/>
        <v>43556</v>
      </c>
      <c r="B423" s="5" t="s">
        <v>52</v>
      </c>
      <c r="C423" s="5">
        <v>797169</v>
      </c>
      <c r="D423" s="5" t="str">
        <f>_xlfn.XLOOKUP(fRealizado5[[#This Row],[Conta]],'Plano de Contas'!A:A,'Plano de Contas'!C:C)</f>
        <v>(+) RECEITA BRUTA</v>
      </c>
      <c r="E423" s="5" t="str">
        <f>_xlfn.XLOOKUP(fRealizado5[[#This Row],[Conta]],'Plano de Contas'!A:A,'Plano de Contas'!D:D)</f>
        <v>01 - Vendas de Produtos</v>
      </c>
    </row>
    <row r="424" spans="1:5" x14ac:dyDescent="0.25">
      <c r="A424" s="23">
        <f t="shared" si="4"/>
        <v>43556</v>
      </c>
      <c r="B424" s="5" t="s">
        <v>53</v>
      </c>
      <c r="C424" s="5">
        <v>878767</v>
      </c>
      <c r="D424" s="5" t="str">
        <f>_xlfn.XLOOKUP(fRealizado5[[#This Row],[Conta]],'Plano de Contas'!A:A,'Plano de Contas'!C:C)</f>
        <v>(+) RECEITA BRUTA</v>
      </c>
      <c r="E424" s="5" t="str">
        <f>_xlfn.XLOOKUP(fRealizado5[[#This Row],[Conta]],'Plano de Contas'!A:A,'Plano de Contas'!D:D)</f>
        <v>01 - Vendas de Produtos</v>
      </c>
    </row>
    <row r="425" spans="1:5" x14ac:dyDescent="0.25">
      <c r="A425" s="23">
        <f t="shared" si="4"/>
        <v>43556</v>
      </c>
      <c r="B425" s="5" t="s">
        <v>54</v>
      </c>
      <c r="C425" s="5">
        <v>988470</v>
      </c>
      <c r="D425" s="5" t="str">
        <f>_xlfn.XLOOKUP(fRealizado5[[#This Row],[Conta]],'Plano de Contas'!A:A,'Plano de Contas'!C:C)</f>
        <v>(+) RECEITA BRUTA</v>
      </c>
      <c r="E425" s="5" t="str">
        <f>_xlfn.XLOOKUP(fRealizado5[[#This Row],[Conta]],'Plano de Contas'!A:A,'Plano de Contas'!D:D)</f>
        <v>01 - Vendas de Produtos</v>
      </c>
    </row>
    <row r="426" spans="1:5" x14ac:dyDescent="0.25">
      <c r="A426" s="23">
        <f t="shared" si="4"/>
        <v>43556</v>
      </c>
      <c r="B426" s="5" t="s">
        <v>55</v>
      </c>
      <c r="C426" s="5">
        <v>242061</v>
      </c>
      <c r="D426" s="5" t="str">
        <f>_xlfn.XLOOKUP(fRealizado5[[#This Row],[Conta]],'Plano de Contas'!A:A,'Plano de Contas'!C:C)</f>
        <v>(+) RECEITA BRUTA</v>
      </c>
      <c r="E426" s="5" t="str">
        <f>_xlfn.XLOOKUP(fRealizado5[[#This Row],[Conta]],'Plano de Contas'!A:A,'Plano de Contas'!D:D)</f>
        <v>01 - Vendas de Produtos</v>
      </c>
    </row>
    <row r="427" spans="1:5" x14ac:dyDescent="0.25">
      <c r="A427" s="23">
        <f t="shared" si="4"/>
        <v>43556</v>
      </c>
      <c r="B427" s="5" t="s">
        <v>56</v>
      </c>
      <c r="C427" s="5">
        <v>309285</v>
      </c>
      <c r="D427" s="5" t="str">
        <f>_xlfn.XLOOKUP(fRealizado5[[#This Row],[Conta]],'Plano de Contas'!A:A,'Plano de Contas'!C:C)</f>
        <v>(+) RECEITA BRUTA</v>
      </c>
      <c r="E427" s="5" t="str">
        <f>_xlfn.XLOOKUP(fRealizado5[[#This Row],[Conta]],'Plano de Contas'!A:A,'Plano de Contas'!D:D)</f>
        <v>01 - Vendas de Produtos</v>
      </c>
    </row>
    <row r="428" spans="1:5" x14ac:dyDescent="0.25">
      <c r="A428" s="23">
        <f t="shared" si="4"/>
        <v>43556</v>
      </c>
      <c r="B428" s="5" t="s">
        <v>57</v>
      </c>
      <c r="C428" s="5">
        <v>417013</v>
      </c>
      <c r="D428" s="5" t="str">
        <f>_xlfn.XLOOKUP(fRealizado5[[#This Row],[Conta]],'Plano de Contas'!A:A,'Plano de Contas'!C:C)</f>
        <v>(+) RECEITA BRUTA</v>
      </c>
      <c r="E428" s="5" t="str">
        <f>_xlfn.XLOOKUP(fRealizado5[[#This Row],[Conta]],'Plano de Contas'!A:A,'Plano de Contas'!D:D)</f>
        <v>01 - Vendas de Produtos</v>
      </c>
    </row>
    <row r="429" spans="1:5" x14ac:dyDescent="0.25">
      <c r="A429" s="23">
        <f t="shared" si="4"/>
        <v>43556</v>
      </c>
      <c r="B429" s="5" t="s">
        <v>58</v>
      </c>
      <c r="C429" s="5">
        <v>971404</v>
      </c>
      <c r="D429" s="5" t="str">
        <f>_xlfn.XLOOKUP(fRealizado5[[#This Row],[Conta]],'Plano de Contas'!A:A,'Plano de Contas'!C:C)</f>
        <v>(+) RECEITA BRUTA</v>
      </c>
      <c r="E429" s="5" t="str">
        <f>_xlfn.XLOOKUP(fRealizado5[[#This Row],[Conta]],'Plano de Contas'!A:A,'Plano de Contas'!D:D)</f>
        <v>01 - Vendas de Produtos</v>
      </c>
    </row>
    <row r="430" spans="1:5" x14ac:dyDescent="0.25">
      <c r="A430" s="23">
        <f t="shared" si="4"/>
        <v>43556</v>
      </c>
      <c r="B430" s="5" t="s">
        <v>59</v>
      </c>
      <c r="C430" s="5">
        <v>897997</v>
      </c>
      <c r="D430" s="5" t="str">
        <f>_xlfn.XLOOKUP(fRealizado5[[#This Row],[Conta]],'Plano de Contas'!A:A,'Plano de Contas'!C:C)</f>
        <v>(+) RECEITA BRUTA</v>
      </c>
      <c r="E430" s="5" t="str">
        <f>_xlfn.XLOOKUP(fRealizado5[[#This Row],[Conta]],'Plano de Contas'!A:A,'Plano de Contas'!D:D)</f>
        <v>01 - Vendas de Produtos</v>
      </c>
    </row>
    <row r="431" spans="1:5" x14ac:dyDescent="0.25">
      <c r="A431" s="23">
        <f t="shared" si="4"/>
        <v>43556</v>
      </c>
      <c r="B431" s="5" t="s">
        <v>60</v>
      </c>
      <c r="C431" s="5">
        <v>413828</v>
      </c>
      <c r="D431" s="5" t="str">
        <f>_xlfn.XLOOKUP(fRealizado5[[#This Row],[Conta]],'Plano de Contas'!A:A,'Plano de Contas'!C:C)</f>
        <v>(+) RECEITA BRUTA</v>
      </c>
      <c r="E431" s="5" t="str">
        <f>_xlfn.XLOOKUP(fRealizado5[[#This Row],[Conta]],'Plano de Contas'!A:A,'Plano de Contas'!D:D)</f>
        <v>01 - Vendas de Produtos</v>
      </c>
    </row>
    <row r="432" spans="1:5" x14ac:dyDescent="0.25">
      <c r="A432" s="23">
        <f t="shared" si="4"/>
        <v>43556</v>
      </c>
      <c r="B432" s="5" t="s">
        <v>61</v>
      </c>
      <c r="C432" s="5">
        <v>939658</v>
      </c>
      <c r="D432" s="5" t="str">
        <f>_xlfn.XLOOKUP(fRealizado5[[#This Row],[Conta]],'Plano de Contas'!A:A,'Plano de Contas'!C:C)</f>
        <v>(+) RECEITA BRUTA</v>
      </c>
      <c r="E432" s="5" t="str">
        <f>_xlfn.XLOOKUP(fRealizado5[[#This Row],[Conta]],'Plano de Contas'!A:A,'Plano de Contas'!D:D)</f>
        <v>01 - Vendas de Produtos</v>
      </c>
    </row>
    <row r="433" spans="1:5" x14ac:dyDescent="0.25">
      <c r="A433" s="23">
        <f t="shared" si="4"/>
        <v>43556</v>
      </c>
      <c r="B433" s="5" t="s">
        <v>62</v>
      </c>
      <c r="C433" s="5">
        <v>578198</v>
      </c>
      <c r="D433" s="5" t="str">
        <f>_xlfn.XLOOKUP(fRealizado5[[#This Row],[Conta]],'Plano de Contas'!A:A,'Plano de Contas'!C:C)</f>
        <v>(+) RECEITA BRUTA</v>
      </c>
      <c r="E433" s="5" t="str">
        <f>_xlfn.XLOOKUP(fRealizado5[[#This Row],[Conta]],'Plano de Contas'!A:A,'Plano de Contas'!D:D)</f>
        <v>01 - Vendas de Produtos</v>
      </c>
    </row>
    <row r="434" spans="1:5" x14ac:dyDescent="0.25">
      <c r="A434" s="23">
        <f t="shared" si="4"/>
        <v>43556</v>
      </c>
      <c r="B434" s="5" t="s">
        <v>63</v>
      </c>
      <c r="C434" s="5">
        <v>409008</v>
      </c>
      <c r="D434" s="5" t="str">
        <f>_xlfn.XLOOKUP(fRealizado5[[#This Row],[Conta]],'Plano de Contas'!A:A,'Plano de Contas'!C:C)</f>
        <v>(+) RECEITA BRUTA</v>
      </c>
      <c r="E434" s="5" t="str">
        <f>_xlfn.XLOOKUP(fRealizado5[[#This Row],[Conta]],'Plano de Contas'!A:A,'Plano de Contas'!D:D)</f>
        <v>01 - Vendas de Produtos</v>
      </c>
    </row>
    <row r="435" spans="1:5" x14ac:dyDescent="0.25">
      <c r="A435" s="23">
        <f t="shared" si="4"/>
        <v>43556</v>
      </c>
      <c r="B435" s="5" t="s">
        <v>64</v>
      </c>
      <c r="C435" s="5">
        <v>585144</v>
      </c>
      <c r="D435" s="5" t="str">
        <f>_xlfn.XLOOKUP(fRealizado5[[#This Row],[Conta]],'Plano de Contas'!A:A,'Plano de Contas'!C:C)</f>
        <v>(+) RECEITA BRUTA</v>
      </c>
      <c r="E435" s="5" t="str">
        <f>_xlfn.XLOOKUP(fRealizado5[[#This Row],[Conta]],'Plano de Contas'!A:A,'Plano de Contas'!D:D)</f>
        <v>01 - Vendas de Produtos</v>
      </c>
    </row>
    <row r="436" spans="1:5" x14ac:dyDescent="0.25">
      <c r="A436" s="23">
        <f t="shared" si="4"/>
        <v>43556</v>
      </c>
      <c r="B436" s="5" t="s">
        <v>65</v>
      </c>
      <c r="C436" s="5">
        <v>382281</v>
      </c>
      <c r="D436" s="5" t="str">
        <f>_xlfn.XLOOKUP(fRealizado5[[#This Row],[Conta]],'Plano de Contas'!A:A,'Plano de Contas'!C:C)</f>
        <v>(+) RECEITA BRUTA</v>
      </c>
      <c r="E436" s="5" t="str">
        <f>_xlfn.XLOOKUP(fRealizado5[[#This Row],[Conta]],'Plano de Contas'!A:A,'Plano de Contas'!D:D)</f>
        <v>01 - Vendas de Produtos</v>
      </c>
    </row>
    <row r="437" spans="1:5" x14ac:dyDescent="0.25">
      <c r="A437" s="23">
        <f t="shared" si="4"/>
        <v>43556</v>
      </c>
      <c r="B437" s="5" t="s">
        <v>66</v>
      </c>
      <c r="C437" s="5">
        <v>862596</v>
      </c>
      <c r="D437" s="5" t="str">
        <f>_xlfn.XLOOKUP(fRealizado5[[#This Row],[Conta]],'Plano de Contas'!A:A,'Plano de Contas'!C:C)</f>
        <v>(+) RECEITA BRUTA</v>
      </c>
      <c r="E437" s="5" t="str">
        <f>_xlfn.XLOOKUP(fRealizado5[[#This Row],[Conta]],'Plano de Contas'!A:A,'Plano de Contas'!D:D)</f>
        <v>01 - Vendas de Produtos</v>
      </c>
    </row>
    <row r="438" spans="1:5" x14ac:dyDescent="0.25">
      <c r="A438" s="23">
        <f t="shared" si="4"/>
        <v>43556</v>
      </c>
      <c r="B438" s="5" t="s">
        <v>67</v>
      </c>
      <c r="C438" s="5">
        <v>971203</v>
      </c>
      <c r="D438" s="5" t="str">
        <f>_xlfn.XLOOKUP(fRealizado5[[#This Row],[Conta]],'Plano de Contas'!A:A,'Plano de Contas'!C:C)</f>
        <v>(+) RECEITA BRUTA</v>
      </c>
      <c r="E438" s="5" t="str">
        <f>_xlfn.XLOOKUP(fRealizado5[[#This Row],[Conta]],'Plano de Contas'!A:A,'Plano de Contas'!D:D)</f>
        <v>01 - Vendas de Produtos</v>
      </c>
    </row>
    <row r="439" spans="1:5" x14ac:dyDescent="0.25">
      <c r="A439" s="23">
        <f t="shared" si="4"/>
        <v>43556</v>
      </c>
      <c r="B439" s="5" t="s">
        <v>68</v>
      </c>
      <c r="C439" s="5">
        <v>556701</v>
      </c>
      <c r="D439" s="5" t="str">
        <f>_xlfn.XLOOKUP(fRealizado5[[#This Row],[Conta]],'Plano de Contas'!A:A,'Plano de Contas'!C:C)</f>
        <v>(+) RECEITA BRUTA</v>
      </c>
      <c r="E439" s="5" t="str">
        <f>_xlfn.XLOOKUP(fRealizado5[[#This Row],[Conta]],'Plano de Contas'!A:A,'Plano de Contas'!D:D)</f>
        <v>01 - Vendas de Produtos</v>
      </c>
    </row>
    <row r="440" spans="1:5" x14ac:dyDescent="0.25">
      <c r="A440" s="23">
        <f t="shared" si="4"/>
        <v>43556</v>
      </c>
      <c r="B440" s="5" t="s">
        <v>69</v>
      </c>
      <c r="C440" s="5">
        <v>255335</v>
      </c>
      <c r="D440" s="5" t="str">
        <f>_xlfn.XLOOKUP(fRealizado5[[#This Row],[Conta]],'Plano de Contas'!A:A,'Plano de Contas'!C:C)</f>
        <v>(+) RECEITA BRUTA</v>
      </c>
      <c r="E440" s="5" t="str">
        <f>_xlfn.XLOOKUP(fRealizado5[[#This Row],[Conta]],'Plano de Contas'!A:A,'Plano de Contas'!D:D)</f>
        <v>01 - Vendas de Produtos</v>
      </c>
    </row>
    <row r="441" spans="1:5" x14ac:dyDescent="0.25">
      <c r="A441" s="23">
        <f t="shared" si="4"/>
        <v>43556</v>
      </c>
      <c r="B441" s="5" t="s">
        <v>70</v>
      </c>
      <c r="C441" s="5">
        <v>602628</v>
      </c>
      <c r="D441" s="5" t="str">
        <f>_xlfn.XLOOKUP(fRealizado5[[#This Row],[Conta]],'Plano de Contas'!A:A,'Plano de Contas'!C:C)</f>
        <v>(+) RECEITA BRUTA</v>
      </c>
      <c r="E441" s="5" t="str">
        <f>_xlfn.XLOOKUP(fRealizado5[[#This Row],[Conta]],'Plano de Contas'!A:A,'Plano de Contas'!D:D)</f>
        <v>01 - Vendas de Produtos</v>
      </c>
    </row>
    <row r="442" spans="1:5" x14ac:dyDescent="0.25">
      <c r="A442" s="23">
        <f t="shared" si="4"/>
        <v>43556</v>
      </c>
      <c r="B442" s="5" t="s">
        <v>71</v>
      </c>
      <c r="C442" s="5">
        <v>783768</v>
      </c>
      <c r="D442" s="5" t="str">
        <f>_xlfn.XLOOKUP(fRealizado5[[#This Row],[Conta]],'Plano de Contas'!A:A,'Plano de Contas'!C:C)</f>
        <v>(+) RECEITA BRUTA</v>
      </c>
      <c r="E442" s="5" t="str">
        <f>_xlfn.XLOOKUP(fRealizado5[[#This Row],[Conta]],'Plano de Contas'!A:A,'Plano de Contas'!D:D)</f>
        <v>01 - Vendas de Produtos</v>
      </c>
    </row>
    <row r="443" spans="1:5" x14ac:dyDescent="0.25">
      <c r="A443" s="23">
        <f t="shared" si="4"/>
        <v>43556</v>
      </c>
      <c r="B443" s="5" t="s">
        <v>72</v>
      </c>
      <c r="C443" s="5">
        <v>379793</v>
      </c>
      <c r="D443" s="5" t="str">
        <f>_xlfn.XLOOKUP(fRealizado5[[#This Row],[Conta]],'Plano de Contas'!A:A,'Plano de Contas'!C:C)</f>
        <v>(+) RECEITA BRUTA</v>
      </c>
      <c r="E443" s="5" t="str">
        <f>_xlfn.XLOOKUP(fRealizado5[[#This Row],[Conta]],'Plano de Contas'!A:A,'Plano de Contas'!D:D)</f>
        <v>01 - Vendas de Produtos</v>
      </c>
    </row>
    <row r="444" spans="1:5" x14ac:dyDescent="0.25">
      <c r="A444" s="23">
        <f t="shared" si="4"/>
        <v>43556</v>
      </c>
      <c r="B444" s="5" t="s">
        <v>73</v>
      </c>
      <c r="C444" s="5">
        <v>158900</v>
      </c>
      <c r="D444" s="5" t="str">
        <f>_xlfn.XLOOKUP(fRealizado5[[#This Row],[Conta]],'Plano de Contas'!A:A,'Plano de Contas'!C:C)</f>
        <v>(+) RECEITA BRUTA</v>
      </c>
      <c r="E444" s="5" t="str">
        <f>_xlfn.XLOOKUP(fRealizado5[[#This Row],[Conta]],'Plano de Contas'!A:A,'Plano de Contas'!D:D)</f>
        <v>01 - Vendas de Produtos</v>
      </c>
    </row>
    <row r="445" spans="1:5" x14ac:dyDescent="0.25">
      <c r="A445" s="23">
        <f t="shared" si="4"/>
        <v>43556</v>
      </c>
      <c r="B445" s="5" t="s">
        <v>74</v>
      </c>
      <c r="C445" s="5">
        <v>54600</v>
      </c>
      <c r="D445" s="5" t="str">
        <f>_xlfn.XLOOKUP(fRealizado5[[#This Row],[Conta]],'Plano de Contas'!A:A,'Plano de Contas'!C:C)</f>
        <v>(+) RECEITA BRUTA</v>
      </c>
      <c r="E445" s="5" t="str">
        <f>_xlfn.XLOOKUP(fRealizado5[[#This Row],[Conta]],'Plano de Contas'!A:A,'Plano de Contas'!D:D)</f>
        <v>01 - Vendas de Produtos</v>
      </c>
    </row>
    <row r="446" spans="1:5" x14ac:dyDescent="0.25">
      <c r="A446" s="23">
        <f t="shared" si="4"/>
        <v>43556</v>
      </c>
      <c r="B446" s="5" t="s">
        <v>75</v>
      </c>
      <c r="C446" s="5">
        <v>93995</v>
      </c>
      <c r="D446" s="5" t="str">
        <f>_xlfn.XLOOKUP(fRealizado5[[#This Row],[Conta]],'Plano de Contas'!A:A,'Plano de Contas'!C:C)</f>
        <v>(+) RECEITA BRUTA</v>
      </c>
      <c r="E446" s="5" t="str">
        <f>_xlfn.XLOOKUP(fRealizado5[[#This Row],[Conta]],'Plano de Contas'!A:A,'Plano de Contas'!D:D)</f>
        <v>02 - Outras Receitas</v>
      </c>
    </row>
    <row r="447" spans="1:5" x14ac:dyDescent="0.25">
      <c r="A447" s="23">
        <f t="shared" si="4"/>
        <v>43556</v>
      </c>
      <c r="B447" s="5" t="s">
        <v>76</v>
      </c>
      <c r="C447" s="5">
        <v>283587</v>
      </c>
      <c r="D447" s="5" t="str">
        <f>_xlfn.XLOOKUP(fRealizado5[[#This Row],[Conta]],'Plano de Contas'!A:A,'Plano de Contas'!C:C)</f>
        <v>(+) RECEITA BRUTA</v>
      </c>
      <c r="E447" s="5" t="str">
        <f>_xlfn.XLOOKUP(fRealizado5[[#This Row],[Conta]],'Plano de Contas'!A:A,'Plano de Contas'!D:D)</f>
        <v>02 - Outras Receitas</v>
      </c>
    </row>
    <row r="448" spans="1:5" x14ac:dyDescent="0.25">
      <c r="A448" s="23">
        <f t="shared" si="4"/>
        <v>43556</v>
      </c>
      <c r="B448" s="5" t="s">
        <v>77</v>
      </c>
      <c r="C448" s="5">
        <v>148078</v>
      </c>
      <c r="D448" s="5" t="str">
        <f>_xlfn.XLOOKUP(fRealizado5[[#This Row],[Conta]],'Plano de Contas'!A:A,'Plano de Contas'!C:C)</f>
        <v>(+) RECEITA BRUTA</v>
      </c>
      <c r="E448" s="5" t="str">
        <f>_xlfn.XLOOKUP(fRealizado5[[#This Row],[Conta]],'Plano de Contas'!A:A,'Plano de Contas'!D:D)</f>
        <v>02 - Outras Receitas</v>
      </c>
    </row>
    <row r="449" spans="1:5" x14ac:dyDescent="0.25">
      <c r="A449" s="23">
        <f t="shared" si="4"/>
        <v>43556</v>
      </c>
      <c r="B449" s="5" t="s">
        <v>78</v>
      </c>
      <c r="C449" s="5">
        <v>104721</v>
      </c>
      <c r="D449" s="5" t="str">
        <f>_xlfn.XLOOKUP(fRealizado5[[#This Row],[Conta]],'Plano de Contas'!A:A,'Plano de Contas'!C:C)</f>
        <v>(+) RECEITA BRUTA</v>
      </c>
      <c r="E449" s="5" t="str">
        <f>_xlfn.XLOOKUP(fRealizado5[[#This Row],[Conta]],'Plano de Contas'!A:A,'Plano de Contas'!D:D)</f>
        <v>02 - Outras Receitas</v>
      </c>
    </row>
    <row r="450" spans="1:5" x14ac:dyDescent="0.25">
      <c r="A450" s="23">
        <f t="shared" si="4"/>
        <v>43556</v>
      </c>
      <c r="B450" s="5" t="s">
        <v>79</v>
      </c>
      <c r="C450" s="5">
        <v>201146</v>
      </c>
      <c r="D450" s="5" t="str">
        <f>_xlfn.XLOOKUP(fRealizado5[[#This Row],[Conta]],'Plano de Contas'!A:A,'Plano de Contas'!C:C)</f>
        <v>(+) RECEITA BRUTA</v>
      </c>
      <c r="E450" s="5" t="str">
        <f>_xlfn.XLOOKUP(fRealizado5[[#This Row],[Conta]],'Plano de Contas'!A:A,'Plano de Contas'!D:D)</f>
        <v>02 - Outras Receitas</v>
      </c>
    </row>
    <row r="451" spans="1:5" x14ac:dyDescent="0.25">
      <c r="A451" s="23">
        <f t="shared" si="4"/>
        <v>43556</v>
      </c>
      <c r="B451" s="5" t="s">
        <v>80</v>
      </c>
      <c r="C451" s="5">
        <v>50657</v>
      </c>
      <c r="D451" s="5" t="str">
        <f>_xlfn.XLOOKUP(fRealizado5[[#This Row],[Conta]],'Plano de Contas'!A:A,'Plano de Contas'!C:C)</f>
        <v>(+) RECEITA BRUTA</v>
      </c>
      <c r="E451" s="5" t="str">
        <f>_xlfn.XLOOKUP(fRealizado5[[#This Row],[Conta]],'Plano de Contas'!A:A,'Plano de Contas'!D:D)</f>
        <v>02 - Outras Receitas</v>
      </c>
    </row>
    <row r="452" spans="1:5" x14ac:dyDescent="0.25">
      <c r="A452" s="23">
        <f t="shared" si="4"/>
        <v>43556</v>
      </c>
      <c r="B452" s="5" t="s">
        <v>81</v>
      </c>
      <c r="C452" s="5">
        <v>277293</v>
      </c>
      <c r="D452" s="5" t="str">
        <f>_xlfn.XLOOKUP(fRealizado5[[#This Row],[Conta]],'Plano de Contas'!A:A,'Plano de Contas'!C:C)</f>
        <v>(+) RECEITA BRUTA</v>
      </c>
      <c r="E452" s="5" t="str">
        <f>_xlfn.XLOOKUP(fRealizado5[[#This Row],[Conta]],'Plano de Contas'!A:A,'Plano de Contas'!D:D)</f>
        <v>02 - Outras Receitas</v>
      </c>
    </row>
    <row r="453" spans="1:5" x14ac:dyDescent="0.25">
      <c r="A453" s="23">
        <f t="shared" si="4"/>
        <v>43556</v>
      </c>
      <c r="B453" s="5" t="s">
        <v>82</v>
      </c>
      <c r="C453" s="5">
        <v>164817</v>
      </c>
      <c r="D453" s="5" t="str">
        <f>_xlfn.XLOOKUP(fRealizado5[[#This Row],[Conta]],'Plano de Contas'!A:A,'Plano de Contas'!C:C)</f>
        <v>(+) RECEITA BRUTA</v>
      </c>
      <c r="E453" s="5" t="str">
        <f>_xlfn.XLOOKUP(fRealizado5[[#This Row],[Conta]],'Plano de Contas'!A:A,'Plano de Contas'!D:D)</f>
        <v>02 - Outras Receitas</v>
      </c>
    </row>
    <row r="454" spans="1:5" x14ac:dyDescent="0.25">
      <c r="A454" s="23">
        <f t="shared" si="4"/>
        <v>43556</v>
      </c>
      <c r="B454" s="5" t="s">
        <v>83</v>
      </c>
      <c r="C454" s="5">
        <v>259972</v>
      </c>
      <c r="D454" s="5" t="str">
        <f>_xlfn.XLOOKUP(fRealizado5[[#This Row],[Conta]],'Plano de Contas'!A:A,'Plano de Contas'!C:C)</f>
        <v>(+) RECEITA BRUTA</v>
      </c>
      <c r="E454" s="5" t="str">
        <f>_xlfn.XLOOKUP(fRealizado5[[#This Row],[Conta]],'Plano de Contas'!A:A,'Plano de Contas'!D:D)</f>
        <v>02 - Outras Receitas</v>
      </c>
    </row>
    <row r="455" spans="1:5" x14ac:dyDescent="0.25">
      <c r="A455" s="23">
        <f t="shared" si="4"/>
        <v>43556</v>
      </c>
      <c r="B455" s="5" t="s">
        <v>84</v>
      </c>
      <c r="C455" s="5">
        <v>184628</v>
      </c>
      <c r="D455" s="5" t="str">
        <f>_xlfn.XLOOKUP(fRealizado5[[#This Row],[Conta]],'Plano de Contas'!A:A,'Plano de Contas'!C:C)</f>
        <v>(+) RECEITA BRUTA</v>
      </c>
      <c r="E455" s="5" t="str">
        <f>_xlfn.XLOOKUP(fRealizado5[[#This Row],[Conta]],'Plano de Contas'!A:A,'Plano de Contas'!D:D)</f>
        <v>02 - Outras Receitas</v>
      </c>
    </row>
    <row r="456" spans="1:5" x14ac:dyDescent="0.25">
      <c r="A456" s="23">
        <f t="shared" si="4"/>
        <v>43556</v>
      </c>
      <c r="B456" s="5" t="s">
        <v>85</v>
      </c>
      <c r="C456" s="5">
        <v>65244</v>
      </c>
      <c r="D456" s="5" t="str">
        <f>_xlfn.XLOOKUP(fRealizado5[[#This Row],[Conta]],'Plano de Contas'!A:A,'Plano de Contas'!C:C)</f>
        <v>(+) RECEITA BRUTA</v>
      </c>
      <c r="E456" s="5" t="str">
        <f>_xlfn.XLOOKUP(fRealizado5[[#This Row],[Conta]],'Plano de Contas'!A:A,'Plano de Contas'!D:D)</f>
        <v>02 - Outras Receitas</v>
      </c>
    </row>
    <row r="457" spans="1:5" x14ac:dyDescent="0.25">
      <c r="A457" s="23">
        <f t="shared" si="4"/>
        <v>43556</v>
      </c>
      <c r="B457" s="5" t="s">
        <v>86</v>
      </c>
      <c r="C457" s="5">
        <v>110483</v>
      </c>
      <c r="D457" s="5" t="str">
        <f>_xlfn.XLOOKUP(fRealizado5[[#This Row],[Conta]],'Plano de Contas'!A:A,'Plano de Contas'!C:C)</f>
        <v>(+) RECEITA BRUTA</v>
      </c>
      <c r="E457" s="5" t="str">
        <f>_xlfn.XLOOKUP(fRealizado5[[#This Row],[Conta]],'Plano de Contas'!A:A,'Plano de Contas'!D:D)</f>
        <v>02 - Outras Receitas</v>
      </c>
    </row>
    <row r="458" spans="1:5" x14ac:dyDescent="0.25">
      <c r="A458" s="23">
        <f t="shared" si="4"/>
        <v>43556</v>
      </c>
      <c r="B458" s="5" t="s">
        <v>87</v>
      </c>
      <c r="C458" s="5">
        <v>172342</v>
      </c>
      <c r="D458" s="5" t="str">
        <f>_xlfn.XLOOKUP(fRealizado5[[#This Row],[Conta]],'Plano de Contas'!A:A,'Plano de Contas'!C:C)</f>
        <v>(+) RECEITA BRUTA</v>
      </c>
      <c r="E458" s="5" t="str">
        <f>_xlfn.XLOOKUP(fRealizado5[[#This Row],[Conta]],'Plano de Contas'!A:A,'Plano de Contas'!D:D)</f>
        <v>02 - Outras Receitas</v>
      </c>
    </row>
    <row r="459" spans="1:5" x14ac:dyDescent="0.25">
      <c r="A459" s="23">
        <f t="shared" si="4"/>
        <v>43556</v>
      </c>
      <c r="B459" s="5" t="s">
        <v>88</v>
      </c>
      <c r="C459" s="5">
        <v>267663</v>
      </c>
      <c r="D459" s="5" t="str">
        <f>_xlfn.XLOOKUP(fRealizado5[[#This Row],[Conta]],'Plano de Contas'!A:A,'Plano de Contas'!C:C)</f>
        <v>(+) RECEITA BRUTA</v>
      </c>
      <c r="E459" s="5" t="str">
        <f>_xlfn.XLOOKUP(fRealizado5[[#This Row],[Conta]],'Plano de Contas'!A:A,'Plano de Contas'!D:D)</f>
        <v>02 - Outras Receitas</v>
      </c>
    </row>
    <row r="460" spans="1:5" x14ac:dyDescent="0.25">
      <c r="A460" s="23">
        <f t="shared" si="4"/>
        <v>43556</v>
      </c>
      <c r="B460" s="5" t="s">
        <v>89</v>
      </c>
      <c r="C460" s="5">
        <v>255014</v>
      </c>
      <c r="D460" s="5" t="str">
        <f>_xlfn.XLOOKUP(fRealizado5[[#This Row],[Conta]],'Plano de Contas'!A:A,'Plano de Contas'!C:C)</f>
        <v>(+) RECEITA BRUTA</v>
      </c>
      <c r="E460" s="5" t="str">
        <f>_xlfn.XLOOKUP(fRealizado5[[#This Row],[Conta]],'Plano de Contas'!A:A,'Plano de Contas'!D:D)</f>
        <v>02 - Outras Receitas</v>
      </c>
    </row>
    <row r="461" spans="1:5" x14ac:dyDescent="0.25">
      <c r="A461" s="23">
        <f t="shared" si="4"/>
        <v>43556</v>
      </c>
      <c r="B461" s="5" t="s">
        <v>90</v>
      </c>
      <c r="C461" s="5">
        <v>220853</v>
      </c>
      <c r="D461" s="5" t="str">
        <f>_xlfn.XLOOKUP(fRealizado5[[#This Row],[Conta]],'Plano de Contas'!A:A,'Plano de Contas'!C:C)</f>
        <v>(+) RECEITA BRUTA</v>
      </c>
      <c r="E461" s="5" t="str">
        <f>_xlfn.XLOOKUP(fRealizado5[[#This Row],[Conta]],'Plano de Contas'!A:A,'Plano de Contas'!D:D)</f>
        <v>02 - Outras Receitas</v>
      </c>
    </row>
    <row r="462" spans="1:5" x14ac:dyDescent="0.25">
      <c r="A462" s="23">
        <f t="shared" si="4"/>
        <v>43556</v>
      </c>
      <c r="B462" s="5" t="s">
        <v>91</v>
      </c>
      <c r="C462" s="5">
        <v>158513</v>
      </c>
      <c r="D462" s="5" t="str">
        <f>_xlfn.XLOOKUP(fRealizado5[[#This Row],[Conta]],'Plano de Contas'!A:A,'Plano de Contas'!C:C)</f>
        <v>(+) RECEITA BRUTA</v>
      </c>
      <c r="E462" s="5" t="str">
        <f>_xlfn.XLOOKUP(fRealizado5[[#This Row],[Conta]],'Plano de Contas'!A:A,'Plano de Contas'!D:D)</f>
        <v>02 - Outras Receitas</v>
      </c>
    </row>
    <row r="463" spans="1:5" x14ac:dyDescent="0.25">
      <c r="A463" s="23">
        <f t="shared" ref="A463:A526" si="5">EDATE(A323,1)</f>
        <v>43556</v>
      </c>
      <c r="B463" s="5" t="s">
        <v>92</v>
      </c>
      <c r="C463" s="5">
        <v>296562</v>
      </c>
      <c r="D463" s="5" t="str">
        <f>_xlfn.XLOOKUP(fRealizado5[[#This Row],[Conta]],'Plano de Contas'!A:A,'Plano de Contas'!C:C)</f>
        <v>(+) RECEITA BRUTA</v>
      </c>
      <c r="E463" s="5" t="str">
        <f>_xlfn.XLOOKUP(fRealizado5[[#This Row],[Conta]],'Plano de Contas'!A:A,'Plano de Contas'!D:D)</f>
        <v>02 - Outras Receitas</v>
      </c>
    </row>
    <row r="464" spans="1:5" x14ac:dyDescent="0.25">
      <c r="A464" s="23">
        <f t="shared" si="5"/>
        <v>43556</v>
      </c>
      <c r="B464" s="5" t="s">
        <v>93</v>
      </c>
      <c r="C464" s="5">
        <v>94589</v>
      </c>
      <c r="D464" s="5" t="str">
        <f>_xlfn.XLOOKUP(fRealizado5[[#This Row],[Conta]],'Plano de Contas'!A:A,'Plano de Contas'!C:C)</f>
        <v>(+) RECEITA BRUTA</v>
      </c>
      <c r="E464" s="5" t="str">
        <f>_xlfn.XLOOKUP(fRealizado5[[#This Row],[Conta]],'Plano de Contas'!A:A,'Plano de Contas'!D:D)</f>
        <v>02 - Outras Receitas</v>
      </c>
    </row>
    <row r="465" spans="1:5" x14ac:dyDescent="0.25">
      <c r="A465" s="23">
        <f t="shared" si="5"/>
        <v>43556</v>
      </c>
      <c r="B465" s="5" t="s">
        <v>94</v>
      </c>
      <c r="C465" s="5">
        <v>147383</v>
      </c>
      <c r="D465" s="5" t="str">
        <f>_xlfn.XLOOKUP(fRealizado5[[#This Row],[Conta]],'Plano de Contas'!A:A,'Plano de Contas'!C:C)</f>
        <v>(+) RECEITA BRUTA</v>
      </c>
      <c r="E465" s="5" t="str">
        <f>_xlfn.XLOOKUP(fRealizado5[[#This Row],[Conta]],'Plano de Contas'!A:A,'Plano de Contas'!D:D)</f>
        <v>02 - Outras Receitas</v>
      </c>
    </row>
    <row r="466" spans="1:5" x14ac:dyDescent="0.25">
      <c r="A466" s="23">
        <f t="shared" si="5"/>
        <v>43556</v>
      </c>
      <c r="B466" s="5" t="s">
        <v>95</v>
      </c>
      <c r="C466" s="5">
        <v>297542</v>
      </c>
      <c r="D466" s="5" t="str">
        <f>_xlfn.XLOOKUP(fRealizado5[[#This Row],[Conta]],'Plano de Contas'!A:A,'Plano de Contas'!C:C)</f>
        <v>(+) RECEITA BRUTA</v>
      </c>
      <c r="E466" s="5" t="str">
        <f>_xlfn.XLOOKUP(fRealizado5[[#This Row],[Conta]],'Plano de Contas'!A:A,'Plano de Contas'!D:D)</f>
        <v>02 - Outras Receitas</v>
      </c>
    </row>
    <row r="467" spans="1:5" x14ac:dyDescent="0.25">
      <c r="A467" s="23">
        <f t="shared" si="5"/>
        <v>43556</v>
      </c>
      <c r="B467" s="5" t="s">
        <v>96</v>
      </c>
      <c r="C467" s="5">
        <v>56440</v>
      </c>
      <c r="D467" s="5" t="str">
        <f>_xlfn.XLOOKUP(fRealizado5[[#This Row],[Conta]],'Plano de Contas'!A:A,'Plano de Contas'!C:C)</f>
        <v>(+) RECEITA BRUTA</v>
      </c>
      <c r="E467" s="5" t="str">
        <f>_xlfn.XLOOKUP(fRealizado5[[#This Row],[Conta]],'Plano de Contas'!A:A,'Plano de Contas'!D:D)</f>
        <v>02 - Outras Receitas</v>
      </c>
    </row>
    <row r="468" spans="1:5" x14ac:dyDescent="0.25">
      <c r="A468" s="23">
        <f t="shared" si="5"/>
        <v>43556</v>
      </c>
      <c r="B468" s="5" t="s">
        <v>97</v>
      </c>
      <c r="C468" s="5">
        <v>102893</v>
      </c>
      <c r="D468" s="5" t="str">
        <f>_xlfn.XLOOKUP(fRealizado5[[#This Row],[Conta]],'Plano de Contas'!A:A,'Plano de Contas'!C:C)</f>
        <v>(+) RECEITA BRUTA</v>
      </c>
      <c r="E468" s="5" t="str">
        <f>_xlfn.XLOOKUP(fRealizado5[[#This Row],[Conta]],'Plano de Contas'!A:A,'Plano de Contas'!D:D)</f>
        <v>02 - Outras Receitas</v>
      </c>
    </row>
    <row r="469" spans="1:5" x14ac:dyDescent="0.25">
      <c r="A469" s="23">
        <f t="shared" si="5"/>
        <v>43556</v>
      </c>
      <c r="B469" s="5" t="s">
        <v>98</v>
      </c>
      <c r="C469" s="5">
        <v>160032</v>
      </c>
      <c r="D469" s="5" t="str">
        <f>_xlfn.XLOOKUP(fRealizado5[[#This Row],[Conta]],'Plano de Contas'!A:A,'Plano de Contas'!C:C)</f>
        <v>(+) RECEITA BRUTA</v>
      </c>
      <c r="E469" s="5" t="str">
        <f>_xlfn.XLOOKUP(fRealizado5[[#This Row],[Conta]],'Plano de Contas'!A:A,'Plano de Contas'!D:D)</f>
        <v>02 - Outras Receitas</v>
      </c>
    </row>
    <row r="470" spans="1:5" x14ac:dyDescent="0.25">
      <c r="A470" s="23">
        <f t="shared" si="5"/>
        <v>43556</v>
      </c>
      <c r="B470" s="5" t="s">
        <v>99</v>
      </c>
      <c r="C470" s="5">
        <v>87282</v>
      </c>
      <c r="D470" s="5" t="str">
        <f>_xlfn.XLOOKUP(fRealizado5[[#This Row],[Conta]],'Plano de Contas'!A:A,'Plano de Contas'!C:C)</f>
        <v>(+) RECEITA BRUTA</v>
      </c>
      <c r="E470" s="5" t="str">
        <f>_xlfn.XLOOKUP(fRealizado5[[#This Row],[Conta]],'Plano de Contas'!A:A,'Plano de Contas'!D:D)</f>
        <v>02 - Outras Receitas</v>
      </c>
    </row>
    <row r="471" spans="1:5" x14ac:dyDescent="0.25">
      <c r="A471" s="23">
        <f t="shared" si="5"/>
        <v>43556</v>
      </c>
      <c r="B471" s="5" t="s">
        <v>100</v>
      </c>
      <c r="C471" s="5">
        <v>89615</v>
      </c>
      <c r="D471" s="5" t="str">
        <f>_xlfn.XLOOKUP(fRealizado5[[#This Row],[Conta]],'Plano de Contas'!A:A,'Plano de Contas'!C:C)</f>
        <v>(+) RECEITA BRUTA</v>
      </c>
      <c r="E471" s="5" t="str">
        <f>_xlfn.XLOOKUP(fRealizado5[[#This Row],[Conta]],'Plano de Contas'!A:A,'Plano de Contas'!D:D)</f>
        <v>02 - Outras Receitas</v>
      </c>
    </row>
    <row r="472" spans="1:5" x14ac:dyDescent="0.25">
      <c r="A472" s="23">
        <f t="shared" si="5"/>
        <v>43556</v>
      </c>
      <c r="B472" s="5" t="s">
        <v>101</v>
      </c>
      <c r="C472" s="5">
        <v>219966</v>
      </c>
      <c r="D472" s="5" t="str">
        <f>_xlfn.XLOOKUP(fRealizado5[[#This Row],[Conta]],'Plano de Contas'!A:A,'Plano de Contas'!C:C)</f>
        <v>(+) RECEITA BRUTA</v>
      </c>
      <c r="E472" s="5" t="str">
        <f>_xlfn.XLOOKUP(fRealizado5[[#This Row],[Conta]],'Plano de Contas'!A:A,'Plano de Contas'!D:D)</f>
        <v>02 - Outras Receitas</v>
      </c>
    </row>
    <row r="473" spans="1:5" x14ac:dyDescent="0.25">
      <c r="A473" s="23">
        <f t="shared" si="5"/>
        <v>43556</v>
      </c>
      <c r="B473" s="5" t="s">
        <v>102</v>
      </c>
      <c r="C473" s="5">
        <v>66113</v>
      </c>
      <c r="D473" s="5" t="str">
        <f>_xlfn.XLOOKUP(fRealizado5[[#This Row],[Conta]],'Plano de Contas'!A:A,'Plano de Contas'!C:C)</f>
        <v>(+) RECEITA BRUTA</v>
      </c>
      <c r="E473" s="5" t="str">
        <f>_xlfn.XLOOKUP(fRealizado5[[#This Row],[Conta]],'Plano de Contas'!A:A,'Plano de Contas'!D:D)</f>
        <v>02 - Outras Receitas</v>
      </c>
    </row>
    <row r="474" spans="1:5" x14ac:dyDescent="0.25">
      <c r="A474" s="23">
        <f t="shared" si="5"/>
        <v>43556</v>
      </c>
      <c r="B474" s="5" t="s">
        <v>103</v>
      </c>
      <c r="C474" s="5">
        <v>147767</v>
      </c>
      <c r="D474" s="5" t="str">
        <f>_xlfn.XLOOKUP(fRealizado5[[#This Row],[Conta]],'Plano de Contas'!A:A,'Plano de Contas'!C:C)</f>
        <v>(+) RECEITA BRUTA</v>
      </c>
      <c r="E474" s="5" t="str">
        <f>_xlfn.XLOOKUP(fRealizado5[[#This Row],[Conta]],'Plano de Contas'!A:A,'Plano de Contas'!D:D)</f>
        <v>02 - Outras Receitas</v>
      </c>
    </row>
    <row r="475" spans="1:5" x14ac:dyDescent="0.25">
      <c r="A475" s="23">
        <f t="shared" si="5"/>
        <v>43556</v>
      </c>
      <c r="B475" s="5" t="s">
        <v>104</v>
      </c>
      <c r="C475" s="5">
        <v>104713</v>
      </c>
      <c r="D475" s="5" t="str">
        <f>_xlfn.XLOOKUP(fRealizado5[[#This Row],[Conta]],'Plano de Contas'!A:A,'Plano de Contas'!C:C)</f>
        <v>(+) RECEITA BRUTA</v>
      </c>
      <c r="E475" s="5" t="str">
        <f>_xlfn.XLOOKUP(fRealizado5[[#This Row],[Conta]],'Plano de Contas'!A:A,'Plano de Contas'!D:D)</f>
        <v>02 - Outras Receitas</v>
      </c>
    </row>
    <row r="476" spans="1:5" x14ac:dyDescent="0.25">
      <c r="A476" s="23">
        <f t="shared" si="5"/>
        <v>43556</v>
      </c>
      <c r="B476" s="5" t="s">
        <v>105</v>
      </c>
      <c r="C476" s="5">
        <v>208022</v>
      </c>
      <c r="D476" s="5" t="str">
        <f>_xlfn.XLOOKUP(fRealizado5[[#This Row],[Conta]],'Plano de Contas'!A:A,'Plano de Contas'!C:C)</f>
        <v>(+) RECEITA BRUTA</v>
      </c>
      <c r="E476" s="5" t="str">
        <f>_xlfn.XLOOKUP(fRealizado5[[#This Row],[Conta]],'Plano de Contas'!A:A,'Plano de Contas'!D:D)</f>
        <v>02 - Outras Receitas</v>
      </c>
    </row>
    <row r="477" spans="1:5" x14ac:dyDescent="0.25">
      <c r="A477" s="23">
        <f t="shared" si="5"/>
        <v>43556</v>
      </c>
      <c r="B477" s="5" t="s">
        <v>106</v>
      </c>
      <c r="C477" s="5">
        <v>106852</v>
      </c>
      <c r="D477" s="5" t="str">
        <f>_xlfn.XLOOKUP(fRealizado5[[#This Row],[Conta]],'Plano de Contas'!A:A,'Plano de Contas'!C:C)</f>
        <v>(+) RECEITA BRUTA</v>
      </c>
      <c r="E477" s="5" t="str">
        <f>_xlfn.XLOOKUP(fRealizado5[[#This Row],[Conta]],'Plano de Contas'!A:A,'Plano de Contas'!D:D)</f>
        <v>02 - Outras Receitas</v>
      </c>
    </row>
    <row r="478" spans="1:5" x14ac:dyDescent="0.25">
      <c r="A478" s="23">
        <f t="shared" si="5"/>
        <v>43556</v>
      </c>
      <c r="B478" s="5" t="s">
        <v>107</v>
      </c>
      <c r="C478" s="5">
        <v>176577</v>
      </c>
      <c r="D478" s="5" t="str">
        <f>_xlfn.XLOOKUP(fRealizado5[[#This Row],[Conta]],'Plano de Contas'!A:A,'Plano de Contas'!C:C)</f>
        <v>(+) RECEITA BRUTA</v>
      </c>
      <c r="E478" s="5" t="str">
        <f>_xlfn.XLOOKUP(fRealizado5[[#This Row],[Conta]],'Plano de Contas'!A:A,'Plano de Contas'!D:D)</f>
        <v>02 - Outras Receitas</v>
      </c>
    </row>
    <row r="479" spans="1:5" x14ac:dyDescent="0.25">
      <c r="A479" s="23">
        <f t="shared" si="5"/>
        <v>43556</v>
      </c>
      <c r="B479" s="5" t="s">
        <v>108</v>
      </c>
      <c r="C479" s="5">
        <v>269432</v>
      </c>
      <c r="D479" s="5" t="str">
        <f>_xlfn.XLOOKUP(fRealizado5[[#This Row],[Conta]],'Plano de Contas'!A:A,'Plano de Contas'!C:C)</f>
        <v>(+) RECEITA BRUTA</v>
      </c>
      <c r="E479" s="5" t="str">
        <f>_xlfn.XLOOKUP(fRealizado5[[#This Row],[Conta]],'Plano de Contas'!A:A,'Plano de Contas'!D:D)</f>
        <v>02 - Outras Receitas</v>
      </c>
    </row>
    <row r="480" spans="1:5" x14ac:dyDescent="0.25">
      <c r="A480" s="23">
        <f t="shared" si="5"/>
        <v>43556</v>
      </c>
      <c r="B480" s="5" t="s">
        <v>109</v>
      </c>
      <c r="C480" s="5">
        <v>203187</v>
      </c>
      <c r="D480" s="5" t="str">
        <f>_xlfn.XLOOKUP(fRealizado5[[#This Row],[Conta]],'Plano de Contas'!A:A,'Plano de Contas'!C:C)</f>
        <v>(+) RECEITA BRUTA</v>
      </c>
      <c r="E480" s="5" t="str">
        <f>_xlfn.XLOOKUP(fRealizado5[[#This Row],[Conta]],'Plano de Contas'!A:A,'Plano de Contas'!D:D)</f>
        <v>02 - Outras Receitas</v>
      </c>
    </row>
    <row r="481" spans="1:5" x14ac:dyDescent="0.25">
      <c r="A481" s="23">
        <f t="shared" si="5"/>
        <v>43556</v>
      </c>
      <c r="B481" s="5" t="s">
        <v>110</v>
      </c>
      <c r="C481" s="5">
        <v>-3757</v>
      </c>
      <c r="D481" s="5" t="str">
        <f>_xlfn.XLOOKUP(fRealizado5[[#This Row],[Conta]],'Plano de Contas'!A:A,'Plano de Contas'!C:C)</f>
        <v>(-) Deduções da Receita</v>
      </c>
      <c r="E481" s="5" t="str">
        <f>_xlfn.XLOOKUP(fRealizado5[[#This Row],[Conta]],'Plano de Contas'!A:A,'Plano de Contas'!D:D)</f>
        <v>03 - Devoluções de Produtos</v>
      </c>
    </row>
    <row r="482" spans="1:5" x14ac:dyDescent="0.25">
      <c r="A482" s="23">
        <f t="shared" si="5"/>
        <v>43556</v>
      </c>
      <c r="B482" s="5" t="s">
        <v>111</v>
      </c>
      <c r="C482" s="5">
        <v>-2732</v>
      </c>
      <c r="D482" s="5" t="str">
        <f>_xlfn.XLOOKUP(fRealizado5[[#This Row],[Conta]],'Plano de Contas'!A:A,'Plano de Contas'!C:C)</f>
        <v>(-) Deduções da Receita</v>
      </c>
      <c r="E482" s="5" t="str">
        <f>_xlfn.XLOOKUP(fRealizado5[[#This Row],[Conta]],'Plano de Contas'!A:A,'Plano de Contas'!D:D)</f>
        <v>03 - Devoluções de Produtos</v>
      </c>
    </row>
    <row r="483" spans="1:5" x14ac:dyDescent="0.25">
      <c r="A483" s="23">
        <f t="shared" si="5"/>
        <v>43556</v>
      </c>
      <c r="B483" s="5" t="s">
        <v>112</v>
      </c>
      <c r="C483" s="5">
        <v>-5852</v>
      </c>
      <c r="D483" s="5" t="str">
        <f>_xlfn.XLOOKUP(fRealizado5[[#This Row],[Conta]],'Plano de Contas'!A:A,'Plano de Contas'!C:C)</f>
        <v>(-) Deduções da Receita</v>
      </c>
      <c r="E483" s="5" t="str">
        <f>_xlfn.XLOOKUP(fRealizado5[[#This Row],[Conta]],'Plano de Contas'!A:A,'Plano de Contas'!D:D)</f>
        <v>03 - Devoluções de Produtos</v>
      </c>
    </row>
    <row r="484" spans="1:5" x14ac:dyDescent="0.25">
      <c r="A484" s="23">
        <f t="shared" si="5"/>
        <v>43556</v>
      </c>
      <c r="B484" s="5" t="s">
        <v>113</v>
      </c>
      <c r="C484" s="5">
        <v>-2909</v>
      </c>
      <c r="D484" s="5" t="str">
        <f>_xlfn.XLOOKUP(fRealizado5[[#This Row],[Conta]],'Plano de Contas'!A:A,'Plano de Contas'!C:C)</f>
        <v>(-) Deduções da Receita</v>
      </c>
      <c r="E484" s="5" t="str">
        <f>_xlfn.XLOOKUP(fRealizado5[[#This Row],[Conta]],'Plano de Contas'!A:A,'Plano de Contas'!D:D)</f>
        <v>03 - Devoluções de Produtos</v>
      </c>
    </row>
    <row r="485" spans="1:5" x14ac:dyDescent="0.25">
      <c r="A485" s="23">
        <f t="shared" si="5"/>
        <v>43556</v>
      </c>
      <c r="B485" s="5" t="s">
        <v>114</v>
      </c>
      <c r="C485" s="5">
        <v>-6954</v>
      </c>
      <c r="D485" s="5" t="str">
        <f>_xlfn.XLOOKUP(fRealizado5[[#This Row],[Conta]],'Plano de Contas'!A:A,'Plano de Contas'!C:C)</f>
        <v>(-) Deduções da Receita</v>
      </c>
      <c r="E485" s="5" t="str">
        <f>_xlfn.XLOOKUP(fRealizado5[[#This Row],[Conta]],'Plano de Contas'!A:A,'Plano de Contas'!D:D)</f>
        <v>03 - Devoluções de Produtos</v>
      </c>
    </row>
    <row r="486" spans="1:5" x14ac:dyDescent="0.25">
      <c r="A486" s="23">
        <f t="shared" si="5"/>
        <v>43556</v>
      </c>
      <c r="B486" s="5" t="s">
        <v>115</v>
      </c>
      <c r="C486" s="5">
        <v>-3121</v>
      </c>
      <c r="D486" s="5" t="str">
        <f>_xlfn.XLOOKUP(fRealizado5[[#This Row],[Conta]],'Plano de Contas'!A:A,'Plano de Contas'!C:C)</f>
        <v>(-) Deduções da Receita</v>
      </c>
      <c r="E486" s="5" t="str">
        <f>_xlfn.XLOOKUP(fRealizado5[[#This Row],[Conta]],'Plano de Contas'!A:A,'Plano de Contas'!D:D)</f>
        <v>03 - Devoluções de Produtos</v>
      </c>
    </row>
    <row r="487" spans="1:5" x14ac:dyDescent="0.25">
      <c r="A487" s="23">
        <f t="shared" si="5"/>
        <v>43556</v>
      </c>
      <c r="B487" s="5" t="s">
        <v>116</v>
      </c>
      <c r="C487" s="5">
        <v>-8462</v>
      </c>
      <c r="D487" s="5" t="str">
        <f>_xlfn.XLOOKUP(fRealizado5[[#This Row],[Conta]],'Plano de Contas'!A:A,'Plano de Contas'!C:C)</f>
        <v>(-) Deduções da Receita</v>
      </c>
      <c r="E487" s="5" t="str">
        <f>_xlfn.XLOOKUP(fRealizado5[[#This Row],[Conta]],'Plano de Contas'!A:A,'Plano de Contas'!D:D)</f>
        <v>03 - Devoluções de Produtos</v>
      </c>
    </row>
    <row r="488" spans="1:5" x14ac:dyDescent="0.25">
      <c r="A488" s="23">
        <f t="shared" si="5"/>
        <v>43556</v>
      </c>
      <c r="B488" s="5" t="s">
        <v>117</v>
      </c>
      <c r="C488" s="5">
        <v>-5030</v>
      </c>
      <c r="D488" s="5" t="str">
        <f>_xlfn.XLOOKUP(fRealizado5[[#This Row],[Conta]],'Plano de Contas'!A:A,'Plano de Contas'!C:C)</f>
        <v>(-) Deduções da Receita</v>
      </c>
      <c r="E488" s="5" t="str">
        <f>_xlfn.XLOOKUP(fRealizado5[[#This Row],[Conta]],'Plano de Contas'!A:A,'Plano de Contas'!D:D)</f>
        <v>03 - Devoluções de Produtos</v>
      </c>
    </row>
    <row r="489" spans="1:5" x14ac:dyDescent="0.25">
      <c r="A489" s="23">
        <f t="shared" si="5"/>
        <v>43556</v>
      </c>
      <c r="B489" s="5" t="s">
        <v>118</v>
      </c>
      <c r="C489" s="5">
        <v>-1835</v>
      </c>
      <c r="D489" s="5" t="str">
        <f>_xlfn.XLOOKUP(fRealizado5[[#This Row],[Conta]],'Plano de Contas'!A:A,'Plano de Contas'!C:C)</f>
        <v>(-) Deduções da Receita</v>
      </c>
      <c r="E489" s="5" t="str">
        <f>_xlfn.XLOOKUP(fRealizado5[[#This Row],[Conta]],'Plano de Contas'!A:A,'Plano de Contas'!D:D)</f>
        <v>03 - Devoluções de Produtos</v>
      </c>
    </row>
    <row r="490" spans="1:5" x14ac:dyDescent="0.25">
      <c r="A490" s="23">
        <f t="shared" si="5"/>
        <v>43556</v>
      </c>
      <c r="B490" s="5" t="s">
        <v>119</v>
      </c>
      <c r="C490" s="5">
        <v>-9791</v>
      </c>
      <c r="D490" s="5" t="str">
        <f>_xlfn.XLOOKUP(fRealizado5[[#This Row],[Conta]],'Plano de Contas'!A:A,'Plano de Contas'!C:C)</f>
        <v>(-) Deduções da Receita</v>
      </c>
      <c r="E490" s="5" t="str">
        <f>_xlfn.XLOOKUP(fRealizado5[[#This Row],[Conta]],'Plano de Contas'!A:A,'Plano de Contas'!D:D)</f>
        <v>03 - Devoluções de Produtos</v>
      </c>
    </row>
    <row r="491" spans="1:5" x14ac:dyDescent="0.25">
      <c r="A491" s="23">
        <f t="shared" si="5"/>
        <v>43556</v>
      </c>
      <c r="B491" s="5" t="s">
        <v>120</v>
      </c>
      <c r="C491" s="5">
        <v>-3560</v>
      </c>
      <c r="D491" s="5" t="str">
        <f>_xlfn.XLOOKUP(fRealizado5[[#This Row],[Conta]],'Plano de Contas'!A:A,'Plano de Contas'!C:C)</f>
        <v>(-) Deduções da Receita</v>
      </c>
      <c r="E491" s="5" t="str">
        <f>_xlfn.XLOOKUP(fRealizado5[[#This Row],[Conta]],'Plano de Contas'!A:A,'Plano de Contas'!D:D)</f>
        <v>03 - Devoluções de Produtos</v>
      </c>
    </row>
    <row r="492" spans="1:5" x14ac:dyDescent="0.25">
      <c r="A492" s="23">
        <f t="shared" si="5"/>
        <v>43556</v>
      </c>
      <c r="B492" s="5" t="s">
        <v>121</v>
      </c>
      <c r="C492" s="5">
        <v>-4243</v>
      </c>
      <c r="D492" s="5" t="str">
        <f>_xlfn.XLOOKUP(fRealizado5[[#This Row],[Conta]],'Plano de Contas'!A:A,'Plano de Contas'!C:C)</f>
        <v>(-) Deduções da Receita</v>
      </c>
      <c r="E492" s="5" t="str">
        <f>_xlfn.XLOOKUP(fRealizado5[[#This Row],[Conta]],'Plano de Contas'!A:A,'Plano de Contas'!D:D)</f>
        <v>03 - Devoluções de Produtos</v>
      </c>
    </row>
    <row r="493" spans="1:5" x14ac:dyDescent="0.25">
      <c r="A493" s="23">
        <f t="shared" si="5"/>
        <v>43556</v>
      </c>
      <c r="B493" s="5" t="s">
        <v>122</v>
      </c>
      <c r="C493" s="5">
        <v>-4101</v>
      </c>
      <c r="D493" s="5" t="str">
        <f>_xlfn.XLOOKUP(fRealizado5[[#This Row],[Conta]],'Plano de Contas'!A:A,'Plano de Contas'!C:C)</f>
        <v>(-) Deduções da Receita</v>
      </c>
      <c r="E493" s="5" t="str">
        <f>_xlfn.XLOOKUP(fRealizado5[[#This Row],[Conta]],'Plano de Contas'!A:A,'Plano de Contas'!D:D)</f>
        <v>03 - Devoluções de Produtos</v>
      </c>
    </row>
    <row r="494" spans="1:5" x14ac:dyDescent="0.25">
      <c r="A494" s="23">
        <f t="shared" si="5"/>
        <v>43556</v>
      </c>
      <c r="B494" s="5" t="s">
        <v>123</v>
      </c>
      <c r="C494" s="5">
        <v>-4028</v>
      </c>
      <c r="D494" s="5" t="str">
        <f>_xlfn.XLOOKUP(fRealizado5[[#This Row],[Conta]],'Plano de Contas'!A:A,'Plano de Contas'!C:C)</f>
        <v>(-) Deduções da Receita</v>
      </c>
      <c r="E494" s="5" t="str">
        <f>_xlfn.XLOOKUP(fRealizado5[[#This Row],[Conta]],'Plano de Contas'!A:A,'Plano de Contas'!D:D)</f>
        <v>03 - Devoluções de Produtos</v>
      </c>
    </row>
    <row r="495" spans="1:5" x14ac:dyDescent="0.25">
      <c r="A495" s="23">
        <f t="shared" si="5"/>
        <v>43556</v>
      </c>
      <c r="B495" s="5" t="s">
        <v>124</v>
      </c>
      <c r="C495" s="5">
        <v>-1447</v>
      </c>
      <c r="D495" s="5" t="str">
        <f>_xlfn.XLOOKUP(fRealizado5[[#This Row],[Conta]],'Plano de Contas'!A:A,'Plano de Contas'!C:C)</f>
        <v>(-) Deduções da Receita</v>
      </c>
      <c r="E495" s="5" t="str">
        <f>_xlfn.XLOOKUP(fRealizado5[[#This Row],[Conta]],'Plano de Contas'!A:A,'Plano de Contas'!D:D)</f>
        <v>03 - Devoluções de Produtos</v>
      </c>
    </row>
    <row r="496" spans="1:5" x14ac:dyDescent="0.25">
      <c r="A496" s="23">
        <f t="shared" si="5"/>
        <v>43556</v>
      </c>
      <c r="B496" s="5" t="s">
        <v>125</v>
      </c>
      <c r="C496" s="5">
        <v>-6821</v>
      </c>
      <c r="D496" s="5" t="str">
        <f>_xlfn.XLOOKUP(fRealizado5[[#This Row],[Conta]],'Plano de Contas'!A:A,'Plano de Contas'!C:C)</f>
        <v>(-) Deduções da Receita</v>
      </c>
      <c r="E496" s="5" t="str">
        <f>_xlfn.XLOOKUP(fRealizado5[[#This Row],[Conta]],'Plano de Contas'!A:A,'Plano de Contas'!D:D)</f>
        <v>03 - Devoluções de Produtos</v>
      </c>
    </row>
    <row r="497" spans="1:5" x14ac:dyDescent="0.25">
      <c r="A497" s="23">
        <f t="shared" si="5"/>
        <v>43556</v>
      </c>
      <c r="B497" s="5" t="s">
        <v>126</v>
      </c>
      <c r="C497" s="5">
        <v>-8063</v>
      </c>
      <c r="D497" s="5" t="str">
        <f>_xlfn.XLOOKUP(fRealizado5[[#This Row],[Conta]],'Plano de Contas'!A:A,'Plano de Contas'!C:C)</f>
        <v>(-) Deduções da Receita</v>
      </c>
      <c r="E497" s="5" t="str">
        <f>_xlfn.XLOOKUP(fRealizado5[[#This Row],[Conta]],'Plano de Contas'!A:A,'Plano de Contas'!D:D)</f>
        <v>03 - Devoluções de Produtos</v>
      </c>
    </row>
    <row r="498" spans="1:5" x14ac:dyDescent="0.25">
      <c r="A498" s="23">
        <f t="shared" si="5"/>
        <v>43556</v>
      </c>
      <c r="B498" s="5" t="s">
        <v>127</v>
      </c>
      <c r="C498" s="5">
        <v>-6934</v>
      </c>
      <c r="D498" s="5" t="str">
        <f>_xlfn.XLOOKUP(fRealizado5[[#This Row],[Conta]],'Plano de Contas'!A:A,'Plano de Contas'!C:C)</f>
        <v>(-) Deduções da Receita</v>
      </c>
      <c r="E498" s="5" t="str">
        <f>_xlfn.XLOOKUP(fRealizado5[[#This Row],[Conta]],'Plano de Contas'!A:A,'Plano de Contas'!D:D)</f>
        <v>03 - Devoluções de Produtos</v>
      </c>
    </row>
    <row r="499" spans="1:5" x14ac:dyDescent="0.25">
      <c r="A499" s="23">
        <f t="shared" si="5"/>
        <v>43556</v>
      </c>
      <c r="B499" s="5" t="s">
        <v>128</v>
      </c>
      <c r="C499" s="5">
        <v>-8419</v>
      </c>
      <c r="D499" s="5" t="str">
        <f>_xlfn.XLOOKUP(fRealizado5[[#This Row],[Conta]],'Plano de Contas'!A:A,'Plano de Contas'!C:C)</f>
        <v>(-) Deduções da Receita</v>
      </c>
      <c r="E499" s="5" t="str">
        <f>_xlfn.XLOOKUP(fRealizado5[[#This Row],[Conta]],'Plano de Contas'!A:A,'Plano de Contas'!D:D)</f>
        <v>03 - Devoluções de Produtos</v>
      </c>
    </row>
    <row r="500" spans="1:5" x14ac:dyDescent="0.25">
      <c r="A500" s="23">
        <f t="shared" si="5"/>
        <v>43556</v>
      </c>
      <c r="B500" s="5" t="s">
        <v>129</v>
      </c>
      <c r="C500" s="5">
        <v>-4546</v>
      </c>
      <c r="D500" s="5" t="str">
        <f>_xlfn.XLOOKUP(fRealizado5[[#This Row],[Conta]],'Plano de Contas'!A:A,'Plano de Contas'!C:C)</f>
        <v>(-) Deduções da Receita</v>
      </c>
      <c r="E500" s="5" t="str">
        <f>_xlfn.XLOOKUP(fRealizado5[[#This Row],[Conta]],'Plano de Contas'!A:A,'Plano de Contas'!D:D)</f>
        <v>03 - Devoluções de Produtos</v>
      </c>
    </row>
    <row r="501" spans="1:5" x14ac:dyDescent="0.25">
      <c r="A501" s="23">
        <f t="shared" si="5"/>
        <v>43556</v>
      </c>
      <c r="B501" s="5" t="s">
        <v>130</v>
      </c>
      <c r="C501" s="5">
        <v>-2986</v>
      </c>
      <c r="D501" s="5" t="str">
        <f>_xlfn.XLOOKUP(fRealizado5[[#This Row],[Conta]],'Plano de Contas'!A:A,'Plano de Contas'!C:C)</f>
        <v>(-) Deduções da Receita</v>
      </c>
      <c r="E501" s="5" t="str">
        <f>_xlfn.XLOOKUP(fRealizado5[[#This Row],[Conta]],'Plano de Contas'!A:A,'Plano de Contas'!D:D)</f>
        <v>03 - Devoluções de Produtos</v>
      </c>
    </row>
    <row r="502" spans="1:5" x14ac:dyDescent="0.25">
      <c r="A502" s="23">
        <f t="shared" si="5"/>
        <v>43556</v>
      </c>
      <c r="B502" s="5" t="s">
        <v>131</v>
      </c>
      <c r="C502" s="5">
        <v>-7361</v>
      </c>
      <c r="D502" s="5" t="str">
        <f>_xlfn.XLOOKUP(fRealizado5[[#This Row],[Conta]],'Plano de Contas'!A:A,'Plano de Contas'!C:C)</f>
        <v>(-) Deduções da Receita</v>
      </c>
      <c r="E502" s="5" t="str">
        <f>_xlfn.XLOOKUP(fRealizado5[[#This Row],[Conta]],'Plano de Contas'!A:A,'Plano de Contas'!D:D)</f>
        <v>03 - Devoluções de Produtos</v>
      </c>
    </row>
    <row r="503" spans="1:5" x14ac:dyDescent="0.25">
      <c r="A503" s="23">
        <f t="shared" si="5"/>
        <v>43556</v>
      </c>
      <c r="B503" s="5" t="s">
        <v>132</v>
      </c>
      <c r="C503" s="5">
        <v>-8755</v>
      </c>
      <c r="D503" s="5" t="str">
        <f>_xlfn.XLOOKUP(fRealizado5[[#This Row],[Conta]],'Plano de Contas'!A:A,'Plano de Contas'!C:C)</f>
        <v>(-) Deduções da Receita</v>
      </c>
      <c r="E503" s="5" t="str">
        <f>_xlfn.XLOOKUP(fRealizado5[[#This Row],[Conta]],'Plano de Contas'!A:A,'Plano de Contas'!D:D)</f>
        <v>03 - Devoluções de Produtos</v>
      </c>
    </row>
    <row r="504" spans="1:5" x14ac:dyDescent="0.25">
      <c r="A504" s="23">
        <f t="shared" si="5"/>
        <v>43556</v>
      </c>
      <c r="B504" s="5" t="s">
        <v>133</v>
      </c>
      <c r="C504" s="5">
        <v>-3839</v>
      </c>
      <c r="D504" s="5" t="str">
        <f>_xlfn.XLOOKUP(fRealizado5[[#This Row],[Conta]],'Plano de Contas'!A:A,'Plano de Contas'!C:C)</f>
        <v>(-) Deduções da Receita</v>
      </c>
      <c r="E504" s="5" t="str">
        <f>_xlfn.XLOOKUP(fRealizado5[[#This Row],[Conta]],'Plano de Contas'!A:A,'Plano de Contas'!D:D)</f>
        <v>03 - Devoluções de Produtos</v>
      </c>
    </row>
    <row r="505" spans="1:5" x14ac:dyDescent="0.25">
      <c r="A505" s="23">
        <f t="shared" si="5"/>
        <v>43556</v>
      </c>
      <c r="B505" s="5" t="s">
        <v>134</v>
      </c>
      <c r="C505" s="5">
        <v>-9203</v>
      </c>
      <c r="D505" s="5" t="str">
        <f>_xlfn.XLOOKUP(fRealizado5[[#This Row],[Conta]],'Plano de Contas'!A:A,'Plano de Contas'!C:C)</f>
        <v>(-) Deduções da Receita</v>
      </c>
      <c r="E505" s="5" t="str">
        <f>_xlfn.XLOOKUP(fRealizado5[[#This Row],[Conta]],'Plano de Contas'!A:A,'Plano de Contas'!D:D)</f>
        <v>03 - Devoluções de Produtos</v>
      </c>
    </row>
    <row r="506" spans="1:5" x14ac:dyDescent="0.25">
      <c r="A506" s="23">
        <f t="shared" si="5"/>
        <v>43556</v>
      </c>
      <c r="B506" s="5" t="s">
        <v>135</v>
      </c>
      <c r="C506" s="5">
        <v>-4660</v>
      </c>
      <c r="D506" s="5" t="str">
        <f>_xlfn.XLOOKUP(fRealizado5[[#This Row],[Conta]],'Plano de Contas'!A:A,'Plano de Contas'!C:C)</f>
        <v>(-) Deduções da Receita</v>
      </c>
      <c r="E506" s="5" t="str">
        <f>_xlfn.XLOOKUP(fRealizado5[[#This Row],[Conta]],'Plano de Contas'!A:A,'Plano de Contas'!D:D)</f>
        <v>03 - Devoluções de Produtos</v>
      </c>
    </row>
    <row r="507" spans="1:5" x14ac:dyDescent="0.25">
      <c r="A507" s="23">
        <f t="shared" si="5"/>
        <v>43556</v>
      </c>
      <c r="B507" s="5" t="s">
        <v>136</v>
      </c>
      <c r="C507" s="5">
        <v>-7157</v>
      </c>
      <c r="D507" s="5" t="str">
        <f>_xlfn.XLOOKUP(fRealizado5[[#This Row],[Conta]],'Plano de Contas'!A:A,'Plano de Contas'!C:C)</f>
        <v>(-) Deduções da Receita</v>
      </c>
      <c r="E507" s="5" t="str">
        <f>_xlfn.XLOOKUP(fRealizado5[[#This Row],[Conta]],'Plano de Contas'!A:A,'Plano de Contas'!D:D)</f>
        <v>04 - Taxas de Serviço</v>
      </c>
    </row>
    <row r="508" spans="1:5" x14ac:dyDescent="0.25">
      <c r="A508" s="23">
        <f t="shared" si="5"/>
        <v>43556</v>
      </c>
      <c r="B508" s="5" t="s">
        <v>137</v>
      </c>
      <c r="C508" s="5">
        <v>-9794</v>
      </c>
      <c r="D508" s="5" t="str">
        <f>_xlfn.XLOOKUP(fRealizado5[[#This Row],[Conta]],'Plano de Contas'!A:A,'Plano de Contas'!C:C)</f>
        <v>(-) Deduções da Receita</v>
      </c>
      <c r="E508" s="5" t="str">
        <f>_xlfn.XLOOKUP(fRealizado5[[#This Row],[Conta]],'Plano de Contas'!A:A,'Plano de Contas'!D:D)</f>
        <v>04 - Taxas de Serviço</v>
      </c>
    </row>
    <row r="509" spans="1:5" x14ac:dyDescent="0.25">
      <c r="A509" s="23">
        <f t="shared" si="5"/>
        <v>43556</v>
      </c>
      <c r="B509" s="5" t="s">
        <v>138</v>
      </c>
      <c r="C509" s="5">
        <v>-8007</v>
      </c>
      <c r="D509" s="5" t="str">
        <f>_xlfn.XLOOKUP(fRealizado5[[#This Row],[Conta]],'Plano de Contas'!A:A,'Plano de Contas'!C:C)</f>
        <v>(-) Deduções da Receita</v>
      </c>
      <c r="E509" s="5" t="str">
        <f>_xlfn.XLOOKUP(fRealizado5[[#This Row],[Conta]],'Plano de Contas'!A:A,'Plano de Contas'!D:D)</f>
        <v>04 - Taxas de Serviço</v>
      </c>
    </row>
    <row r="510" spans="1:5" x14ac:dyDescent="0.25">
      <c r="A510" s="23">
        <f t="shared" si="5"/>
        <v>43556</v>
      </c>
      <c r="B510" s="5" t="s">
        <v>139</v>
      </c>
      <c r="C510" s="5">
        <v>-9233</v>
      </c>
      <c r="D510" s="5" t="str">
        <f>_xlfn.XLOOKUP(fRealizado5[[#This Row],[Conta]],'Plano de Contas'!A:A,'Plano de Contas'!C:C)</f>
        <v>(-) Deduções da Receita</v>
      </c>
      <c r="E510" s="5" t="str">
        <f>_xlfn.XLOOKUP(fRealizado5[[#This Row],[Conta]],'Plano de Contas'!A:A,'Plano de Contas'!D:D)</f>
        <v>04 - Taxas de Serviço</v>
      </c>
    </row>
    <row r="511" spans="1:5" x14ac:dyDescent="0.25">
      <c r="A511" s="23">
        <f t="shared" si="5"/>
        <v>43556</v>
      </c>
      <c r="B511" s="5" t="s">
        <v>140</v>
      </c>
      <c r="C511" s="5">
        <v>-121734</v>
      </c>
      <c r="D511" s="5" t="str">
        <f>_xlfn.XLOOKUP(fRealizado5[[#This Row],[Conta]],'Plano de Contas'!A:A,'Plano de Contas'!C:C)</f>
        <v>(-) Custos de Vendas</v>
      </c>
      <c r="E511" s="5" t="str">
        <f>_xlfn.XLOOKUP(fRealizado5[[#This Row],[Conta]],'Plano de Contas'!A:A,'Plano de Contas'!D:D)</f>
        <v>05 - Custo do Produto</v>
      </c>
    </row>
    <row r="512" spans="1:5" x14ac:dyDescent="0.25">
      <c r="A512" s="23">
        <f t="shared" si="5"/>
        <v>43556</v>
      </c>
      <c r="B512" s="5" t="s">
        <v>141</v>
      </c>
      <c r="C512" s="5">
        <v>-288202</v>
      </c>
      <c r="D512" s="5" t="str">
        <f>_xlfn.XLOOKUP(fRealizado5[[#This Row],[Conta]],'Plano de Contas'!A:A,'Plano de Contas'!C:C)</f>
        <v>(-) Custos de Vendas</v>
      </c>
      <c r="E512" s="5" t="str">
        <f>_xlfn.XLOOKUP(fRealizado5[[#This Row],[Conta]],'Plano de Contas'!A:A,'Plano de Contas'!D:D)</f>
        <v>05 - Custo do Produto</v>
      </c>
    </row>
    <row r="513" spans="1:5" x14ac:dyDescent="0.25">
      <c r="A513" s="23">
        <f t="shared" si="5"/>
        <v>43556</v>
      </c>
      <c r="B513" s="5" t="s">
        <v>142</v>
      </c>
      <c r="C513" s="5">
        <v>-268582</v>
      </c>
      <c r="D513" s="5" t="str">
        <f>_xlfn.XLOOKUP(fRealizado5[[#This Row],[Conta]],'Plano de Contas'!A:A,'Plano de Contas'!C:C)</f>
        <v>(-) Custos de Vendas</v>
      </c>
      <c r="E513" s="5" t="str">
        <f>_xlfn.XLOOKUP(fRealizado5[[#This Row],[Conta]],'Plano de Contas'!A:A,'Plano de Contas'!D:D)</f>
        <v>05 - Custo do Produto</v>
      </c>
    </row>
    <row r="514" spans="1:5" x14ac:dyDescent="0.25">
      <c r="A514" s="23">
        <f t="shared" si="5"/>
        <v>43556</v>
      </c>
      <c r="B514" s="5" t="s">
        <v>143</v>
      </c>
      <c r="C514" s="5">
        <v>-201259</v>
      </c>
      <c r="D514" s="5" t="str">
        <f>_xlfn.XLOOKUP(fRealizado5[[#This Row],[Conta]],'Plano de Contas'!A:A,'Plano de Contas'!C:C)</f>
        <v>(-) Custos de Vendas</v>
      </c>
      <c r="E514" s="5" t="str">
        <f>_xlfn.XLOOKUP(fRealizado5[[#This Row],[Conta]],'Plano de Contas'!A:A,'Plano de Contas'!D:D)</f>
        <v>05 - Custo do Produto</v>
      </c>
    </row>
    <row r="515" spans="1:5" x14ac:dyDescent="0.25">
      <c r="A515" s="23">
        <f t="shared" si="5"/>
        <v>43556</v>
      </c>
      <c r="B515" s="5" t="s">
        <v>144</v>
      </c>
      <c r="C515" s="5">
        <v>-147142</v>
      </c>
      <c r="D515" s="5" t="str">
        <f>_xlfn.XLOOKUP(fRealizado5[[#This Row],[Conta]],'Plano de Contas'!A:A,'Plano de Contas'!C:C)</f>
        <v>(-) Custos de Vendas</v>
      </c>
      <c r="E515" s="5" t="str">
        <f>_xlfn.XLOOKUP(fRealizado5[[#This Row],[Conta]],'Plano de Contas'!A:A,'Plano de Contas'!D:D)</f>
        <v>05 - Custo do Produto</v>
      </c>
    </row>
    <row r="516" spans="1:5" x14ac:dyDescent="0.25">
      <c r="A516" s="23">
        <f t="shared" si="5"/>
        <v>43556</v>
      </c>
      <c r="B516" s="5" t="s">
        <v>145</v>
      </c>
      <c r="C516" s="5">
        <v>-100938</v>
      </c>
      <c r="D516" s="5" t="str">
        <f>_xlfn.XLOOKUP(fRealizado5[[#This Row],[Conta]],'Plano de Contas'!A:A,'Plano de Contas'!C:C)</f>
        <v>(-) Custos de Vendas</v>
      </c>
      <c r="E516" s="5" t="str">
        <f>_xlfn.XLOOKUP(fRealizado5[[#This Row],[Conta]],'Plano de Contas'!A:A,'Plano de Contas'!D:D)</f>
        <v>05 - Custo do Produto</v>
      </c>
    </row>
    <row r="517" spans="1:5" x14ac:dyDescent="0.25">
      <c r="A517" s="23">
        <f t="shared" si="5"/>
        <v>43556</v>
      </c>
      <c r="B517" s="5" t="s">
        <v>146</v>
      </c>
      <c r="C517" s="5">
        <v>-295521</v>
      </c>
      <c r="D517" s="5" t="str">
        <f>_xlfn.XLOOKUP(fRealizado5[[#This Row],[Conta]],'Plano de Contas'!A:A,'Plano de Contas'!C:C)</f>
        <v>(-) Custos de Vendas</v>
      </c>
      <c r="E517" s="5" t="str">
        <f>_xlfn.XLOOKUP(fRealizado5[[#This Row],[Conta]],'Plano de Contas'!A:A,'Plano de Contas'!D:D)</f>
        <v>05 - Custo do Produto</v>
      </c>
    </row>
    <row r="518" spans="1:5" x14ac:dyDescent="0.25">
      <c r="A518" s="23">
        <f t="shared" si="5"/>
        <v>43556</v>
      </c>
      <c r="B518" s="5" t="s">
        <v>147</v>
      </c>
      <c r="C518" s="5">
        <v>-100777</v>
      </c>
      <c r="D518" s="5" t="str">
        <f>_xlfn.XLOOKUP(fRealizado5[[#This Row],[Conta]],'Plano de Contas'!A:A,'Plano de Contas'!C:C)</f>
        <v>(-) Custos de Vendas</v>
      </c>
      <c r="E518" s="5" t="str">
        <f>_xlfn.XLOOKUP(fRealizado5[[#This Row],[Conta]],'Plano de Contas'!A:A,'Plano de Contas'!D:D)</f>
        <v>05 - Custo do Produto</v>
      </c>
    </row>
    <row r="519" spans="1:5" x14ac:dyDescent="0.25">
      <c r="A519" s="23">
        <f t="shared" si="5"/>
        <v>43556</v>
      </c>
      <c r="B519" s="5" t="s">
        <v>148</v>
      </c>
      <c r="C519" s="5">
        <v>-155963</v>
      </c>
      <c r="D519" s="5" t="str">
        <f>_xlfn.XLOOKUP(fRealizado5[[#This Row],[Conta]],'Plano de Contas'!A:A,'Plano de Contas'!C:C)</f>
        <v>(-) Custos de Vendas</v>
      </c>
      <c r="E519" s="5" t="str">
        <f>_xlfn.XLOOKUP(fRealizado5[[#This Row],[Conta]],'Plano de Contas'!A:A,'Plano de Contas'!D:D)</f>
        <v>05 - Custo do Produto</v>
      </c>
    </row>
    <row r="520" spans="1:5" x14ac:dyDescent="0.25">
      <c r="A520" s="23">
        <f t="shared" si="5"/>
        <v>43556</v>
      </c>
      <c r="B520" s="5" t="s">
        <v>149</v>
      </c>
      <c r="C520" s="5">
        <v>-264223</v>
      </c>
      <c r="D520" s="5" t="str">
        <f>_xlfn.XLOOKUP(fRealizado5[[#This Row],[Conta]],'Plano de Contas'!A:A,'Plano de Contas'!C:C)</f>
        <v>(-) Custos de Vendas</v>
      </c>
      <c r="E520" s="5" t="str">
        <f>_xlfn.XLOOKUP(fRealizado5[[#This Row],[Conta]],'Plano de Contas'!A:A,'Plano de Contas'!D:D)</f>
        <v>05 - Custo do Produto</v>
      </c>
    </row>
    <row r="521" spans="1:5" x14ac:dyDescent="0.25">
      <c r="A521" s="23">
        <f t="shared" si="5"/>
        <v>43556</v>
      </c>
      <c r="B521" s="5" t="s">
        <v>150</v>
      </c>
      <c r="C521" s="5">
        <v>-110684</v>
      </c>
      <c r="D521" s="5" t="str">
        <f>_xlfn.XLOOKUP(fRealizado5[[#This Row],[Conta]],'Plano de Contas'!A:A,'Plano de Contas'!C:C)</f>
        <v>(-) Custos de Vendas</v>
      </c>
      <c r="E521" s="5" t="str">
        <f>_xlfn.XLOOKUP(fRealizado5[[#This Row],[Conta]],'Plano de Contas'!A:A,'Plano de Contas'!D:D)</f>
        <v>05 - Custo do Produto</v>
      </c>
    </row>
    <row r="522" spans="1:5" x14ac:dyDescent="0.25">
      <c r="A522" s="23">
        <f t="shared" si="5"/>
        <v>43556</v>
      </c>
      <c r="B522" s="5" t="s">
        <v>151</v>
      </c>
      <c r="C522" s="5">
        <v>-82634</v>
      </c>
      <c r="D522" s="5" t="str">
        <f>_xlfn.XLOOKUP(fRealizado5[[#This Row],[Conta]],'Plano de Contas'!A:A,'Plano de Contas'!C:C)</f>
        <v>(-) Custos de Vendas</v>
      </c>
      <c r="E522" s="5" t="str">
        <f>_xlfn.XLOOKUP(fRealizado5[[#This Row],[Conta]],'Plano de Contas'!A:A,'Plano de Contas'!D:D)</f>
        <v>05 - Custo do Produto</v>
      </c>
    </row>
    <row r="523" spans="1:5" x14ac:dyDescent="0.25">
      <c r="A523" s="23">
        <f t="shared" si="5"/>
        <v>43556</v>
      </c>
      <c r="B523" s="5" t="s">
        <v>152</v>
      </c>
      <c r="C523" s="5">
        <v>-263899</v>
      </c>
      <c r="D523" s="5" t="str">
        <f>_xlfn.XLOOKUP(fRealizado5[[#This Row],[Conta]],'Plano de Contas'!A:A,'Plano de Contas'!C:C)</f>
        <v>(-) Custos de Vendas</v>
      </c>
      <c r="E523" s="5" t="str">
        <f>_xlfn.XLOOKUP(fRealizado5[[#This Row],[Conta]],'Plano de Contas'!A:A,'Plano de Contas'!D:D)</f>
        <v>05 - Custo do Produto</v>
      </c>
    </row>
    <row r="524" spans="1:5" x14ac:dyDescent="0.25">
      <c r="A524" s="23">
        <f t="shared" si="5"/>
        <v>43556</v>
      </c>
      <c r="B524" s="5" t="s">
        <v>153</v>
      </c>
      <c r="C524" s="5">
        <v>-244275</v>
      </c>
      <c r="D524" s="5" t="str">
        <f>_xlfn.XLOOKUP(fRealizado5[[#This Row],[Conta]],'Plano de Contas'!A:A,'Plano de Contas'!C:C)</f>
        <v>(-) Custos de Vendas</v>
      </c>
      <c r="E524" s="5" t="str">
        <f>_xlfn.XLOOKUP(fRealizado5[[#This Row],[Conta]],'Plano de Contas'!A:A,'Plano de Contas'!D:D)</f>
        <v>05 - Custo do Produto</v>
      </c>
    </row>
    <row r="525" spans="1:5" x14ac:dyDescent="0.25">
      <c r="A525" s="23">
        <f t="shared" si="5"/>
        <v>43556</v>
      </c>
      <c r="B525" s="5" t="s">
        <v>154</v>
      </c>
      <c r="C525" s="5">
        <v>-91040</v>
      </c>
      <c r="D525" s="5" t="str">
        <f>_xlfn.XLOOKUP(fRealizado5[[#This Row],[Conta]],'Plano de Contas'!A:A,'Plano de Contas'!C:C)</f>
        <v>(-) Custos de Vendas</v>
      </c>
      <c r="E525" s="5" t="str">
        <f>_xlfn.XLOOKUP(fRealizado5[[#This Row],[Conta]],'Plano de Contas'!A:A,'Plano de Contas'!D:D)</f>
        <v>05 - Custo do Produto</v>
      </c>
    </row>
    <row r="526" spans="1:5" x14ac:dyDescent="0.25">
      <c r="A526" s="23">
        <f t="shared" si="5"/>
        <v>43556</v>
      </c>
      <c r="B526" s="5" t="s">
        <v>155</v>
      </c>
      <c r="C526" s="5">
        <v>-262361</v>
      </c>
      <c r="D526" s="5" t="str">
        <f>_xlfn.XLOOKUP(fRealizado5[[#This Row],[Conta]],'Plano de Contas'!A:A,'Plano de Contas'!C:C)</f>
        <v>(-) Custos de Vendas</v>
      </c>
      <c r="E526" s="5" t="str">
        <f>_xlfn.XLOOKUP(fRealizado5[[#This Row],[Conta]],'Plano de Contas'!A:A,'Plano de Contas'!D:D)</f>
        <v>05 - Custo do Produto</v>
      </c>
    </row>
    <row r="527" spans="1:5" x14ac:dyDescent="0.25">
      <c r="A527" s="23">
        <f t="shared" ref="A527:A590" si="6">EDATE(A387,1)</f>
        <v>43556</v>
      </c>
      <c r="B527" s="5" t="s">
        <v>156</v>
      </c>
      <c r="C527" s="5">
        <v>-149616</v>
      </c>
      <c r="D527" s="5" t="str">
        <f>_xlfn.XLOOKUP(fRealizado5[[#This Row],[Conta]],'Plano de Contas'!A:A,'Plano de Contas'!C:C)</f>
        <v>(-) Custos de Vendas</v>
      </c>
      <c r="E527" s="5" t="str">
        <f>_xlfn.XLOOKUP(fRealizado5[[#This Row],[Conta]],'Plano de Contas'!A:A,'Plano de Contas'!D:D)</f>
        <v>05 - Custo do Produto</v>
      </c>
    </row>
    <row r="528" spans="1:5" x14ac:dyDescent="0.25">
      <c r="A528" s="23">
        <f t="shared" si="6"/>
        <v>43556</v>
      </c>
      <c r="B528" s="5" t="s">
        <v>157</v>
      </c>
      <c r="C528" s="5">
        <v>-170134</v>
      </c>
      <c r="D528" s="5" t="str">
        <f>_xlfn.XLOOKUP(fRealizado5[[#This Row],[Conta]],'Plano de Contas'!A:A,'Plano de Contas'!C:C)</f>
        <v>(-) Custos de Vendas</v>
      </c>
      <c r="E528" s="5" t="str">
        <f>_xlfn.XLOOKUP(fRealizado5[[#This Row],[Conta]],'Plano de Contas'!A:A,'Plano de Contas'!D:D)</f>
        <v>05 - Custo do Produto</v>
      </c>
    </row>
    <row r="529" spans="1:5" x14ac:dyDescent="0.25">
      <c r="A529" s="23">
        <f t="shared" si="6"/>
        <v>43556</v>
      </c>
      <c r="B529" s="5" t="s">
        <v>158</v>
      </c>
      <c r="C529" s="5">
        <v>-244552</v>
      </c>
      <c r="D529" s="5" t="str">
        <f>_xlfn.XLOOKUP(fRealizado5[[#This Row],[Conta]],'Plano de Contas'!A:A,'Plano de Contas'!C:C)</f>
        <v>(-) Custos de Vendas</v>
      </c>
      <c r="E529" s="5" t="str">
        <f>_xlfn.XLOOKUP(fRealizado5[[#This Row],[Conta]],'Plano de Contas'!A:A,'Plano de Contas'!D:D)</f>
        <v>05 - Custo do Produto</v>
      </c>
    </row>
    <row r="530" spans="1:5" x14ac:dyDescent="0.25">
      <c r="A530" s="23">
        <f t="shared" si="6"/>
        <v>43556</v>
      </c>
      <c r="B530" s="5" t="s">
        <v>159</v>
      </c>
      <c r="C530" s="5">
        <v>-98903</v>
      </c>
      <c r="D530" s="5" t="str">
        <f>_xlfn.XLOOKUP(fRealizado5[[#This Row],[Conta]],'Plano de Contas'!A:A,'Plano de Contas'!C:C)</f>
        <v>(-) Custos de Vendas</v>
      </c>
      <c r="E530" s="5" t="str">
        <f>_xlfn.XLOOKUP(fRealizado5[[#This Row],[Conta]],'Plano de Contas'!A:A,'Plano de Contas'!D:D)</f>
        <v>05 - Custo do Produto</v>
      </c>
    </row>
    <row r="531" spans="1:5" x14ac:dyDescent="0.25">
      <c r="A531" s="23">
        <f t="shared" si="6"/>
        <v>43556</v>
      </c>
      <c r="B531" s="5" t="s">
        <v>160</v>
      </c>
      <c r="C531" s="5">
        <v>-116187</v>
      </c>
      <c r="D531" s="5" t="str">
        <f>_xlfn.XLOOKUP(fRealizado5[[#This Row],[Conta]],'Plano de Contas'!A:A,'Plano de Contas'!C:C)</f>
        <v>(-) Custos de Vendas</v>
      </c>
      <c r="E531" s="5" t="str">
        <f>_xlfn.XLOOKUP(fRealizado5[[#This Row],[Conta]],'Plano de Contas'!A:A,'Plano de Contas'!D:D)</f>
        <v>05 - Custo do Produto</v>
      </c>
    </row>
    <row r="532" spans="1:5" x14ac:dyDescent="0.25">
      <c r="A532" s="23">
        <f t="shared" si="6"/>
        <v>43556</v>
      </c>
      <c r="B532" s="5" t="s">
        <v>161</v>
      </c>
      <c r="C532" s="5">
        <v>-283714</v>
      </c>
      <c r="D532" s="5" t="str">
        <f>_xlfn.XLOOKUP(fRealizado5[[#This Row],[Conta]],'Plano de Contas'!A:A,'Plano de Contas'!C:C)</f>
        <v>(-) Custos de Vendas</v>
      </c>
      <c r="E532" s="5" t="str">
        <f>_xlfn.XLOOKUP(fRealizado5[[#This Row],[Conta]],'Plano de Contas'!A:A,'Plano de Contas'!D:D)</f>
        <v>05 - Custo do Produto</v>
      </c>
    </row>
    <row r="533" spans="1:5" x14ac:dyDescent="0.25">
      <c r="A533" s="23">
        <f t="shared" si="6"/>
        <v>43556</v>
      </c>
      <c r="B533" s="5" t="s">
        <v>162</v>
      </c>
      <c r="C533" s="5">
        <v>-164591</v>
      </c>
      <c r="D533" s="5" t="str">
        <f>_xlfn.XLOOKUP(fRealizado5[[#This Row],[Conta]],'Plano de Contas'!A:A,'Plano de Contas'!C:C)</f>
        <v>(-) Custos de Vendas</v>
      </c>
      <c r="E533" s="5" t="str">
        <f>_xlfn.XLOOKUP(fRealizado5[[#This Row],[Conta]],'Plano de Contas'!A:A,'Plano de Contas'!D:D)</f>
        <v>05 - Custo do Produto</v>
      </c>
    </row>
    <row r="534" spans="1:5" x14ac:dyDescent="0.25">
      <c r="A534" s="23">
        <f t="shared" si="6"/>
        <v>43556</v>
      </c>
      <c r="B534" s="5" t="s">
        <v>163</v>
      </c>
      <c r="C534" s="5">
        <v>-139356</v>
      </c>
      <c r="D534" s="5" t="str">
        <f>_xlfn.XLOOKUP(fRealizado5[[#This Row],[Conta]],'Plano de Contas'!A:A,'Plano de Contas'!C:C)</f>
        <v>(-) Custos de Vendas</v>
      </c>
      <c r="E534" s="5" t="str">
        <f>_xlfn.XLOOKUP(fRealizado5[[#This Row],[Conta]],'Plano de Contas'!A:A,'Plano de Contas'!D:D)</f>
        <v>05 - Custo do Produto</v>
      </c>
    </row>
    <row r="535" spans="1:5" x14ac:dyDescent="0.25">
      <c r="A535" s="23">
        <f t="shared" si="6"/>
        <v>43556</v>
      </c>
      <c r="B535" s="5" t="s">
        <v>164</v>
      </c>
      <c r="C535" s="5">
        <v>-66111</v>
      </c>
      <c r="D535" s="5" t="str">
        <f>_xlfn.XLOOKUP(fRealizado5[[#This Row],[Conta]],'Plano de Contas'!A:A,'Plano de Contas'!C:C)</f>
        <v>(-) Custos de Vendas</v>
      </c>
      <c r="E535" s="5" t="str">
        <f>_xlfn.XLOOKUP(fRealizado5[[#This Row],[Conta]],'Plano de Contas'!A:A,'Plano de Contas'!D:D)</f>
        <v>06 - Outros Custos</v>
      </c>
    </row>
    <row r="536" spans="1:5" x14ac:dyDescent="0.25">
      <c r="A536" s="23">
        <f t="shared" si="6"/>
        <v>43556</v>
      </c>
      <c r="B536" s="5" t="s">
        <v>165</v>
      </c>
      <c r="C536" s="5">
        <v>-61848</v>
      </c>
      <c r="D536" s="5" t="str">
        <f>_xlfn.XLOOKUP(fRealizado5[[#This Row],[Conta]],'Plano de Contas'!A:A,'Plano de Contas'!C:C)</f>
        <v>(-) Custos de Vendas</v>
      </c>
      <c r="E536" s="5" t="str">
        <f>_xlfn.XLOOKUP(fRealizado5[[#This Row],[Conta]],'Plano de Contas'!A:A,'Plano de Contas'!D:D)</f>
        <v>06 - Outros Custos</v>
      </c>
    </row>
    <row r="537" spans="1:5" x14ac:dyDescent="0.25">
      <c r="A537" s="23">
        <f t="shared" si="6"/>
        <v>43556</v>
      </c>
      <c r="B537" s="5" t="s">
        <v>166</v>
      </c>
      <c r="C537" s="5">
        <v>-85897</v>
      </c>
      <c r="D537" s="5" t="str">
        <f>_xlfn.XLOOKUP(fRealizado5[[#This Row],[Conta]],'Plano de Contas'!A:A,'Plano de Contas'!C:C)</f>
        <v>(-) Custos de Vendas</v>
      </c>
      <c r="E537" s="5" t="str">
        <f>_xlfn.XLOOKUP(fRealizado5[[#This Row],[Conta]],'Plano de Contas'!A:A,'Plano de Contas'!D:D)</f>
        <v>06 - Outros Custos</v>
      </c>
    </row>
    <row r="538" spans="1:5" x14ac:dyDescent="0.25">
      <c r="A538" s="23">
        <f t="shared" si="6"/>
        <v>43556</v>
      </c>
      <c r="B538" s="5" t="s">
        <v>167</v>
      </c>
      <c r="C538" s="5">
        <v>-112372</v>
      </c>
      <c r="D538" s="5" t="str">
        <f>_xlfn.XLOOKUP(fRealizado5[[#This Row],[Conta]],'Plano de Contas'!A:A,'Plano de Contas'!C:C)</f>
        <v>(-) Despesas Gerais</v>
      </c>
      <c r="E538" s="5" t="str">
        <f>_xlfn.XLOOKUP(fRealizado5[[#This Row],[Conta]],'Plano de Contas'!A:A,'Plano de Contas'!D:D)</f>
        <v>07 - Despesas Administrativas</v>
      </c>
    </row>
    <row r="539" spans="1:5" x14ac:dyDescent="0.25">
      <c r="A539" s="23">
        <f t="shared" si="6"/>
        <v>43556</v>
      </c>
      <c r="B539" s="5" t="s">
        <v>168</v>
      </c>
      <c r="C539" s="5">
        <v>-96143</v>
      </c>
      <c r="D539" s="5" t="str">
        <f>_xlfn.XLOOKUP(fRealizado5[[#This Row],[Conta]],'Plano de Contas'!A:A,'Plano de Contas'!C:C)</f>
        <v>(-) Despesas Gerais</v>
      </c>
      <c r="E539" s="5" t="str">
        <f>_xlfn.XLOOKUP(fRealizado5[[#This Row],[Conta]],'Plano de Contas'!A:A,'Plano de Contas'!D:D)</f>
        <v>07 - Despesas Administrativas</v>
      </c>
    </row>
    <row r="540" spans="1:5" x14ac:dyDescent="0.25">
      <c r="A540" s="23">
        <f t="shared" si="6"/>
        <v>43556</v>
      </c>
      <c r="B540" s="5" t="s">
        <v>169</v>
      </c>
      <c r="C540" s="5">
        <v>-113460</v>
      </c>
      <c r="D540" s="5" t="str">
        <f>_xlfn.XLOOKUP(fRealizado5[[#This Row],[Conta]],'Plano de Contas'!A:A,'Plano de Contas'!C:C)</f>
        <v>(-) Despesas Gerais</v>
      </c>
      <c r="E540" s="5" t="str">
        <f>_xlfn.XLOOKUP(fRealizado5[[#This Row],[Conta]],'Plano de Contas'!A:A,'Plano de Contas'!D:D)</f>
        <v>07 - Despesas Administrativas</v>
      </c>
    </row>
    <row r="541" spans="1:5" x14ac:dyDescent="0.25">
      <c r="A541" s="23">
        <f t="shared" si="6"/>
        <v>43556</v>
      </c>
      <c r="B541" s="5" t="s">
        <v>170</v>
      </c>
      <c r="C541" s="5">
        <v>-209195</v>
      </c>
      <c r="D541" s="5" t="str">
        <f>_xlfn.XLOOKUP(fRealizado5[[#This Row],[Conta]],'Plano de Contas'!A:A,'Plano de Contas'!C:C)</f>
        <v>(-) Despesas Gerais</v>
      </c>
      <c r="E541" s="5" t="str">
        <f>_xlfn.XLOOKUP(fRealizado5[[#This Row],[Conta]],'Plano de Contas'!A:A,'Plano de Contas'!D:D)</f>
        <v>07 - Despesas Administrativas</v>
      </c>
    </row>
    <row r="542" spans="1:5" x14ac:dyDescent="0.25">
      <c r="A542" s="23">
        <f t="shared" si="6"/>
        <v>43556</v>
      </c>
      <c r="B542" s="5" t="s">
        <v>171</v>
      </c>
      <c r="C542" s="5">
        <v>-253088</v>
      </c>
      <c r="D542" s="5" t="str">
        <f>_xlfn.XLOOKUP(fRealizado5[[#This Row],[Conta]],'Plano de Contas'!A:A,'Plano de Contas'!C:C)</f>
        <v>(-) Despesas Gerais</v>
      </c>
      <c r="E542" s="5" t="str">
        <f>_xlfn.XLOOKUP(fRealizado5[[#This Row],[Conta]],'Plano de Contas'!A:A,'Plano de Contas'!D:D)</f>
        <v>07 - Despesas Administrativas</v>
      </c>
    </row>
    <row r="543" spans="1:5" x14ac:dyDescent="0.25">
      <c r="A543" s="23">
        <f t="shared" si="6"/>
        <v>43556</v>
      </c>
      <c r="B543" s="5" t="s">
        <v>172</v>
      </c>
      <c r="C543" s="5">
        <v>-233619</v>
      </c>
      <c r="D543" s="5" t="str">
        <f>_xlfn.XLOOKUP(fRealizado5[[#This Row],[Conta]],'Plano de Contas'!A:A,'Plano de Contas'!C:C)</f>
        <v>(-) Despesas Gerais</v>
      </c>
      <c r="E543" s="5" t="str">
        <f>_xlfn.XLOOKUP(fRealizado5[[#This Row],[Conta]],'Plano de Contas'!A:A,'Plano de Contas'!D:D)</f>
        <v>07 - Despesas Administrativas</v>
      </c>
    </row>
    <row r="544" spans="1:5" x14ac:dyDescent="0.25">
      <c r="A544" s="23">
        <f t="shared" si="6"/>
        <v>43556</v>
      </c>
      <c r="B544" s="5" t="s">
        <v>173</v>
      </c>
      <c r="C544" s="5">
        <v>-57073</v>
      </c>
      <c r="D544" s="5" t="str">
        <f>_xlfn.XLOOKUP(fRealizado5[[#This Row],[Conta]],'Plano de Contas'!A:A,'Plano de Contas'!C:C)</f>
        <v>(-) Despesas Gerais</v>
      </c>
      <c r="E544" s="5" t="str">
        <f>_xlfn.XLOOKUP(fRealizado5[[#This Row],[Conta]],'Plano de Contas'!A:A,'Plano de Contas'!D:D)</f>
        <v>08 - Despesas Financeiras</v>
      </c>
    </row>
    <row r="545" spans="1:5" x14ac:dyDescent="0.25">
      <c r="A545" s="23">
        <f t="shared" si="6"/>
        <v>43556</v>
      </c>
      <c r="B545" s="5" t="s">
        <v>174</v>
      </c>
      <c r="C545" s="5">
        <v>-55167</v>
      </c>
      <c r="D545" s="5" t="str">
        <f>_xlfn.XLOOKUP(fRealizado5[[#This Row],[Conta]],'Plano de Contas'!A:A,'Plano de Contas'!C:C)</f>
        <v>(-) Despesas Gerais</v>
      </c>
      <c r="E545" s="5" t="str">
        <f>_xlfn.XLOOKUP(fRealizado5[[#This Row],[Conta]],'Plano de Contas'!A:A,'Plano de Contas'!D:D)</f>
        <v>08 - Despesas Financeiras</v>
      </c>
    </row>
    <row r="546" spans="1:5" x14ac:dyDescent="0.25">
      <c r="A546" s="23">
        <f t="shared" si="6"/>
        <v>43556</v>
      </c>
      <c r="B546" s="5" t="s">
        <v>175</v>
      </c>
      <c r="C546" s="5">
        <v>-50302</v>
      </c>
      <c r="D546" s="5" t="str">
        <f>_xlfn.XLOOKUP(fRealizado5[[#This Row],[Conta]],'Plano de Contas'!A:A,'Plano de Contas'!C:C)</f>
        <v>(-) Despesas Gerais</v>
      </c>
      <c r="E546" s="5" t="str">
        <f>_xlfn.XLOOKUP(fRealizado5[[#This Row],[Conta]],'Plano de Contas'!A:A,'Plano de Contas'!D:D)</f>
        <v>08 - Despesas Financeiras</v>
      </c>
    </row>
    <row r="547" spans="1:5" x14ac:dyDescent="0.25">
      <c r="A547" s="23">
        <f t="shared" si="6"/>
        <v>43556</v>
      </c>
      <c r="B547" s="5" t="s">
        <v>176</v>
      </c>
      <c r="C547" s="5">
        <v>-48655</v>
      </c>
      <c r="D547" s="5" t="str">
        <f>_xlfn.XLOOKUP(fRealizado5[[#This Row],[Conta]],'Plano de Contas'!A:A,'Plano de Contas'!C:C)</f>
        <v>(-) Despesas Gerais</v>
      </c>
      <c r="E547" s="5" t="str">
        <f>_xlfn.XLOOKUP(fRealizado5[[#This Row],[Conta]],'Plano de Contas'!A:A,'Plano de Contas'!D:D)</f>
        <v>08 - Despesas Financeiras</v>
      </c>
    </row>
    <row r="548" spans="1:5" x14ac:dyDescent="0.25">
      <c r="A548" s="23">
        <f t="shared" si="6"/>
        <v>43556</v>
      </c>
      <c r="B548" s="5" t="s">
        <v>177</v>
      </c>
      <c r="C548" s="5">
        <v>-42307</v>
      </c>
      <c r="D548" s="5" t="str">
        <f>_xlfn.XLOOKUP(fRealizado5[[#This Row],[Conta]],'Plano de Contas'!A:A,'Plano de Contas'!C:C)</f>
        <v>(-) Despesas Gerais</v>
      </c>
      <c r="E548" s="5" t="str">
        <f>_xlfn.XLOOKUP(fRealizado5[[#This Row],[Conta]],'Plano de Contas'!A:A,'Plano de Contas'!D:D)</f>
        <v>08 - Despesas Financeiras</v>
      </c>
    </row>
    <row r="549" spans="1:5" x14ac:dyDescent="0.25">
      <c r="A549" s="23">
        <f t="shared" si="6"/>
        <v>43556</v>
      </c>
      <c r="B549" s="5" t="s">
        <v>178</v>
      </c>
      <c r="C549" s="5">
        <v>-124144</v>
      </c>
      <c r="D549" s="5" t="str">
        <f>_xlfn.XLOOKUP(fRealizado5[[#This Row],[Conta]],'Plano de Contas'!A:A,'Plano de Contas'!C:C)</f>
        <v>(-) Despesas Gerais</v>
      </c>
      <c r="E549" s="5" t="str">
        <f>_xlfn.XLOOKUP(fRealizado5[[#This Row],[Conta]],'Plano de Contas'!A:A,'Plano de Contas'!D:D)</f>
        <v>09 - Tecnologia da Informação</v>
      </c>
    </row>
    <row r="550" spans="1:5" x14ac:dyDescent="0.25">
      <c r="A550" s="23">
        <f t="shared" si="6"/>
        <v>43556</v>
      </c>
      <c r="B550" s="5" t="s">
        <v>179</v>
      </c>
      <c r="C550" s="5">
        <v>-153587</v>
      </c>
      <c r="D550" s="5" t="str">
        <f>_xlfn.XLOOKUP(fRealizado5[[#This Row],[Conta]],'Plano de Contas'!A:A,'Plano de Contas'!C:C)</f>
        <v>(-) Despesas Gerais</v>
      </c>
      <c r="E550" s="5" t="str">
        <f>_xlfn.XLOOKUP(fRealizado5[[#This Row],[Conta]],'Plano de Contas'!A:A,'Plano de Contas'!D:D)</f>
        <v>09 - Tecnologia da Informação</v>
      </c>
    </row>
    <row r="551" spans="1:5" x14ac:dyDescent="0.25">
      <c r="A551" s="23">
        <f t="shared" si="6"/>
        <v>43556</v>
      </c>
      <c r="B551" s="5" t="s">
        <v>180</v>
      </c>
      <c r="C551" s="5">
        <v>-230489</v>
      </c>
      <c r="D551" s="5" t="str">
        <f>_xlfn.XLOOKUP(fRealizado5[[#This Row],[Conta]],'Plano de Contas'!A:A,'Plano de Contas'!C:C)</f>
        <v>(-) Despesas Gerais</v>
      </c>
      <c r="E551" s="5" t="str">
        <f>_xlfn.XLOOKUP(fRealizado5[[#This Row],[Conta]],'Plano de Contas'!A:A,'Plano de Contas'!D:D)</f>
        <v>09 - Tecnologia da Informação</v>
      </c>
    </row>
    <row r="552" spans="1:5" x14ac:dyDescent="0.25">
      <c r="A552" s="23">
        <f t="shared" si="6"/>
        <v>43556</v>
      </c>
      <c r="B552" s="5" t="s">
        <v>181</v>
      </c>
      <c r="C552" s="5">
        <v>-51267</v>
      </c>
      <c r="D552" s="5" t="str">
        <f>_xlfn.XLOOKUP(fRealizado5[[#This Row],[Conta]],'Plano de Contas'!A:A,'Plano de Contas'!C:C)</f>
        <v>(-) Despesas Gerais</v>
      </c>
      <c r="E552" s="5" t="str">
        <f>_xlfn.XLOOKUP(fRealizado5[[#This Row],[Conta]],'Plano de Contas'!A:A,'Plano de Contas'!D:D)</f>
        <v>10 - Recursos Humanos</v>
      </c>
    </row>
    <row r="553" spans="1:5" x14ac:dyDescent="0.25">
      <c r="A553" s="23">
        <f t="shared" si="6"/>
        <v>43556</v>
      </c>
      <c r="B553" s="5" t="s">
        <v>182</v>
      </c>
      <c r="C553" s="5">
        <v>-71998</v>
      </c>
      <c r="D553" s="5" t="str">
        <f>_xlfn.XLOOKUP(fRealizado5[[#This Row],[Conta]],'Plano de Contas'!A:A,'Plano de Contas'!C:C)</f>
        <v>(-) Despesas Gerais</v>
      </c>
      <c r="E553" s="5" t="str">
        <f>_xlfn.XLOOKUP(fRealizado5[[#This Row],[Conta]],'Plano de Contas'!A:A,'Plano de Contas'!D:D)</f>
        <v>10 - Recursos Humanos</v>
      </c>
    </row>
    <row r="554" spans="1:5" x14ac:dyDescent="0.25">
      <c r="A554" s="23">
        <f t="shared" si="6"/>
        <v>43556</v>
      </c>
      <c r="B554" s="5" t="s">
        <v>183</v>
      </c>
      <c r="C554" s="5">
        <v>-56764</v>
      </c>
      <c r="D554" s="5" t="str">
        <f>_xlfn.XLOOKUP(fRealizado5[[#This Row],[Conta]],'Plano de Contas'!A:A,'Plano de Contas'!C:C)</f>
        <v>(-) Despesas Gerais</v>
      </c>
      <c r="E554" s="5" t="str">
        <f>_xlfn.XLOOKUP(fRealizado5[[#This Row],[Conta]],'Plano de Contas'!A:A,'Plano de Contas'!D:D)</f>
        <v>10 - Recursos Humanos</v>
      </c>
    </row>
    <row r="555" spans="1:5" x14ac:dyDescent="0.25">
      <c r="A555" s="23">
        <f t="shared" si="6"/>
        <v>43556</v>
      </c>
      <c r="B555" s="5" t="s">
        <v>184</v>
      </c>
      <c r="C555" s="5">
        <v>-80490</v>
      </c>
      <c r="D555" s="5" t="str">
        <f>_xlfn.XLOOKUP(fRealizado5[[#This Row],[Conta]],'Plano de Contas'!A:A,'Plano de Contas'!C:C)</f>
        <v>(-) Despesas Gerais</v>
      </c>
      <c r="E555" s="5" t="str">
        <f>_xlfn.XLOOKUP(fRealizado5[[#This Row],[Conta]],'Plano de Contas'!A:A,'Plano de Contas'!D:D)</f>
        <v>10 - Recursos Humanos</v>
      </c>
    </row>
    <row r="556" spans="1:5" x14ac:dyDescent="0.25">
      <c r="A556" s="23">
        <f t="shared" si="6"/>
        <v>43556</v>
      </c>
      <c r="B556" s="5" t="s">
        <v>185</v>
      </c>
      <c r="C556" s="5">
        <v>-89264</v>
      </c>
      <c r="D556" s="5" t="str">
        <f>_xlfn.XLOOKUP(fRealizado5[[#This Row],[Conta]],'Plano de Contas'!A:A,'Plano de Contas'!C:C)</f>
        <v>(-) Despesas Gerais</v>
      </c>
      <c r="E556" s="5" t="str">
        <f>_xlfn.XLOOKUP(fRealizado5[[#This Row],[Conta]],'Plano de Contas'!A:A,'Plano de Contas'!D:D)</f>
        <v>11 - Relacionamento com Cliente</v>
      </c>
    </row>
    <row r="557" spans="1:5" x14ac:dyDescent="0.25">
      <c r="A557" s="23">
        <f t="shared" si="6"/>
        <v>43556</v>
      </c>
      <c r="B557" s="5" t="s">
        <v>186</v>
      </c>
      <c r="C557" s="5">
        <v>-111175</v>
      </c>
      <c r="D557" s="5" t="str">
        <f>_xlfn.XLOOKUP(fRealizado5[[#This Row],[Conta]],'Plano de Contas'!A:A,'Plano de Contas'!C:C)</f>
        <v>(-) Despesas Gerais</v>
      </c>
      <c r="E557" s="5" t="str">
        <f>_xlfn.XLOOKUP(fRealizado5[[#This Row],[Conta]],'Plano de Contas'!A:A,'Plano de Contas'!D:D)</f>
        <v>11 - Relacionamento com Cliente</v>
      </c>
    </row>
    <row r="558" spans="1:5" x14ac:dyDescent="0.25">
      <c r="A558" s="23">
        <f t="shared" si="6"/>
        <v>43556</v>
      </c>
      <c r="B558" s="5" t="s">
        <v>187</v>
      </c>
      <c r="C558" s="5">
        <v>-134932</v>
      </c>
      <c r="D558" s="5" t="str">
        <f>_xlfn.XLOOKUP(fRealizado5[[#This Row],[Conta]],'Plano de Contas'!A:A,'Plano de Contas'!C:C)</f>
        <v>(-) Despesas Gerais</v>
      </c>
      <c r="E558" s="5" t="str">
        <f>_xlfn.XLOOKUP(fRealizado5[[#This Row],[Conta]],'Plano de Contas'!A:A,'Plano de Contas'!D:D)</f>
        <v>12 - Marketing e Divulgação</v>
      </c>
    </row>
    <row r="559" spans="1:5" x14ac:dyDescent="0.25">
      <c r="A559" s="23">
        <f t="shared" si="6"/>
        <v>43556</v>
      </c>
      <c r="B559" s="5" t="s">
        <v>188</v>
      </c>
      <c r="C559" s="5">
        <v>-186104</v>
      </c>
      <c r="D559" s="5" t="str">
        <f>_xlfn.XLOOKUP(fRealizado5[[#This Row],[Conta]],'Plano de Contas'!A:A,'Plano de Contas'!C:C)</f>
        <v>(-) Despesas Gerais</v>
      </c>
      <c r="E559" s="5" t="str">
        <f>_xlfn.XLOOKUP(fRealizado5[[#This Row],[Conta]],'Plano de Contas'!A:A,'Plano de Contas'!D:D)</f>
        <v>12 - Marketing e Divulgação</v>
      </c>
    </row>
    <row r="560" spans="1:5" x14ac:dyDescent="0.25">
      <c r="A560" s="23">
        <f t="shared" si="6"/>
        <v>43556</v>
      </c>
      <c r="B560" s="5" t="s">
        <v>189</v>
      </c>
      <c r="C560" s="5">
        <v>-10214</v>
      </c>
      <c r="D560" s="5" t="str">
        <f>_xlfn.XLOOKUP(fRealizado5[[#This Row],[Conta]],'Plano de Contas'!A:A,'Plano de Contas'!C:C)</f>
        <v>(-) Impostos</v>
      </c>
      <c r="E560" s="5" t="str">
        <f>_xlfn.XLOOKUP(fRealizado5[[#This Row],[Conta]],'Plano de Contas'!A:A,'Plano de Contas'!D:D)</f>
        <v>13 - Impostos Estaduais</v>
      </c>
    </row>
    <row r="561" spans="1:5" x14ac:dyDescent="0.25">
      <c r="A561" s="23">
        <f t="shared" si="6"/>
        <v>43556</v>
      </c>
      <c r="B561" s="5" t="s">
        <v>190</v>
      </c>
      <c r="C561" s="5">
        <v>-21875</v>
      </c>
      <c r="D561" s="5" t="str">
        <f>_xlfn.XLOOKUP(fRealizado5[[#This Row],[Conta]],'Plano de Contas'!A:A,'Plano de Contas'!C:C)</f>
        <v>(-) Impostos</v>
      </c>
      <c r="E561" s="5" t="str">
        <f>_xlfn.XLOOKUP(fRealizado5[[#This Row],[Conta]],'Plano de Contas'!A:A,'Plano de Contas'!D:D)</f>
        <v>14 - Impostos Federais</v>
      </c>
    </row>
    <row r="562" spans="1:5" hidden="1" x14ac:dyDescent="0.25">
      <c r="A562" s="23">
        <f t="shared" si="6"/>
        <v>43586</v>
      </c>
      <c r="B562" s="5" t="s">
        <v>51</v>
      </c>
      <c r="C562" s="5">
        <v>905852</v>
      </c>
      <c r="D562" s="5" t="str">
        <f>_xlfn.XLOOKUP(fRealizado5[[#This Row],[Conta]],'Plano de Contas'!A:A,'Plano de Contas'!C:C)</f>
        <v>(+) RECEITA BRUTA</v>
      </c>
      <c r="E562" s="5" t="str">
        <f>_xlfn.XLOOKUP(fRealizado5[[#This Row],[Conta]],'Plano de Contas'!A:A,'Plano de Contas'!D:D)</f>
        <v>01 - Vendas de Produtos</v>
      </c>
    </row>
    <row r="563" spans="1:5" hidden="1" x14ac:dyDescent="0.25">
      <c r="A563" s="23">
        <f t="shared" si="6"/>
        <v>43586</v>
      </c>
      <c r="B563" s="5" t="s">
        <v>52</v>
      </c>
      <c r="C563" s="5">
        <v>652532</v>
      </c>
      <c r="D563" s="5" t="str">
        <f>_xlfn.XLOOKUP(fRealizado5[[#This Row],[Conta]],'Plano de Contas'!A:A,'Plano de Contas'!C:C)</f>
        <v>(+) RECEITA BRUTA</v>
      </c>
      <c r="E563" s="5" t="str">
        <f>_xlfn.XLOOKUP(fRealizado5[[#This Row],[Conta]],'Plano de Contas'!A:A,'Plano de Contas'!D:D)</f>
        <v>01 - Vendas de Produtos</v>
      </c>
    </row>
    <row r="564" spans="1:5" hidden="1" x14ac:dyDescent="0.25">
      <c r="A564" s="23">
        <f t="shared" si="6"/>
        <v>43586</v>
      </c>
      <c r="B564" s="5" t="s">
        <v>53</v>
      </c>
      <c r="C564" s="5">
        <v>370177</v>
      </c>
      <c r="D564" s="5" t="str">
        <f>_xlfn.XLOOKUP(fRealizado5[[#This Row],[Conta]],'Plano de Contas'!A:A,'Plano de Contas'!C:C)</f>
        <v>(+) RECEITA BRUTA</v>
      </c>
      <c r="E564" s="5" t="str">
        <f>_xlfn.XLOOKUP(fRealizado5[[#This Row],[Conta]],'Plano de Contas'!A:A,'Plano de Contas'!D:D)</f>
        <v>01 - Vendas de Produtos</v>
      </c>
    </row>
    <row r="565" spans="1:5" hidden="1" x14ac:dyDescent="0.25">
      <c r="A565" s="23">
        <f t="shared" si="6"/>
        <v>43586</v>
      </c>
      <c r="B565" s="5" t="s">
        <v>54</v>
      </c>
      <c r="C565" s="5">
        <v>938509</v>
      </c>
      <c r="D565" s="5" t="str">
        <f>_xlfn.XLOOKUP(fRealizado5[[#This Row],[Conta]],'Plano de Contas'!A:A,'Plano de Contas'!C:C)</f>
        <v>(+) RECEITA BRUTA</v>
      </c>
      <c r="E565" s="5" t="str">
        <f>_xlfn.XLOOKUP(fRealizado5[[#This Row],[Conta]],'Plano de Contas'!A:A,'Plano de Contas'!D:D)</f>
        <v>01 - Vendas de Produtos</v>
      </c>
    </row>
    <row r="566" spans="1:5" hidden="1" x14ac:dyDescent="0.25">
      <c r="A566" s="23">
        <f t="shared" si="6"/>
        <v>43586</v>
      </c>
      <c r="B566" s="5" t="s">
        <v>55</v>
      </c>
      <c r="C566" s="5">
        <v>587529</v>
      </c>
      <c r="D566" s="5" t="str">
        <f>_xlfn.XLOOKUP(fRealizado5[[#This Row],[Conta]],'Plano de Contas'!A:A,'Plano de Contas'!C:C)</f>
        <v>(+) RECEITA BRUTA</v>
      </c>
      <c r="E566" s="5" t="str">
        <f>_xlfn.XLOOKUP(fRealizado5[[#This Row],[Conta]],'Plano de Contas'!A:A,'Plano de Contas'!D:D)</f>
        <v>01 - Vendas de Produtos</v>
      </c>
    </row>
    <row r="567" spans="1:5" hidden="1" x14ac:dyDescent="0.25">
      <c r="A567" s="23">
        <f t="shared" si="6"/>
        <v>43586</v>
      </c>
      <c r="B567" s="5" t="s">
        <v>56</v>
      </c>
      <c r="C567" s="5">
        <v>479764</v>
      </c>
      <c r="D567" s="5" t="str">
        <f>_xlfn.XLOOKUP(fRealizado5[[#This Row],[Conta]],'Plano de Contas'!A:A,'Plano de Contas'!C:C)</f>
        <v>(+) RECEITA BRUTA</v>
      </c>
      <c r="E567" s="5" t="str">
        <f>_xlfn.XLOOKUP(fRealizado5[[#This Row],[Conta]],'Plano de Contas'!A:A,'Plano de Contas'!D:D)</f>
        <v>01 - Vendas de Produtos</v>
      </c>
    </row>
    <row r="568" spans="1:5" hidden="1" x14ac:dyDescent="0.25">
      <c r="A568" s="23">
        <f t="shared" si="6"/>
        <v>43586</v>
      </c>
      <c r="B568" s="5" t="s">
        <v>57</v>
      </c>
      <c r="C568" s="5">
        <v>393813</v>
      </c>
      <c r="D568" s="5" t="str">
        <f>_xlfn.XLOOKUP(fRealizado5[[#This Row],[Conta]],'Plano de Contas'!A:A,'Plano de Contas'!C:C)</f>
        <v>(+) RECEITA BRUTA</v>
      </c>
      <c r="E568" s="5" t="str">
        <f>_xlfn.XLOOKUP(fRealizado5[[#This Row],[Conta]],'Plano de Contas'!A:A,'Plano de Contas'!D:D)</f>
        <v>01 - Vendas de Produtos</v>
      </c>
    </row>
    <row r="569" spans="1:5" hidden="1" x14ac:dyDescent="0.25">
      <c r="A569" s="23">
        <f t="shared" si="6"/>
        <v>43586</v>
      </c>
      <c r="B569" s="5" t="s">
        <v>58</v>
      </c>
      <c r="C569" s="5">
        <v>519573</v>
      </c>
      <c r="D569" s="5" t="str">
        <f>_xlfn.XLOOKUP(fRealizado5[[#This Row],[Conta]],'Plano de Contas'!A:A,'Plano de Contas'!C:C)</f>
        <v>(+) RECEITA BRUTA</v>
      </c>
      <c r="E569" s="5" t="str">
        <f>_xlfn.XLOOKUP(fRealizado5[[#This Row],[Conta]],'Plano de Contas'!A:A,'Plano de Contas'!D:D)</f>
        <v>01 - Vendas de Produtos</v>
      </c>
    </row>
    <row r="570" spans="1:5" hidden="1" x14ac:dyDescent="0.25">
      <c r="A570" s="23">
        <f t="shared" si="6"/>
        <v>43586</v>
      </c>
      <c r="B570" s="5" t="s">
        <v>59</v>
      </c>
      <c r="C570" s="5">
        <v>289961</v>
      </c>
      <c r="D570" s="5" t="str">
        <f>_xlfn.XLOOKUP(fRealizado5[[#This Row],[Conta]],'Plano de Contas'!A:A,'Plano de Contas'!C:C)</f>
        <v>(+) RECEITA BRUTA</v>
      </c>
      <c r="E570" s="5" t="str">
        <f>_xlfn.XLOOKUP(fRealizado5[[#This Row],[Conta]],'Plano de Contas'!A:A,'Plano de Contas'!D:D)</f>
        <v>01 - Vendas de Produtos</v>
      </c>
    </row>
    <row r="571" spans="1:5" hidden="1" x14ac:dyDescent="0.25">
      <c r="A571" s="23">
        <f t="shared" si="6"/>
        <v>43586</v>
      </c>
      <c r="B571" s="5" t="s">
        <v>60</v>
      </c>
      <c r="C571" s="5">
        <v>543890</v>
      </c>
      <c r="D571" s="5" t="str">
        <f>_xlfn.XLOOKUP(fRealizado5[[#This Row],[Conta]],'Plano de Contas'!A:A,'Plano de Contas'!C:C)</f>
        <v>(+) RECEITA BRUTA</v>
      </c>
      <c r="E571" s="5" t="str">
        <f>_xlfn.XLOOKUP(fRealizado5[[#This Row],[Conta]],'Plano de Contas'!A:A,'Plano de Contas'!D:D)</f>
        <v>01 - Vendas de Produtos</v>
      </c>
    </row>
    <row r="572" spans="1:5" hidden="1" x14ac:dyDescent="0.25">
      <c r="A572" s="23">
        <f t="shared" si="6"/>
        <v>43586</v>
      </c>
      <c r="B572" s="5" t="s">
        <v>61</v>
      </c>
      <c r="C572" s="5">
        <v>249143</v>
      </c>
      <c r="D572" s="5" t="str">
        <f>_xlfn.XLOOKUP(fRealizado5[[#This Row],[Conta]],'Plano de Contas'!A:A,'Plano de Contas'!C:C)</f>
        <v>(+) RECEITA BRUTA</v>
      </c>
      <c r="E572" s="5" t="str">
        <f>_xlfn.XLOOKUP(fRealizado5[[#This Row],[Conta]],'Plano de Contas'!A:A,'Plano de Contas'!D:D)</f>
        <v>01 - Vendas de Produtos</v>
      </c>
    </row>
    <row r="573" spans="1:5" hidden="1" x14ac:dyDescent="0.25">
      <c r="A573" s="23">
        <f t="shared" si="6"/>
        <v>43586</v>
      </c>
      <c r="B573" s="5" t="s">
        <v>62</v>
      </c>
      <c r="C573" s="5">
        <v>291888</v>
      </c>
      <c r="D573" s="5" t="str">
        <f>_xlfn.XLOOKUP(fRealizado5[[#This Row],[Conta]],'Plano de Contas'!A:A,'Plano de Contas'!C:C)</f>
        <v>(+) RECEITA BRUTA</v>
      </c>
      <c r="E573" s="5" t="str">
        <f>_xlfn.XLOOKUP(fRealizado5[[#This Row],[Conta]],'Plano de Contas'!A:A,'Plano de Contas'!D:D)</f>
        <v>01 - Vendas de Produtos</v>
      </c>
    </row>
    <row r="574" spans="1:5" hidden="1" x14ac:dyDescent="0.25">
      <c r="A574" s="23">
        <f t="shared" si="6"/>
        <v>43586</v>
      </c>
      <c r="B574" s="5" t="s">
        <v>63</v>
      </c>
      <c r="C574" s="5">
        <v>519720</v>
      </c>
      <c r="D574" s="5" t="str">
        <f>_xlfn.XLOOKUP(fRealizado5[[#This Row],[Conta]],'Plano de Contas'!A:A,'Plano de Contas'!C:C)</f>
        <v>(+) RECEITA BRUTA</v>
      </c>
      <c r="E574" s="5" t="str">
        <f>_xlfn.XLOOKUP(fRealizado5[[#This Row],[Conta]],'Plano de Contas'!A:A,'Plano de Contas'!D:D)</f>
        <v>01 - Vendas de Produtos</v>
      </c>
    </row>
    <row r="575" spans="1:5" hidden="1" x14ac:dyDescent="0.25">
      <c r="A575" s="23">
        <f t="shared" si="6"/>
        <v>43586</v>
      </c>
      <c r="B575" s="5" t="s">
        <v>64</v>
      </c>
      <c r="C575" s="5">
        <v>583280</v>
      </c>
      <c r="D575" s="5" t="str">
        <f>_xlfn.XLOOKUP(fRealizado5[[#This Row],[Conta]],'Plano de Contas'!A:A,'Plano de Contas'!C:C)</f>
        <v>(+) RECEITA BRUTA</v>
      </c>
      <c r="E575" s="5" t="str">
        <f>_xlfn.XLOOKUP(fRealizado5[[#This Row],[Conta]],'Plano de Contas'!A:A,'Plano de Contas'!D:D)</f>
        <v>01 - Vendas de Produtos</v>
      </c>
    </row>
    <row r="576" spans="1:5" hidden="1" x14ac:dyDescent="0.25">
      <c r="A576" s="23">
        <f t="shared" si="6"/>
        <v>43586</v>
      </c>
      <c r="B576" s="5" t="s">
        <v>65</v>
      </c>
      <c r="C576" s="5">
        <v>203171</v>
      </c>
      <c r="D576" s="5" t="str">
        <f>_xlfn.XLOOKUP(fRealizado5[[#This Row],[Conta]],'Plano de Contas'!A:A,'Plano de Contas'!C:C)</f>
        <v>(+) RECEITA BRUTA</v>
      </c>
      <c r="E576" s="5" t="str">
        <f>_xlfn.XLOOKUP(fRealizado5[[#This Row],[Conta]],'Plano de Contas'!A:A,'Plano de Contas'!D:D)</f>
        <v>01 - Vendas de Produtos</v>
      </c>
    </row>
    <row r="577" spans="1:5" hidden="1" x14ac:dyDescent="0.25">
      <c r="A577" s="23">
        <f t="shared" si="6"/>
        <v>43586</v>
      </c>
      <c r="B577" s="5" t="s">
        <v>66</v>
      </c>
      <c r="C577" s="5">
        <v>846390</v>
      </c>
      <c r="D577" s="5" t="str">
        <f>_xlfn.XLOOKUP(fRealizado5[[#This Row],[Conta]],'Plano de Contas'!A:A,'Plano de Contas'!C:C)</f>
        <v>(+) RECEITA BRUTA</v>
      </c>
      <c r="E577" s="5" t="str">
        <f>_xlfn.XLOOKUP(fRealizado5[[#This Row],[Conta]],'Plano de Contas'!A:A,'Plano de Contas'!D:D)</f>
        <v>01 - Vendas de Produtos</v>
      </c>
    </row>
    <row r="578" spans="1:5" hidden="1" x14ac:dyDescent="0.25">
      <c r="A578" s="23">
        <f t="shared" si="6"/>
        <v>43586</v>
      </c>
      <c r="B578" s="5" t="s">
        <v>67</v>
      </c>
      <c r="C578" s="5">
        <v>605587</v>
      </c>
      <c r="D578" s="5" t="str">
        <f>_xlfn.XLOOKUP(fRealizado5[[#This Row],[Conta]],'Plano de Contas'!A:A,'Plano de Contas'!C:C)</f>
        <v>(+) RECEITA BRUTA</v>
      </c>
      <c r="E578" s="5" t="str">
        <f>_xlfn.XLOOKUP(fRealizado5[[#This Row],[Conta]],'Plano de Contas'!A:A,'Plano de Contas'!D:D)</f>
        <v>01 - Vendas de Produtos</v>
      </c>
    </row>
    <row r="579" spans="1:5" hidden="1" x14ac:dyDescent="0.25">
      <c r="A579" s="23">
        <f t="shared" si="6"/>
        <v>43586</v>
      </c>
      <c r="B579" s="5" t="s">
        <v>68</v>
      </c>
      <c r="C579" s="5">
        <v>314224</v>
      </c>
      <c r="D579" s="5" t="str">
        <f>_xlfn.XLOOKUP(fRealizado5[[#This Row],[Conta]],'Plano de Contas'!A:A,'Plano de Contas'!C:C)</f>
        <v>(+) RECEITA BRUTA</v>
      </c>
      <c r="E579" s="5" t="str">
        <f>_xlfn.XLOOKUP(fRealizado5[[#This Row],[Conta]],'Plano de Contas'!A:A,'Plano de Contas'!D:D)</f>
        <v>01 - Vendas de Produtos</v>
      </c>
    </row>
    <row r="580" spans="1:5" hidden="1" x14ac:dyDescent="0.25">
      <c r="A580" s="23">
        <f t="shared" si="6"/>
        <v>43586</v>
      </c>
      <c r="B580" s="5" t="s">
        <v>69</v>
      </c>
      <c r="C580" s="5">
        <v>227475</v>
      </c>
      <c r="D580" s="5" t="str">
        <f>_xlfn.XLOOKUP(fRealizado5[[#This Row],[Conta]],'Plano de Contas'!A:A,'Plano de Contas'!C:C)</f>
        <v>(+) RECEITA BRUTA</v>
      </c>
      <c r="E580" s="5" t="str">
        <f>_xlfn.XLOOKUP(fRealizado5[[#This Row],[Conta]],'Plano de Contas'!A:A,'Plano de Contas'!D:D)</f>
        <v>01 - Vendas de Produtos</v>
      </c>
    </row>
    <row r="581" spans="1:5" hidden="1" x14ac:dyDescent="0.25">
      <c r="A581" s="23">
        <f t="shared" si="6"/>
        <v>43586</v>
      </c>
      <c r="B581" s="5" t="s">
        <v>70</v>
      </c>
      <c r="C581" s="5">
        <v>867242</v>
      </c>
      <c r="D581" s="5" t="str">
        <f>_xlfn.XLOOKUP(fRealizado5[[#This Row],[Conta]],'Plano de Contas'!A:A,'Plano de Contas'!C:C)</f>
        <v>(+) RECEITA BRUTA</v>
      </c>
      <c r="E581" s="5" t="str">
        <f>_xlfn.XLOOKUP(fRealizado5[[#This Row],[Conta]],'Plano de Contas'!A:A,'Plano de Contas'!D:D)</f>
        <v>01 - Vendas de Produtos</v>
      </c>
    </row>
    <row r="582" spans="1:5" hidden="1" x14ac:dyDescent="0.25">
      <c r="A582" s="23">
        <f t="shared" si="6"/>
        <v>43586</v>
      </c>
      <c r="B582" s="5" t="s">
        <v>71</v>
      </c>
      <c r="C582" s="5">
        <v>321235</v>
      </c>
      <c r="D582" s="5" t="str">
        <f>_xlfn.XLOOKUP(fRealizado5[[#This Row],[Conta]],'Plano de Contas'!A:A,'Plano de Contas'!C:C)</f>
        <v>(+) RECEITA BRUTA</v>
      </c>
      <c r="E582" s="5" t="str">
        <f>_xlfn.XLOOKUP(fRealizado5[[#This Row],[Conta]],'Plano de Contas'!A:A,'Plano de Contas'!D:D)</f>
        <v>01 - Vendas de Produtos</v>
      </c>
    </row>
    <row r="583" spans="1:5" hidden="1" x14ac:dyDescent="0.25">
      <c r="A583" s="23">
        <f t="shared" si="6"/>
        <v>43586</v>
      </c>
      <c r="B583" s="5" t="s">
        <v>72</v>
      </c>
      <c r="C583" s="5">
        <v>237617</v>
      </c>
      <c r="D583" s="5" t="str">
        <f>_xlfn.XLOOKUP(fRealizado5[[#This Row],[Conta]],'Plano de Contas'!A:A,'Plano de Contas'!C:C)</f>
        <v>(+) RECEITA BRUTA</v>
      </c>
      <c r="E583" s="5" t="str">
        <f>_xlfn.XLOOKUP(fRealizado5[[#This Row],[Conta]],'Plano de Contas'!A:A,'Plano de Contas'!D:D)</f>
        <v>01 - Vendas de Produtos</v>
      </c>
    </row>
    <row r="584" spans="1:5" hidden="1" x14ac:dyDescent="0.25">
      <c r="A584" s="23">
        <f t="shared" si="6"/>
        <v>43586</v>
      </c>
      <c r="B584" s="5" t="s">
        <v>73</v>
      </c>
      <c r="C584" s="5">
        <v>99150</v>
      </c>
      <c r="D584" s="5" t="str">
        <f>_xlfn.XLOOKUP(fRealizado5[[#This Row],[Conta]],'Plano de Contas'!A:A,'Plano de Contas'!C:C)</f>
        <v>(+) RECEITA BRUTA</v>
      </c>
      <c r="E584" s="5" t="str">
        <f>_xlfn.XLOOKUP(fRealizado5[[#This Row],[Conta]],'Plano de Contas'!A:A,'Plano de Contas'!D:D)</f>
        <v>01 - Vendas de Produtos</v>
      </c>
    </row>
    <row r="585" spans="1:5" hidden="1" x14ac:dyDescent="0.25">
      <c r="A585" s="23">
        <f t="shared" si="6"/>
        <v>43586</v>
      </c>
      <c r="B585" s="5" t="s">
        <v>74</v>
      </c>
      <c r="C585" s="5">
        <v>72852</v>
      </c>
      <c r="D585" s="5" t="str">
        <f>_xlfn.XLOOKUP(fRealizado5[[#This Row],[Conta]],'Plano de Contas'!A:A,'Plano de Contas'!C:C)</f>
        <v>(+) RECEITA BRUTA</v>
      </c>
      <c r="E585" s="5" t="str">
        <f>_xlfn.XLOOKUP(fRealizado5[[#This Row],[Conta]],'Plano de Contas'!A:A,'Plano de Contas'!D:D)</f>
        <v>01 - Vendas de Produtos</v>
      </c>
    </row>
    <row r="586" spans="1:5" hidden="1" x14ac:dyDescent="0.25">
      <c r="A586" s="23">
        <f t="shared" si="6"/>
        <v>43586</v>
      </c>
      <c r="B586" s="5" t="s">
        <v>75</v>
      </c>
      <c r="C586" s="5">
        <v>229924</v>
      </c>
      <c r="D586" s="5" t="str">
        <f>_xlfn.XLOOKUP(fRealizado5[[#This Row],[Conta]],'Plano de Contas'!A:A,'Plano de Contas'!C:C)</f>
        <v>(+) RECEITA BRUTA</v>
      </c>
      <c r="E586" s="5" t="str">
        <f>_xlfn.XLOOKUP(fRealizado5[[#This Row],[Conta]],'Plano de Contas'!A:A,'Plano de Contas'!D:D)</f>
        <v>02 - Outras Receitas</v>
      </c>
    </row>
    <row r="587" spans="1:5" hidden="1" x14ac:dyDescent="0.25">
      <c r="A587" s="23">
        <f t="shared" si="6"/>
        <v>43586</v>
      </c>
      <c r="B587" s="5" t="s">
        <v>76</v>
      </c>
      <c r="C587" s="5">
        <v>271363</v>
      </c>
      <c r="D587" s="5" t="str">
        <f>_xlfn.XLOOKUP(fRealizado5[[#This Row],[Conta]],'Plano de Contas'!A:A,'Plano de Contas'!C:C)</f>
        <v>(+) RECEITA BRUTA</v>
      </c>
      <c r="E587" s="5" t="str">
        <f>_xlfn.XLOOKUP(fRealizado5[[#This Row],[Conta]],'Plano de Contas'!A:A,'Plano de Contas'!D:D)</f>
        <v>02 - Outras Receitas</v>
      </c>
    </row>
    <row r="588" spans="1:5" hidden="1" x14ac:dyDescent="0.25">
      <c r="A588" s="23">
        <f t="shared" si="6"/>
        <v>43586</v>
      </c>
      <c r="B588" s="5" t="s">
        <v>77</v>
      </c>
      <c r="C588" s="5">
        <v>211238</v>
      </c>
      <c r="D588" s="5" t="str">
        <f>_xlfn.XLOOKUP(fRealizado5[[#This Row],[Conta]],'Plano de Contas'!A:A,'Plano de Contas'!C:C)</f>
        <v>(+) RECEITA BRUTA</v>
      </c>
      <c r="E588" s="5" t="str">
        <f>_xlfn.XLOOKUP(fRealizado5[[#This Row],[Conta]],'Plano de Contas'!A:A,'Plano de Contas'!D:D)</f>
        <v>02 - Outras Receitas</v>
      </c>
    </row>
    <row r="589" spans="1:5" hidden="1" x14ac:dyDescent="0.25">
      <c r="A589" s="23">
        <f t="shared" si="6"/>
        <v>43586</v>
      </c>
      <c r="B589" s="5" t="s">
        <v>78</v>
      </c>
      <c r="C589" s="5">
        <v>186211</v>
      </c>
      <c r="D589" s="5" t="str">
        <f>_xlfn.XLOOKUP(fRealizado5[[#This Row],[Conta]],'Plano de Contas'!A:A,'Plano de Contas'!C:C)</f>
        <v>(+) RECEITA BRUTA</v>
      </c>
      <c r="E589" s="5" t="str">
        <f>_xlfn.XLOOKUP(fRealizado5[[#This Row],[Conta]],'Plano de Contas'!A:A,'Plano de Contas'!D:D)</f>
        <v>02 - Outras Receitas</v>
      </c>
    </row>
    <row r="590" spans="1:5" hidden="1" x14ac:dyDescent="0.25">
      <c r="A590" s="23">
        <f t="shared" si="6"/>
        <v>43586</v>
      </c>
      <c r="B590" s="5" t="s">
        <v>79</v>
      </c>
      <c r="C590" s="5">
        <v>224835</v>
      </c>
      <c r="D590" s="5" t="str">
        <f>_xlfn.XLOOKUP(fRealizado5[[#This Row],[Conta]],'Plano de Contas'!A:A,'Plano de Contas'!C:C)</f>
        <v>(+) RECEITA BRUTA</v>
      </c>
      <c r="E590" s="5" t="str">
        <f>_xlfn.XLOOKUP(fRealizado5[[#This Row],[Conta]],'Plano de Contas'!A:A,'Plano de Contas'!D:D)</f>
        <v>02 - Outras Receitas</v>
      </c>
    </row>
    <row r="591" spans="1:5" hidden="1" x14ac:dyDescent="0.25">
      <c r="A591" s="23">
        <f t="shared" ref="A591:A654" si="7">EDATE(A451,1)</f>
        <v>43586</v>
      </c>
      <c r="B591" s="5" t="s">
        <v>80</v>
      </c>
      <c r="C591" s="5">
        <v>90204</v>
      </c>
      <c r="D591" s="5" t="str">
        <f>_xlfn.XLOOKUP(fRealizado5[[#This Row],[Conta]],'Plano de Contas'!A:A,'Plano de Contas'!C:C)</f>
        <v>(+) RECEITA BRUTA</v>
      </c>
      <c r="E591" s="5" t="str">
        <f>_xlfn.XLOOKUP(fRealizado5[[#This Row],[Conta]],'Plano de Contas'!A:A,'Plano de Contas'!D:D)</f>
        <v>02 - Outras Receitas</v>
      </c>
    </row>
    <row r="592" spans="1:5" hidden="1" x14ac:dyDescent="0.25">
      <c r="A592" s="23">
        <f t="shared" si="7"/>
        <v>43586</v>
      </c>
      <c r="B592" s="5" t="s">
        <v>81</v>
      </c>
      <c r="C592" s="5">
        <v>121086</v>
      </c>
      <c r="D592" s="5" t="str">
        <f>_xlfn.XLOOKUP(fRealizado5[[#This Row],[Conta]],'Plano de Contas'!A:A,'Plano de Contas'!C:C)</f>
        <v>(+) RECEITA BRUTA</v>
      </c>
      <c r="E592" s="5" t="str">
        <f>_xlfn.XLOOKUP(fRealizado5[[#This Row],[Conta]],'Plano de Contas'!A:A,'Plano de Contas'!D:D)</f>
        <v>02 - Outras Receitas</v>
      </c>
    </row>
    <row r="593" spans="1:5" hidden="1" x14ac:dyDescent="0.25">
      <c r="A593" s="23">
        <f t="shared" si="7"/>
        <v>43586</v>
      </c>
      <c r="B593" s="5" t="s">
        <v>82</v>
      </c>
      <c r="C593" s="5">
        <v>299150</v>
      </c>
      <c r="D593" s="5" t="str">
        <f>_xlfn.XLOOKUP(fRealizado5[[#This Row],[Conta]],'Plano de Contas'!A:A,'Plano de Contas'!C:C)</f>
        <v>(+) RECEITA BRUTA</v>
      </c>
      <c r="E593" s="5" t="str">
        <f>_xlfn.XLOOKUP(fRealizado5[[#This Row],[Conta]],'Plano de Contas'!A:A,'Plano de Contas'!D:D)</f>
        <v>02 - Outras Receitas</v>
      </c>
    </row>
    <row r="594" spans="1:5" hidden="1" x14ac:dyDescent="0.25">
      <c r="A594" s="23">
        <f t="shared" si="7"/>
        <v>43586</v>
      </c>
      <c r="B594" s="5" t="s">
        <v>83</v>
      </c>
      <c r="C594" s="5">
        <v>81624</v>
      </c>
      <c r="D594" s="5" t="str">
        <f>_xlfn.XLOOKUP(fRealizado5[[#This Row],[Conta]],'Plano de Contas'!A:A,'Plano de Contas'!C:C)</f>
        <v>(+) RECEITA BRUTA</v>
      </c>
      <c r="E594" s="5" t="str">
        <f>_xlfn.XLOOKUP(fRealizado5[[#This Row],[Conta]],'Plano de Contas'!A:A,'Plano de Contas'!D:D)</f>
        <v>02 - Outras Receitas</v>
      </c>
    </row>
    <row r="595" spans="1:5" hidden="1" x14ac:dyDescent="0.25">
      <c r="A595" s="23">
        <f t="shared" si="7"/>
        <v>43586</v>
      </c>
      <c r="B595" s="5" t="s">
        <v>84</v>
      </c>
      <c r="C595" s="5">
        <v>220024</v>
      </c>
      <c r="D595" s="5" t="str">
        <f>_xlfn.XLOOKUP(fRealizado5[[#This Row],[Conta]],'Plano de Contas'!A:A,'Plano de Contas'!C:C)</f>
        <v>(+) RECEITA BRUTA</v>
      </c>
      <c r="E595" s="5" t="str">
        <f>_xlfn.XLOOKUP(fRealizado5[[#This Row],[Conta]],'Plano de Contas'!A:A,'Plano de Contas'!D:D)</f>
        <v>02 - Outras Receitas</v>
      </c>
    </row>
    <row r="596" spans="1:5" hidden="1" x14ac:dyDescent="0.25">
      <c r="A596" s="23">
        <f t="shared" si="7"/>
        <v>43586</v>
      </c>
      <c r="B596" s="5" t="s">
        <v>85</v>
      </c>
      <c r="C596" s="5">
        <v>154950</v>
      </c>
      <c r="D596" s="5" t="str">
        <f>_xlfn.XLOOKUP(fRealizado5[[#This Row],[Conta]],'Plano de Contas'!A:A,'Plano de Contas'!C:C)</f>
        <v>(+) RECEITA BRUTA</v>
      </c>
      <c r="E596" s="5" t="str">
        <f>_xlfn.XLOOKUP(fRealizado5[[#This Row],[Conta]],'Plano de Contas'!A:A,'Plano de Contas'!D:D)</f>
        <v>02 - Outras Receitas</v>
      </c>
    </row>
    <row r="597" spans="1:5" hidden="1" x14ac:dyDescent="0.25">
      <c r="A597" s="23">
        <f t="shared" si="7"/>
        <v>43586</v>
      </c>
      <c r="B597" s="5" t="s">
        <v>86</v>
      </c>
      <c r="C597" s="5">
        <v>120669</v>
      </c>
      <c r="D597" s="5" t="str">
        <f>_xlfn.XLOOKUP(fRealizado5[[#This Row],[Conta]],'Plano de Contas'!A:A,'Plano de Contas'!C:C)</f>
        <v>(+) RECEITA BRUTA</v>
      </c>
      <c r="E597" s="5" t="str">
        <f>_xlfn.XLOOKUP(fRealizado5[[#This Row],[Conta]],'Plano de Contas'!A:A,'Plano de Contas'!D:D)</f>
        <v>02 - Outras Receitas</v>
      </c>
    </row>
    <row r="598" spans="1:5" hidden="1" x14ac:dyDescent="0.25">
      <c r="A598" s="23">
        <f t="shared" si="7"/>
        <v>43586</v>
      </c>
      <c r="B598" s="5" t="s">
        <v>87</v>
      </c>
      <c r="C598" s="5">
        <v>95201</v>
      </c>
      <c r="D598" s="5" t="str">
        <f>_xlfn.XLOOKUP(fRealizado5[[#This Row],[Conta]],'Plano de Contas'!A:A,'Plano de Contas'!C:C)</f>
        <v>(+) RECEITA BRUTA</v>
      </c>
      <c r="E598" s="5" t="str">
        <f>_xlfn.XLOOKUP(fRealizado5[[#This Row],[Conta]],'Plano de Contas'!A:A,'Plano de Contas'!D:D)</f>
        <v>02 - Outras Receitas</v>
      </c>
    </row>
    <row r="599" spans="1:5" hidden="1" x14ac:dyDescent="0.25">
      <c r="A599" s="23">
        <f t="shared" si="7"/>
        <v>43586</v>
      </c>
      <c r="B599" s="5" t="s">
        <v>88</v>
      </c>
      <c r="C599" s="5">
        <v>289609</v>
      </c>
      <c r="D599" s="5" t="str">
        <f>_xlfn.XLOOKUP(fRealizado5[[#This Row],[Conta]],'Plano de Contas'!A:A,'Plano de Contas'!C:C)</f>
        <v>(+) RECEITA BRUTA</v>
      </c>
      <c r="E599" s="5" t="str">
        <f>_xlfn.XLOOKUP(fRealizado5[[#This Row],[Conta]],'Plano de Contas'!A:A,'Plano de Contas'!D:D)</f>
        <v>02 - Outras Receitas</v>
      </c>
    </row>
    <row r="600" spans="1:5" hidden="1" x14ac:dyDescent="0.25">
      <c r="A600" s="23">
        <f t="shared" si="7"/>
        <v>43586</v>
      </c>
      <c r="B600" s="5" t="s">
        <v>89</v>
      </c>
      <c r="C600" s="5">
        <v>272229</v>
      </c>
      <c r="D600" s="5" t="str">
        <f>_xlfn.XLOOKUP(fRealizado5[[#This Row],[Conta]],'Plano de Contas'!A:A,'Plano de Contas'!C:C)</f>
        <v>(+) RECEITA BRUTA</v>
      </c>
      <c r="E600" s="5" t="str">
        <f>_xlfn.XLOOKUP(fRealizado5[[#This Row],[Conta]],'Plano de Contas'!A:A,'Plano de Contas'!D:D)</f>
        <v>02 - Outras Receitas</v>
      </c>
    </row>
    <row r="601" spans="1:5" hidden="1" x14ac:dyDescent="0.25">
      <c r="A601" s="23">
        <f t="shared" si="7"/>
        <v>43586</v>
      </c>
      <c r="B601" s="5" t="s">
        <v>90</v>
      </c>
      <c r="C601" s="5">
        <v>298312</v>
      </c>
      <c r="D601" s="5" t="str">
        <f>_xlfn.XLOOKUP(fRealizado5[[#This Row],[Conta]],'Plano de Contas'!A:A,'Plano de Contas'!C:C)</f>
        <v>(+) RECEITA BRUTA</v>
      </c>
      <c r="E601" s="5" t="str">
        <f>_xlfn.XLOOKUP(fRealizado5[[#This Row],[Conta]],'Plano de Contas'!A:A,'Plano de Contas'!D:D)</f>
        <v>02 - Outras Receitas</v>
      </c>
    </row>
    <row r="602" spans="1:5" hidden="1" x14ac:dyDescent="0.25">
      <c r="A602" s="23">
        <f t="shared" si="7"/>
        <v>43586</v>
      </c>
      <c r="B602" s="5" t="s">
        <v>91</v>
      </c>
      <c r="C602" s="5">
        <v>290179</v>
      </c>
      <c r="D602" s="5" t="str">
        <f>_xlfn.XLOOKUP(fRealizado5[[#This Row],[Conta]],'Plano de Contas'!A:A,'Plano de Contas'!C:C)</f>
        <v>(+) RECEITA BRUTA</v>
      </c>
      <c r="E602" s="5" t="str">
        <f>_xlfn.XLOOKUP(fRealizado5[[#This Row],[Conta]],'Plano de Contas'!A:A,'Plano de Contas'!D:D)</f>
        <v>02 - Outras Receitas</v>
      </c>
    </row>
    <row r="603" spans="1:5" hidden="1" x14ac:dyDescent="0.25">
      <c r="A603" s="23">
        <f t="shared" si="7"/>
        <v>43586</v>
      </c>
      <c r="B603" s="5" t="s">
        <v>92</v>
      </c>
      <c r="C603" s="5">
        <v>67675</v>
      </c>
      <c r="D603" s="5" t="str">
        <f>_xlfn.XLOOKUP(fRealizado5[[#This Row],[Conta]],'Plano de Contas'!A:A,'Plano de Contas'!C:C)</f>
        <v>(+) RECEITA BRUTA</v>
      </c>
      <c r="E603" s="5" t="str">
        <f>_xlfn.XLOOKUP(fRealizado5[[#This Row],[Conta]],'Plano de Contas'!A:A,'Plano de Contas'!D:D)</f>
        <v>02 - Outras Receitas</v>
      </c>
    </row>
    <row r="604" spans="1:5" hidden="1" x14ac:dyDescent="0.25">
      <c r="A604" s="23">
        <f t="shared" si="7"/>
        <v>43586</v>
      </c>
      <c r="B604" s="5" t="s">
        <v>93</v>
      </c>
      <c r="C604" s="5">
        <v>294460</v>
      </c>
      <c r="D604" s="5" t="str">
        <f>_xlfn.XLOOKUP(fRealizado5[[#This Row],[Conta]],'Plano de Contas'!A:A,'Plano de Contas'!C:C)</f>
        <v>(+) RECEITA BRUTA</v>
      </c>
      <c r="E604" s="5" t="str">
        <f>_xlfn.XLOOKUP(fRealizado5[[#This Row],[Conta]],'Plano de Contas'!A:A,'Plano de Contas'!D:D)</f>
        <v>02 - Outras Receitas</v>
      </c>
    </row>
    <row r="605" spans="1:5" hidden="1" x14ac:dyDescent="0.25">
      <c r="A605" s="23">
        <f t="shared" si="7"/>
        <v>43586</v>
      </c>
      <c r="B605" s="5" t="s">
        <v>94</v>
      </c>
      <c r="C605" s="5">
        <v>136926</v>
      </c>
      <c r="D605" s="5" t="str">
        <f>_xlfn.XLOOKUP(fRealizado5[[#This Row],[Conta]],'Plano de Contas'!A:A,'Plano de Contas'!C:C)</f>
        <v>(+) RECEITA BRUTA</v>
      </c>
      <c r="E605" s="5" t="str">
        <f>_xlfn.XLOOKUP(fRealizado5[[#This Row],[Conta]],'Plano de Contas'!A:A,'Plano de Contas'!D:D)</f>
        <v>02 - Outras Receitas</v>
      </c>
    </row>
    <row r="606" spans="1:5" hidden="1" x14ac:dyDescent="0.25">
      <c r="A606" s="23">
        <f t="shared" si="7"/>
        <v>43586</v>
      </c>
      <c r="B606" s="5" t="s">
        <v>95</v>
      </c>
      <c r="C606" s="5">
        <v>198463</v>
      </c>
      <c r="D606" s="5" t="str">
        <f>_xlfn.XLOOKUP(fRealizado5[[#This Row],[Conta]],'Plano de Contas'!A:A,'Plano de Contas'!C:C)</f>
        <v>(+) RECEITA BRUTA</v>
      </c>
      <c r="E606" s="5" t="str">
        <f>_xlfn.XLOOKUP(fRealizado5[[#This Row],[Conta]],'Plano de Contas'!A:A,'Plano de Contas'!D:D)</f>
        <v>02 - Outras Receitas</v>
      </c>
    </row>
    <row r="607" spans="1:5" hidden="1" x14ac:dyDescent="0.25">
      <c r="A607" s="23">
        <f t="shared" si="7"/>
        <v>43586</v>
      </c>
      <c r="B607" s="5" t="s">
        <v>96</v>
      </c>
      <c r="C607" s="5">
        <v>287214</v>
      </c>
      <c r="D607" s="5" t="str">
        <f>_xlfn.XLOOKUP(fRealizado5[[#This Row],[Conta]],'Plano de Contas'!A:A,'Plano de Contas'!C:C)</f>
        <v>(+) RECEITA BRUTA</v>
      </c>
      <c r="E607" s="5" t="str">
        <f>_xlfn.XLOOKUP(fRealizado5[[#This Row],[Conta]],'Plano de Contas'!A:A,'Plano de Contas'!D:D)</f>
        <v>02 - Outras Receitas</v>
      </c>
    </row>
    <row r="608" spans="1:5" hidden="1" x14ac:dyDescent="0.25">
      <c r="A608" s="23">
        <f t="shared" si="7"/>
        <v>43586</v>
      </c>
      <c r="B608" s="5" t="s">
        <v>97</v>
      </c>
      <c r="C608" s="5">
        <v>284888</v>
      </c>
      <c r="D608" s="5" t="str">
        <f>_xlfn.XLOOKUP(fRealizado5[[#This Row],[Conta]],'Plano de Contas'!A:A,'Plano de Contas'!C:C)</f>
        <v>(+) RECEITA BRUTA</v>
      </c>
      <c r="E608" s="5" t="str">
        <f>_xlfn.XLOOKUP(fRealizado5[[#This Row],[Conta]],'Plano de Contas'!A:A,'Plano de Contas'!D:D)</f>
        <v>02 - Outras Receitas</v>
      </c>
    </row>
    <row r="609" spans="1:5" hidden="1" x14ac:dyDescent="0.25">
      <c r="A609" s="23">
        <f t="shared" si="7"/>
        <v>43586</v>
      </c>
      <c r="B609" s="5" t="s">
        <v>98</v>
      </c>
      <c r="C609" s="5">
        <v>180695</v>
      </c>
      <c r="D609" s="5" t="str">
        <f>_xlfn.XLOOKUP(fRealizado5[[#This Row],[Conta]],'Plano de Contas'!A:A,'Plano de Contas'!C:C)</f>
        <v>(+) RECEITA BRUTA</v>
      </c>
      <c r="E609" s="5" t="str">
        <f>_xlfn.XLOOKUP(fRealizado5[[#This Row],[Conta]],'Plano de Contas'!A:A,'Plano de Contas'!D:D)</f>
        <v>02 - Outras Receitas</v>
      </c>
    </row>
    <row r="610" spans="1:5" hidden="1" x14ac:dyDescent="0.25">
      <c r="A610" s="23">
        <f t="shared" si="7"/>
        <v>43586</v>
      </c>
      <c r="B610" s="5" t="s">
        <v>99</v>
      </c>
      <c r="C610" s="5">
        <v>68070</v>
      </c>
      <c r="D610" s="5" t="str">
        <f>_xlfn.XLOOKUP(fRealizado5[[#This Row],[Conta]],'Plano de Contas'!A:A,'Plano de Contas'!C:C)</f>
        <v>(+) RECEITA BRUTA</v>
      </c>
      <c r="E610" s="5" t="str">
        <f>_xlfn.XLOOKUP(fRealizado5[[#This Row],[Conta]],'Plano de Contas'!A:A,'Plano de Contas'!D:D)</f>
        <v>02 - Outras Receitas</v>
      </c>
    </row>
    <row r="611" spans="1:5" hidden="1" x14ac:dyDescent="0.25">
      <c r="A611" s="23">
        <f t="shared" si="7"/>
        <v>43586</v>
      </c>
      <c r="B611" s="5" t="s">
        <v>100</v>
      </c>
      <c r="C611" s="5">
        <v>117000</v>
      </c>
      <c r="D611" s="5" t="str">
        <f>_xlfn.XLOOKUP(fRealizado5[[#This Row],[Conta]],'Plano de Contas'!A:A,'Plano de Contas'!C:C)</f>
        <v>(+) RECEITA BRUTA</v>
      </c>
      <c r="E611" s="5" t="str">
        <f>_xlfn.XLOOKUP(fRealizado5[[#This Row],[Conta]],'Plano de Contas'!A:A,'Plano de Contas'!D:D)</f>
        <v>02 - Outras Receitas</v>
      </c>
    </row>
    <row r="612" spans="1:5" hidden="1" x14ac:dyDescent="0.25">
      <c r="A612" s="23">
        <f t="shared" si="7"/>
        <v>43586</v>
      </c>
      <c r="B612" s="5" t="s">
        <v>101</v>
      </c>
      <c r="C612" s="5">
        <v>198904</v>
      </c>
      <c r="D612" s="5" t="str">
        <f>_xlfn.XLOOKUP(fRealizado5[[#This Row],[Conta]],'Plano de Contas'!A:A,'Plano de Contas'!C:C)</f>
        <v>(+) RECEITA BRUTA</v>
      </c>
      <c r="E612" s="5" t="str">
        <f>_xlfn.XLOOKUP(fRealizado5[[#This Row],[Conta]],'Plano de Contas'!A:A,'Plano de Contas'!D:D)</f>
        <v>02 - Outras Receitas</v>
      </c>
    </row>
    <row r="613" spans="1:5" hidden="1" x14ac:dyDescent="0.25">
      <c r="A613" s="23">
        <f t="shared" si="7"/>
        <v>43586</v>
      </c>
      <c r="B613" s="5" t="s">
        <v>102</v>
      </c>
      <c r="C613" s="5">
        <v>137286</v>
      </c>
      <c r="D613" s="5" t="str">
        <f>_xlfn.XLOOKUP(fRealizado5[[#This Row],[Conta]],'Plano de Contas'!A:A,'Plano de Contas'!C:C)</f>
        <v>(+) RECEITA BRUTA</v>
      </c>
      <c r="E613" s="5" t="str">
        <f>_xlfn.XLOOKUP(fRealizado5[[#This Row],[Conta]],'Plano de Contas'!A:A,'Plano de Contas'!D:D)</f>
        <v>02 - Outras Receitas</v>
      </c>
    </row>
    <row r="614" spans="1:5" hidden="1" x14ac:dyDescent="0.25">
      <c r="A614" s="23">
        <f t="shared" si="7"/>
        <v>43586</v>
      </c>
      <c r="B614" s="5" t="s">
        <v>103</v>
      </c>
      <c r="C614" s="5">
        <v>250355</v>
      </c>
      <c r="D614" s="5" t="str">
        <f>_xlfn.XLOOKUP(fRealizado5[[#This Row],[Conta]],'Plano de Contas'!A:A,'Plano de Contas'!C:C)</f>
        <v>(+) RECEITA BRUTA</v>
      </c>
      <c r="E614" s="5" t="str">
        <f>_xlfn.XLOOKUP(fRealizado5[[#This Row],[Conta]],'Plano de Contas'!A:A,'Plano de Contas'!D:D)</f>
        <v>02 - Outras Receitas</v>
      </c>
    </row>
    <row r="615" spans="1:5" hidden="1" x14ac:dyDescent="0.25">
      <c r="A615" s="23">
        <f t="shared" si="7"/>
        <v>43586</v>
      </c>
      <c r="B615" s="5" t="s">
        <v>104</v>
      </c>
      <c r="C615" s="5">
        <v>79141</v>
      </c>
      <c r="D615" s="5" t="str">
        <f>_xlfn.XLOOKUP(fRealizado5[[#This Row],[Conta]],'Plano de Contas'!A:A,'Plano de Contas'!C:C)</f>
        <v>(+) RECEITA BRUTA</v>
      </c>
      <c r="E615" s="5" t="str">
        <f>_xlfn.XLOOKUP(fRealizado5[[#This Row],[Conta]],'Plano de Contas'!A:A,'Plano de Contas'!D:D)</f>
        <v>02 - Outras Receitas</v>
      </c>
    </row>
    <row r="616" spans="1:5" hidden="1" x14ac:dyDescent="0.25">
      <c r="A616" s="23">
        <f t="shared" si="7"/>
        <v>43586</v>
      </c>
      <c r="B616" s="5" t="s">
        <v>105</v>
      </c>
      <c r="C616" s="5">
        <v>188381</v>
      </c>
      <c r="D616" s="5" t="str">
        <f>_xlfn.XLOOKUP(fRealizado5[[#This Row],[Conta]],'Plano de Contas'!A:A,'Plano de Contas'!C:C)</f>
        <v>(+) RECEITA BRUTA</v>
      </c>
      <c r="E616" s="5" t="str">
        <f>_xlfn.XLOOKUP(fRealizado5[[#This Row],[Conta]],'Plano de Contas'!A:A,'Plano de Contas'!D:D)</f>
        <v>02 - Outras Receitas</v>
      </c>
    </row>
    <row r="617" spans="1:5" hidden="1" x14ac:dyDescent="0.25">
      <c r="A617" s="23">
        <f t="shared" si="7"/>
        <v>43586</v>
      </c>
      <c r="B617" s="5" t="s">
        <v>106</v>
      </c>
      <c r="C617" s="5">
        <v>65971</v>
      </c>
      <c r="D617" s="5" t="str">
        <f>_xlfn.XLOOKUP(fRealizado5[[#This Row],[Conta]],'Plano de Contas'!A:A,'Plano de Contas'!C:C)</f>
        <v>(+) RECEITA BRUTA</v>
      </c>
      <c r="E617" s="5" t="str">
        <f>_xlfn.XLOOKUP(fRealizado5[[#This Row],[Conta]],'Plano de Contas'!A:A,'Plano de Contas'!D:D)</f>
        <v>02 - Outras Receitas</v>
      </c>
    </row>
    <row r="618" spans="1:5" hidden="1" x14ac:dyDescent="0.25">
      <c r="A618" s="23">
        <f t="shared" si="7"/>
        <v>43586</v>
      </c>
      <c r="B618" s="5" t="s">
        <v>107</v>
      </c>
      <c r="C618" s="5">
        <v>105843</v>
      </c>
      <c r="D618" s="5" t="str">
        <f>_xlfn.XLOOKUP(fRealizado5[[#This Row],[Conta]],'Plano de Contas'!A:A,'Plano de Contas'!C:C)</f>
        <v>(+) RECEITA BRUTA</v>
      </c>
      <c r="E618" s="5" t="str">
        <f>_xlfn.XLOOKUP(fRealizado5[[#This Row],[Conta]],'Plano de Contas'!A:A,'Plano de Contas'!D:D)</f>
        <v>02 - Outras Receitas</v>
      </c>
    </row>
    <row r="619" spans="1:5" hidden="1" x14ac:dyDescent="0.25">
      <c r="A619" s="23">
        <f t="shared" si="7"/>
        <v>43586</v>
      </c>
      <c r="B619" s="5" t="s">
        <v>108</v>
      </c>
      <c r="C619" s="5">
        <v>156876</v>
      </c>
      <c r="D619" s="5" t="str">
        <f>_xlfn.XLOOKUP(fRealizado5[[#This Row],[Conta]],'Plano de Contas'!A:A,'Plano de Contas'!C:C)</f>
        <v>(+) RECEITA BRUTA</v>
      </c>
      <c r="E619" s="5" t="str">
        <f>_xlfn.XLOOKUP(fRealizado5[[#This Row],[Conta]],'Plano de Contas'!A:A,'Plano de Contas'!D:D)</f>
        <v>02 - Outras Receitas</v>
      </c>
    </row>
    <row r="620" spans="1:5" hidden="1" x14ac:dyDescent="0.25">
      <c r="A620" s="23">
        <f t="shared" si="7"/>
        <v>43586</v>
      </c>
      <c r="B620" s="5" t="s">
        <v>109</v>
      </c>
      <c r="C620" s="5">
        <v>66944</v>
      </c>
      <c r="D620" s="5" t="str">
        <f>_xlfn.XLOOKUP(fRealizado5[[#This Row],[Conta]],'Plano de Contas'!A:A,'Plano de Contas'!C:C)</f>
        <v>(+) RECEITA BRUTA</v>
      </c>
      <c r="E620" s="5" t="str">
        <f>_xlfn.XLOOKUP(fRealizado5[[#This Row],[Conta]],'Plano de Contas'!A:A,'Plano de Contas'!D:D)</f>
        <v>02 - Outras Receitas</v>
      </c>
    </row>
    <row r="621" spans="1:5" hidden="1" x14ac:dyDescent="0.25">
      <c r="A621" s="23">
        <f t="shared" si="7"/>
        <v>43586</v>
      </c>
      <c r="B621" s="5" t="s">
        <v>110</v>
      </c>
      <c r="C621" s="5">
        <v>-7143</v>
      </c>
      <c r="D621" s="5" t="str">
        <f>_xlfn.XLOOKUP(fRealizado5[[#This Row],[Conta]],'Plano de Contas'!A:A,'Plano de Contas'!C:C)</f>
        <v>(-) Deduções da Receita</v>
      </c>
      <c r="E621" s="5" t="str">
        <f>_xlfn.XLOOKUP(fRealizado5[[#This Row],[Conta]],'Plano de Contas'!A:A,'Plano de Contas'!D:D)</f>
        <v>03 - Devoluções de Produtos</v>
      </c>
    </row>
    <row r="622" spans="1:5" hidden="1" x14ac:dyDescent="0.25">
      <c r="A622" s="23">
        <f t="shared" si="7"/>
        <v>43586</v>
      </c>
      <c r="B622" s="5" t="s">
        <v>111</v>
      </c>
      <c r="C622" s="5">
        <v>-1962</v>
      </c>
      <c r="D622" s="5" t="str">
        <f>_xlfn.XLOOKUP(fRealizado5[[#This Row],[Conta]],'Plano de Contas'!A:A,'Plano de Contas'!C:C)</f>
        <v>(-) Deduções da Receita</v>
      </c>
      <c r="E622" s="5" t="str">
        <f>_xlfn.XLOOKUP(fRealizado5[[#This Row],[Conta]],'Plano de Contas'!A:A,'Plano de Contas'!D:D)</f>
        <v>03 - Devoluções de Produtos</v>
      </c>
    </row>
    <row r="623" spans="1:5" hidden="1" x14ac:dyDescent="0.25">
      <c r="A623" s="23">
        <f t="shared" si="7"/>
        <v>43586</v>
      </c>
      <c r="B623" s="5" t="s">
        <v>112</v>
      </c>
      <c r="C623" s="5">
        <v>-8941</v>
      </c>
      <c r="D623" s="5" t="str">
        <f>_xlfn.XLOOKUP(fRealizado5[[#This Row],[Conta]],'Plano de Contas'!A:A,'Plano de Contas'!C:C)</f>
        <v>(-) Deduções da Receita</v>
      </c>
      <c r="E623" s="5" t="str">
        <f>_xlfn.XLOOKUP(fRealizado5[[#This Row],[Conta]],'Plano de Contas'!A:A,'Plano de Contas'!D:D)</f>
        <v>03 - Devoluções de Produtos</v>
      </c>
    </row>
    <row r="624" spans="1:5" hidden="1" x14ac:dyDescent="0.25">
      <c r="A624" s="23">
        <f t="shared" si="7"/>
        <v>43586</v>
      </c>
      <c r="B624" s="5" t="s">
        <v>113</v>
      </c>
      <c r="C624" s="5">
        <v>-2923</v>
      </c>
      <c r="D624" s="5" t="str">
        <f>_xlfn.XLOOKUP(fRealizado5[[#This Row],[Conta]],'Plano de Contas'!A:A,'Plano de Contas'!C:C)</f>
        <v>(-) Deduções da Receita</v>
      </c>
      <c r="E624" s="5" t="str">
        <f>_xlfn.XLOOKUP(fRealizado5[[#This Row],[Conta]],'Plano de Contas'!A:A,'Plano de Contas'!D:D)</f>
        <v>03 - Devoluções de Produtos</v>
      </c>
    </row>
    <row r="625" spans="1:5" hidden="1" x14ac:dyDescent="0.25">
      <c r="A625" s="23">
        <f t="shared" si="7"/>
        <v>43586</v>
      </c>
      <c r="B625" s="5" t="s">
        <v>114</v>
      </c>
      <c r="C625" s="5">
        <v>-3946</v>
      </c>
      <c r="D625" s="5" t="str">
        <f>_xlfn.XLOOKUP(fRealizado5[[#This Row],[Conta]],'Plano de Contas'!A:A,'Plano de Contas'!C:C)</f>
        <v>(-) Deduções da Receita</v>
      </c>
      <c r="E625" s="5" t="str">
        <f>_xlfn.XLOOKUP(fRealizado5[[#This Row],[Conta]],'Plano de Contas'!A:A,'Plano de Contas'!D:D)</f>
        <v>03 - Devoluções de Produtos</v>
      </c>
    </row>
    <row r="626" spans="1:5" hidden="1" x14ac:dyDescent="0.25">
      <c r="A626" s="23">
        <f t="shared" si="7"/>
        <v>43586</v>
      </c>
      <c r="B626" s="5" t="s">
        <v>115</v>
      </c>
      <c r="C626" s="5">
        <v>-7772</v>
      </c>
      <c r="D626" s="5" t="str">
        <f>_xlfn.XLOOKUP(fRealizado5[[#This Row],[Conta]],'Plano de Contas'!A:A,'Plano de Contas'!C:C)</f>
        <v>(-) Deduções da Receita</v>
      </c>
      <c r="E626" s="5" t="str">
        <f>_xlfn.XLOOKUP(fRealizado5[[#This Row],[Conta]],'Plano de Contas'!A:A,'Plano de Contas'!D:D)</f>
        <v>03 - Devoluções de Produtos</v>
      </c>
    </row>
    <row r="627" spans="1:5" hidden="1" x14ac:dyDescent="0.25">
      <c r="A627" s="23">
        <f t="shared" si="7"/>
        <v>43586</v>
      </c>
      <c r="B627" s="5" t="s">
        <v>116</v>
      </c>
      <c r="C627" s="5">
        <v>-7204</v>
      </c>
      <c r="D627" s="5" t="str">
        <f>_xlfn.XLOOKUP(fRealizado5[[#This Row],[Conta]],'Plano de Contas'!A:A,'Plano de Contas'!C:C)</f>
        <v>(-) Deduções da Receita</v>
      </c>
      <c r="E627" s="5" t="str">
        <f>_xlfn.XLOOKUP(fRealizado5[[#This Row],[Conta]],'Plano de Contas'!A:A,'Plano de Contas'!D:D)</f>
        <v>03 - Devoluções de Produtos</v>
      </c>
    </row>
    <row r="628" spans="1:5" hidden="1" x14ac:dyDescent="0.25">
      <c r="A628" s="23">
        <f t="shared" si="7"/>
        <v>43586</v>
      </c>
      <c r="B628" s="5" t="s">
        <v>117</v>
      </c>
      <c r="C628" s="5">
        <v>-7269</v>
      </c>
      <c r="D628" s="5" t="str">
        <f>_xlfn.XLOOKUP(fRealizado5[[#This Row],[Conta]],'Plano de Contas'!A:A,'Plano de Contas'!C:C)</f>
        <v>(-) Deduções da Receita</v>
      </c>
      <c r="E628" s="5" t="str">
        <f>_xlfn.XLOOKUP(fRealizado5[[#This Row],[Conta]],'Plano de Contas'!A:A,'Plano de Contas'!D:D)</f>
        <v>03 - Devoluções de Produtos</v>
      </c>
    </row>
    <row r="629" spans="1:5" hidden="1" x14ac:dyDescent="0.25">
      <c r="A629" s="23">
        <f t="shared" si="7"/>
        <v>43586</v>
      </c>
      <c r="B629" s="5" t="s">
        <v>118</v>
      </c>
      <c r="C629" s="5">
        <v>-5721</v>
      </c>
      <c r="D629" s="5" t="str">
        <f>_xlfn.XLOOKUP(fRealizado5[[#This Row],[Conta]],'Plano de Contas'!A:A,'Plano de Contas'!C:C)</f>
        <v>(-) Deduções da Receita</v>
      </c>
      <c r="E629" s="5" t="str">
        <f>_xlfn.XLOOKUP(fRealizado5[[#This Row],[Conta]],'Plano de Contas'!A:A,'Plano de Contas'!D:D)</f>
        <v>03 - Devoluções de Produtos</v>
      </c>
    </row>
    <row r="630" spans="1:5" hidden="1" x14ac:dyDescent="0.25">
      <c r="A630" s="23">
        <f t="shared" si="7"/>
        <v>43586</v>
      </c>
      <c r="B630" s="5" t="s">
        <v>119</v>
      </c>
      <c r="C630" s="5">
        <v>-8121</v>
      </c>
      <c r="D630" s="5" t="str">
        <f>_xlfn.XLOOKUP(fRealizado5[[#This Row],[Conta]],'Plano de Contas'!A:A,'Plano de Contas'!C:C)</f>
        <v>(-) Deduções da Receita</v>
      </c>
      <c r="E630" s="5" t="str">
        <f>_xlfn.XLOOKUP(fRealizado5[[#This Row],[Conta]],'Plano de Contas'!A:A,'Plano de Contas'!D:D)</f>
        <v>03 - Devoluções de Produtos</v>
      </c>
    </row>
    <row r="631" spans="1:5" hidden="1" x14ac:dyDescent="0.25">
      <c r="A631" s="23">
        <f t="shared" si="7"/>
        <v>43586</v>
      </c>
      <c r="B631" s="5" t="s">
        <v>120</v>
      </c>
      <c r="C631" s="5">
        <v>-4321</v>
      </c>
      <c r="D631" s="5" t="str">
        <f>_xlfn.XLOOKUP(fRealizado5[[#This Row],[Conta]],'Plano de Contas'!A:A,'Plano de Contas'!C:C)</f>
        <v>(-) Deduções da Receita</v>
      </c>
      <c r="E631" s="5" t="str">
        <f>_xlfn.XLOOKUP(fRealizado5[[#This Row],[Conta]],'Plano de Contas'!A:A,'Plano de Contas'!D:D)</f>
        <v>03 - Devoluções de Produtos</v>
      </c>
    </row>
    <row r="632" spans="1:5" hidden="1" x14ac:dyDescent="0.25">
      <c r="A632" s="23">
        <f t="shared" si="7"/>
        <v>43586</v>
      </c>
      <c r="B632" s="5" t="s">
        <v>121</v>
      </c>
      <c r="C632" s="5">
        <v>-4473</v>
      </c>
      <c r="D632" s="5" t="str">
        <f>_xlfn.XLOOKUP(fRealizado5[[#This Row],[Conta]],'Plano de Contas'!A:A,'Plano de Contas'!C:C)</f>
        <v>(-) Deduções da Receita</v>
      </c>
      <c r="E632" s="5" t="str">
        <f>_xlfn.XLOOKUP(fRealizado5[[#This Row],[Conta]],'Plano de Contas'!A:A,'Plano de Contas'!D:D)</f>
        <v>03 - Devoluções de Produtos</v>
      </c>
    </row>
    <row r="633" spans="1:5" hidden="1" x14ac:dyDescent="0.25">
      <c r="A633" s="23">
        <f t="shared" si="7"/>
        <v>43586</v>
      </c>
      <c r="B633" s="5" t="s">
        <v>122</v>
      </c>
      <c r="C633" s="5">
        <v>-6117</v>
      </c>
      <c r="D633" s="5" t="str">
        <f>_xlfn.XLOOKUP(fRealizado5[[#This Row],[Conta]],'Plano de Contas'!A:A,'Plano de Contas'!C:C)</f>
        <v>(-) Deduções da Receita</v>
      </c>
      <c r="E633" s="5" t="str">
        <f>_xlfn.XLOOKUP(fRealizado5[[#This Row],[Conta]],'Plano de Contas'!A:A,'Plano de Contas'!D:D)</f>
        <v>03 - Devoluções de Produtos</v>
      </c>
    </row>
    <row r="634" spans="1:5" hidden="1" x14ac:dyDescent="0.25">
      <c r="A634" s="23">
        <f t="shared" si="7"/>
        <v>43586</v>
      </c>
      <c r="B634" s="5" t="s">
        <v>123</v>
      </c>
      <c r="C634" s="5">
        <v>-6504</v>
      </c>
      <c r="D634" s="5" t="str">
        <f>_xlfn.XLOOKUP(fRealizado5[[#This Row],[Conta]],'Plano de Contas'!A:A,'Plano de Contas'!C:C)</f>
        <v>(-) Deduções da Receita</v>
      </c>
      <c r="E634" s="5" t="str">
        <f>_xlfn.XLOOKUP(fRealizado5[[#This Row],[Conta]],'Plano de Contas'!A:A,'Plano de Contas'!D:D)</f>
        <v>03 - Devoluções de Produtos</v>
      </c>
    </row>
    <row r="635" spans="1:5" hidden="1" x14ac:dyDescent="0.25">
      <c r="A635" s="23">
        <f t="shared" si="7"/>
        <v>43586</v>
      </c>
      <c r="B635" s="5" t="s">
        <v>124</v>
      </c>
      <c r="C635" s="5">
        <v>-3290</v>
      </c>
      <c r="D635" s="5" t="str">
        <f>_xlfn.XLOOKUP(fRealizado5[[#This Row],[Conta]],'Plano de Contas'!A:A,'Plano de Contas'!C:C)</f>
        <v>(-) Deduções da Receita</v>
      </c>
      <c r="E635" s="5" t="str">
        <f>_xlfn.XLOOKUP(fRealizado5[[#This Row],[Conta]],'Plano de Contas'!A:A,'Plano de Contas'!D:D)</f>
        <v>03 - Devoluções de Produtos</v>
      </c>
    </row>
    <row r="636" spans="1:5" hidden="1" x14ac:dyDescent="0.25">
      <c r="A636" s="23">
        <f t="shared" si="7"/>
        <v>43586</v>
      </c>
      <c r="B636" s="5" t="s">
        <v>125</v>
      </c>
      <c r="C636" s="5">
        <v>-3018</v>
      </c>
      <c r="D636" s="5" t="str">
        <f>_xlfn.XLOOKUP(fRealizado5[[#This Row],[Conta]],'Plano de Contas'!A:A,'Plano de Contas'!C:C)</f>
        <v>(-) Deduções da Receita</v>
      </c>
      <c r="E636" s="5" t="str">
        <f>_xlfn.XLOOKUP(fRealizado5[[#This Row],[Conta]],'Plano de Contas'!A:A,'Plano de Contas'!D:D)</f>
        <v>03 - Devoluções de Produtos</v>
      </c>
    </row>
    <row r="637" spans="1:5" hidden="1" x14ac:dyDescent="0.25">
      <c r="A637" s="23">
        <f t="shared" si="7"/>
        <v>43586</v>
      </c>
      <c r="B637" s="5" t="s">
        <v>126</v>
      </c>
      <c r="C637" s="5">
        <v>-2496</v>
      </c>
      <c r="D637" s="5" t="str">
        <f>_xlfn.XLOOKUP(fRealizado5[[#This Row],[Conta]],'Plano de Contas'!A:A,'Plano de Contas'!C:C)</f>
        <v>(-) Deduções da Receita</v>
      </c>
      <c r="E637" s="5" t="str">
        <f>_xlfn.XLOOKUP(fRealizado5[[#This Row],[Conta]],'Plano de Contas'!A:A,'Plano de Contas'!D:D)</f>
        <v>03 - Devoluções de Produtos</v>
      </c>
    </row>
    <row r="638" spans="1:5" hidden="1" x14ac:dyDescent="0.25">
      <c r="A638" s="23">
        <f t="shared" si="7"/>
        <v>43586</v>
      </c>
      <c r="B638" s="5" t="s">
        <v>127</v>
      </c>
      <c r="C638" s="5">
        <v>-1515</v>
      </c>
      <c r="D638" s="5" t="str">
        <f>_xlfn.XLOOKUP(fRealizado5[[#This Row],[Conta]],'Plano de Contas'!A:A,'Plano de Contas'!C:C)</f>
        <v>(-) Deduções da Receita</v>
      </c>
      <c r="E638" s="5" t="str">
        <f>_xlfn.XLOOKUP(fRealizado5[[#This Row],[Conta]],'Plano de Contas'!A:A,'Plano de Contas'!D:D)</f>
        <v>03 - Devoluções de Produtos</v>
      </c>
    </row>
    <row r="639" spans="1:5" hidden="1" x14ac:dyDescent="0.25">
      <c r="A639" s="23">
        <f t="shared" si="7"/>
        <v>43586</v>
      </c>
      <c r="B639" s="5" t="s">
        <v>128</v>
      </c>
      <c r="C639" s="5">
        <v>-7241</v>
      </c>
      <c r="D639" s="5" t="str">
        <f>_xlfn.XLOOKUP(fRealizado5[[#This Row],[Conta]],'Plano de Contas'!A:A,'Plano de Contas'!C:C)</f>
        <v>(-) Deduções da Receita</v>
      </c>
      <c r="E639" s="5" t="str">
        <f>_xlfn.XLOOKUP(fRealizado5[[#This Row],[Conta]],'Plano de Contas'!A:A,'Plano de Contas'!D:D)</f>
        <v>03 - Devoluções de Produtos</v>
      </c>
    </row>
    <row r="640" spans="1:5" hidden="1" x14ac:dyDescent="0.25">
      <c r="A640" s="23">
        <f t="shared" si="7"/>
        <v>43586</v>
      </c>
      <c r="B640" s="5" t="s">
        <v>129</v>
      </c>
      <c r="C640" s="5">
        <v>-3468</v>
      </c>
      <c r="D640" s="5" t="str">
        <f>_xlfn.XLOOKUP(fRealizado5[[#This Row],[Conta]],'Plano de Contas'!A:A,'Plano de Contas'!C:C)</f>
        <v>(-) Deduções da Receita</v>
      </c>
      <c r="E640" s="5" t="str">
        <f>_xlfn.XLOOKUP(fRealizado5[[#This Row],[Conta]],'Plano de Contas'!A:A,'Plano de Contas'!D:D)</f>
        <v>03 - Devoluções de Produtos</v>
      </c>
    </row>
    <row r="641" spans="1:5" hidden="1" x14ac:dyDescent="0.25">
      <c r="A641" s="23">
        <f t="shared" si="7"/>
        <v>43586</v>
      </c>
      <c r="B641" s="5" t="s">
        <v>130</v>
      </c>
      <c r="C641" s="5">
        <v>-8688</v>
      </c>
      <c r="D641" s="5" t="str">
        <f>_xlfn.XLOOKUP(fRealizado5[[#This Row],[Conta]],'Plano de Contas'!A:A,'Plano de Contas'!C:C)</f>
        <v>(-) Deduções da Receita</v>
      </c>
      <c r="E641" s="5" t="str">
        <f>_xlfn.XLOOKUP(fRealizado5[[#This Row],[Conta]],'Plano de Contas'!A:A,'Plano de Contas'!D:D)</f>
        <v>03 - Devoluções de Produtos</v>
      </c>
    </row>
    <row r="642" spans="1:5" hidden="1" x14ac:dyDescent="0.25">
      <c r="A642" s="23">
        <f t="shared" si="7"/>
        <v>43586</v>
      </c>
      <c r="B642" s="5" t="s">
        <v>131</v>
      </c>
      <c r="C642" s="5">
        <v>-3683</v>
      </c>
      <c r="D642" s="5" t="str">
        <f>_xlfn.XLOOKUP(fRealizado5[[#This Row],[Conta]],'Plano de Contas'!A:A,'Plano de Contas'!C:C)</f>
        <v>(-) Deduções da Receita</v>
      </c>
      <c r="E642" s="5" t="str">
        <f>_xlfn.XLOOKUP(fRealizado5[[#This Row],[Conta]],'Plano de Contas'!A:A,'Plano de Contas'!D:D)</f>
        <v>03 - Devoluções de Produtos</v>
      </c>
    </row>
    <row r="643" spans="1:5" hidden="1" x14ac:dyDescent="0.25">
      <c r="A643" s="23">
        <f t="shared" si="7"/>
        <v>43586</v>
      </c>
      <c r="B643" s="5" t="s">
        <v>132</v>
      </c>
      <c r="C643" s="5">
        <v>-3405</v>
      </c>
      <c r="D643" s="5" t="str">
        <f>_xlfn.XLOOKUP(fRealizado5[[#This Row],[Conta]],'Plano de Contas'!A:A,'Plano de Contas'!C:C)</f>
        <v>(-) Deduções da Receita</v>
      </c>
      <c r="E643" s="5" t="str">
        <f>_xlfn.XLOOKUP(fRealizado5[[#This Row],[Conta]],'Plano de Contas'!A:A,'Plano de Contas'!D:D)</f>
        <v>03 - Devoluções de Produtos</v>
      </c>
    </row>
    <row r="644" spans="1:5" hidden="1" x14ac:dyDescent="0.25">
      <c r="A644" s="23">
        <f t="shared" si="7"/>
        <v>43586</v>
      </c>
      <c r="B644" s="5" t="s">
        <v>133</v>
      </c>
      <c r="C644" s="5">
        <v>-1628</v>
      </c>
      <c r="D644" s="5" t="str">
        <f>_xlfn.XLOOKUP(fRealizado5[[#This Row],[Conta]],'Plano de Contas'!A:A,'Plano de Contas'!C:C)</f>
        <v>(-) Deduções da Receita</v>
      </c>
      <c r="E644" s="5" t="str">
        <f>_xlfn.XLOOKUP(fRealizado5[[#This Row],[Conta]],'Plano de Contas'!A:A,'Plano de Contas'!D:D)</f>
        <v>03 - Devoluções de Produtos</v>
      </c>
    </row>
    <row r="645" spans="1:5" hidden="1" x14ac:dyDescent="0.25">
      <c r="A645" s="23">
        <f t="shared" si="7"/>
        <v>43586</v>
      </c>
      <c r="B645" s="5" t="s">
        <v>134</v>
      </c>
      <c r="C645" s="5">
        <v>-9829</v>
      </c>
      <c r="D645" s="5" t="str">
        <f>_xlfn.XLOOKUP(fRealizado5[[#This Row],[Conta]],'Plano de Contas'!A:A,'Plano de Contas'!C:C)</f>
        <v>(-) Deduções da Receita</v>
      </c>
      <c r="E645" s="5" t="str">
        <f>_xlfn.XLOOKUP(fRealizado5[[#This Row],[Conta]],'Plano de Contas'!A:A,'Plano de Contas'!D:D)</f>
        <v>03 - Devoluções de Produtos</v>
      </c>
    </row>
    <row r="646" spans="1:5" hidden="1" x14ac:dyDescent="0.25">
      <c r="A646" s="23">
        <f t="shared" si="7"/>
        <v>43586</v>
      </c>
      <c r="B646" s="5" t="s">
        <v>135</v>
      </c>
      <c r="C646" s="5">
        <v>-4629</v>
      </c>
      <c r="D646" s="5" t="str">
        <f>_xlfn.XLOOKUP(fRealizado5[[#This Row],[Conta]],'Plano de Contas'!A:A,'Plano de Contas'!C:C)</f>
        <v>(-) Deduções da Receita</v>
      </c>
      <c r="E646" s="5" t="str">
        <f>_xlfn.XLOOKUP(fRealizado5[[#This Row],[Conta]],'Plano de Contas'!A:A,'Plano de Contas'!D:D)</f>
        <v>03 - Devoluções de Produtos</v>
      </c>
    </row>
    <row r="647" spans="1:5" hidden="1" x14ac:dyDescent="0.25">
      <c r="A647" s="23">
        <f t="shared" si="7"/>
        <v>43586</v>
      </c>
      <c r="B647" s="5" t="s">
        <v>136</v>
      </c>
      <c r="C647" s="5">
        <v>-8204</v>
      </c>
      <c r="D647" s="5" t="str">
        <f>_xlfn.XLOOKUP(fRealizado5[[#This Row],[Conta]],'Plano de Contas'!A:A,'Plano de Contas'!C:C)</f>
        <v>(-) Deduções da Receita</v>
      </c>
      <c r="E647" s="5" t="str">
        <f>_xlfn.XLOOKUP(fRealizado5[[#This Row],[Conta]],'Plano de Contas'!A:A,'Plano de Contas'!D:D)</f>
        <v>04 - Taxas de Serviço</v>
      </c>
    </row>
    <row r="648" spans="1:5" hidden="1" x14ac:dyDescent="0.25">
      <c r="A648" s="23">
        <f t="shared" si="7"/>
        <v>43586</v>
      </c>
      <c r="B648" s="5" t="s">
        <v>137</v>
      </c>
      <c r="C648" s="5">
        <v>-9698</v>
      </c>
      <c r="D648" s="5" t="str">
        <f>_xlfn.XLOOKUP(fRealizado5[[#This Row],[Conta]],'Plano de Contas'!A:A,'Plano de Contas'!C:C)</f>
        <v>(-) Deduções da Receita</v>
      </c>
      <c r="E648" s="5" t="str">
        <f>_xlfn.XLOOKUP(fRealizado5[[#This Row],[Conta]],'Plano de Contas'!A:A,'Plano de Contas'!D:D)</f>
        <v>04 - Taxas de Serviço</v>
      </c>
    </row>
    <row r="649" spans="1:5" hidden="1" x14ac:dyDescent="0.25">
      <c r="A649" s="23">
        <f t="shared" si="7"/>
        <v>43586</v>
      </c>
      <c r="B649" s="5" t="s">
        <v>138</v>
      </c>
      <c r="C649" s="5">
        <v>-6770</v>
      </c>
      <c r="D649" s="5" t="str">
        <f>_xlfn.XLOOKUP(fRealizado5[[#This Row],[Conta]],'Plano de Contas'!A:A,'Plano de Contas'!C:C)</f>
        <v>(-) Deduções da Receita</v>
      </c>
      <c r="E649" s="5" t="str">
        <f>_xlfn.XLOOKUP(fRealizado5[[#This Row],[Conta]],'Plano de Contas'!A:A,'Plano de Contas'!D:D)</f>
        <v>04 - Taxas de Serviço</v>
      </c>
    </row>
    <row r="650" spans="1:5" hidden="1" x14ac:dyDescent="0.25">
      <c r="A650" s="23">
        <f t="shared" si="7"/>
        <v>43586</v>
      </c>
      <c r="B650" s="5" t="s">
        <v>139</v>
      </c>
      <c r="C650" s="5">
        <v>-6013</v>
      </c>
      <c r="D650" s="5" t="str">
        <f>_xlfn.XLOOKUP(fRealizado5[[#This Row],[Conta]],'Plano de Contas'!A:A,'Plano de Contas'!C:C)</f>
        <v>(-) Deduções da Receita</v>
      </c>
      <c r="E650" s="5" t="str">
        <f>_xlfn.XLOOKUP(fRealizado5[[#This Row],[Conta]],'Plano de Contas'!A:A,'Plano de Contas'!D:D)</f>
        <v>04 - Taxas de Serviço</v>
      </c>
    </row>
    <row r="651" spans="1:5" hidden="1" x14ac:dyDescent="0.25">
      <c r="A651" s="23">
        <f t="shared" si="7"/>
        <v>43586</v>
      </c>
      <c r="B651" s="5" t="s">
        <v>140</v>
      </c>
      <c r="C651" s="5">
        <v>-81947</v>
      </c>
      <c r="D651" s="5" t="str">
        <f>_xlfn.XLOOKUP(fRealizado5[[#This Row],[Conta]],'Plano de Contas'!A:A,'Plano de Contas'!C:C)</f>
        <v>(-) Custos de Vendas</v>
      </c>
      <c r="E651" s="5" t="str">
        <f>_xlfn.XLOOKUP(fRealizado5[[#This Row],[Conta]],'Plano de Contas'!A:A,'Plano de Contas'!D:D)</f>
        <v>05 - Custo do Produto</v>
      </c>
    </row>
    <row r="652" spans="1:5" hidden="1" x14ac:dyDescent="0.25">
      <c r="A652" s="23">
        <f t="shared" si="7"/>
        <v>43586</v>
      </c>
      <c r="B652" s="5" t="s">
        <v>141</v>
      </c>
      <c r="C652" s="5">
        <v>-171131</v>
      </c>
      <c r="D652" s="5" t="str">
        <f>_xlfn.XLOOKUP(fRealizado5[[#This Row],[Conta]],'Plano de Contas'!A:A,'Plano de Contas'!C:C)</f>
        <v>(-) Custos de Vendas</v>
      </c>
      <c r="E652" s="5" t="str">
        <f>_xlfn.XLOOKUP(fRealizado5[[#This Row],[Conta]],'Plano de Contas'!A:A,'Plano de Contas'!D:D)</f>
        <v>05 - Custo do Produto</v>
      </c>
    </row>
    <row r="653" spans="1:5" hidden="1" x14ac:dyDescent="0.25">
      <c r="A653" s="23">
        <f t="shared" si="7"/>
        <v>43586</v>
      </c>
      <c r="B653" s="5" t="s">
        <v>142</v>
      </c>
      <c r="C653" s="5">
        <v>-114891</v>
      </c>
      <c r="D653" s="5" t="str">
        <f>_xlfn.XLOOKUP(fRealizado5[[#This Row],[Conta]],'Plano de Contas'!A:A,'Plano de Contas'!C:C)</f>
        <v>(-) Custos de Vendas</v>
      </c>
      <c r="E653" s="5" t="str">
        <f>_xlfn.XLOOKUP(fRealizado5[[#This Row],[Conta]],'Plano de Contas'!A:A,'Plano de Contas'!D:D)</f>
        <v>05 - Custo do Produto</v>
      </c>
    </row>
    <row r="654" spans="1:5" hidden="1" x14ac:dyDescent="0.25">
      <c r="A654" s="23">
        <f t="shared" si="7"/>
        <v>43586</v>
      </c>
      <c r="B654" s="5" t="s">
        <v>143</v>
      </c>
      <c r="C654" s="5">
        <v>-292293</v>
      </c>
      <c r="D654" s="5" t="str">
        <f>_xlfn.XLOOKUP(fRealizado5[[#This Row],[Conta]],'Plano de Contas'!A:A,'Plano de Contas'!C:C)</f>
        <v>(-) Custos de Vendas</v>
      </c>
      <c r="E654" s="5" t="str">
        <f>_xlfn.XLOOKUP(fRealizado5[[#This Row],[Conta]],'Plano de Contas'!A:A,'Plano de Contas'!D:D)</f>
        <v>05 - Custo do Produto</v>
      </c>
    </row>
    <row r="655" spans="1:5" hidden="1" x14ac:dyDescent="0.25">
      <c r="A655" s="23">
        <f t="shared" ref="A655:A718" si="8">EDATE(A515,1)</f>
        <v>43586</v>
      </c>
      <c r="B655" s="5" t="s">
        <v>144</v>
      </c>
      <c r="C655" s="5">
        <v>-157642</v>
      </c>
      <c r="D655" s="5" t="str">
        <f>_xlfn.XLOOKUP(fRealizado5[[#This Row],[Conta]],'Plano de Contas'!A:A,'Plano de Contas'!C:C)</f>
        <v>(-) Custos de Vendas</v>
      </c>
      <c r="E655" s="5" t="str">
        <f>_xlfn.XLOOKUP(fRealizado5[[#This Row],[Conta]],'Plano de Contas'!A:A,'Plano de Contas'!D:D)</f>
        <v>05 - Custo do Produto</v>
      </c>
    </row>
    <row r="656" spans="1:5" hidden="1" x14ac:dyDescent="0.25">
      <c r="A656" s="23">
        <f t="shared" si="8"/>
        <v>43586</v>
      </c>
      <c r="B656" s="5" t="s">
        <v>145</v>
      </c>
      <c r="C656" s="5">
        <v>-119480</v>
      </c>
      <c r="D656" s="5" t="str">
        <f>_xlfn.XLOOKUP(fRealizado5[[#This Row],[Conta]],'Plano de Contas'!A:A,'Plano de Contas'!C:C)</f>
        <v>(-) Custos de Vendas</v>
      </c>
      <c r="E656" s="5" t="str">
        <f>_xlfn.XLOOKUP(fRealizado5[[#This Row],[Conta]],'Plano de Contas'!A:A,'Plano de Contas'!D:D)</f>
        <v>05 - Custo do Produto</v>
      </c>
    </row>
    <row r="657" spans="1:5" hidden="1" x14ac:dyDescent="0.25">
      <c r="A657" s="23">
        <f t="shared" si="8"/>
        <v>43586</v>
      </c>
      <c r="B657" s="5" t="s">
        <v>146</v>
      </c>
      <c r="C657" s="5">
        <v>-92764</v>
      </c>
      <c r="D657" s="5" t="str">
        <f>_xlfn.XLOOKUP(fRealizado5[[#This Row],[Conta]],'Plano de Contas'!A:A,'Plano de Contas'!C:C)</f>
        <v>(-) Custos de Vendas</v>
      </c>
      <c r="E657" s="5" t="str">
        <f>_xlfn.XLOOKUP(fRealizado5[[#This Row],[Conta]],'Plano de Contas'!A:A,'Plano de Contas'!D:D)</f>
        <v>05 - Custo do Produto</v>
      </c>
    </row>
    <row r="658" spans="1:5" hidden="1" x14ac:dyDescent="0.25">
      <c r="A658" s="23">
        <f t="shared" si="8"/>
        <v>43586</v>
      </c>
      <c r="B658" s="5" t="s">
        <v>147</v>
      </c>
      <c r="C658" s="5">
        <v>-196114</v>
      </c>
      <c r="D658" s="5" t="str">
        <f>_xlfn.XLOOKUP(fRealizado5[[#This Row],[Conta]],'Plano de Contas'!A:A,'Plano de Contas'!C:C)</f>
        <v>(-) Custos de Vendas</v>
      </c>
      <c r="E658" s="5" t="str">
        <f>_xlfn.XLOOKUP(fRealizado5[[#This Row],[Conta]],'Plano de Contas'!A:A,'Plano de Contas'!D:D)</f>
        <v>05 - Custo do Produto</v>
      </c>
    </row>
    <row r="659" spans="1:5" hidden="1" x14ac:dyDescent="0.25">
      <c r="A659" s="23">
        <f t="shared" si="8"/>
        <v>43586</v>
      </c>
      <c r="B659" s="5" t="s">
        <v>148</v>
      </c>
      <c r="C659" s="5">
        <v>-177746</v>
      </c>
      <c r="D659" s="5" t="str">
        <f>_xlfn.XLOOKUP(fRealizado5[[#This Row],[Conta]],'Plano de Contas'!A:A,'Plano de Contas'!C:C)</f>
        <v>(-) Custos de Vendas</v>
      </c>
      <c r="E659" s="5" t="str">
        <f>_xlfn.XLOOKUP(fRealizado5[[#This Row],[Conta]],'Plano de Contas'!A:A,'Plano de Contas'!D:D)</f>
        <v>05 - Custo do Produto</v>
      </c>
    </row>
    <row r="660" spans="1:5" hidden="1" x14ac:dyDescent="0.25">
      <c r="A660" s="23">
        <f t="shared" si="8"/>
        <v>43586</v>
      </c>
      <c r="B660" s="5" t="s">
        <v>149</v>
      </c>
      <c r="C660" s="5">
        <v>-266794</v>
      </c>
      <c r="D660" s="5" t="str">
        <f>_xlfn.XLOOKUP(fRealizado5[[#This Row],[Conta]],'Plano de Contas'!A:A,'Plano de Contas'!C:C)</f>
        <v>(-) Custos de Vendas</v>
      </c>
      <c r="E660" s="5" t="str">
        <f>_xlfn.XLOOKUP(fRealizado5[[#This Row],[Conta]],'Plano de Contas'!A:A,'Plano de Contas'!D:D)</f>
        <v>05 - Custo do Produto</v>
      </c>
    </row>
    <row r="661" spans="1:5" hidden="1" x14ac:dyDescent="0.25">
      <c r="A661" s="23">
        <f t="shared" si="8"/>
        <v>43586</v>
      </c>
      <c r="B661" s="5" t="s">
        <v>150</v>
      </c>
      <c r="C661" s="5">
        <v>-286974</v>
      </c>
      <c r="D661" s="5" t="str">
        <f>_xlfn.XLOOKUP(fRealizado5[[#This Row],[Conta]],'Plano de Contas'!A:A,'Plano de Contas'!C:C)</f>
        <v>(-) Custos de Vendas</v>
      </c>
      <c r="E661" s="5" t="str">
        <f>_xlfn.XLOOKUP(fRealizado5[[#This Row],[Conta]],'Plano de Contas'!A:A,'Plano de Contas'!D:D)</f>
        <v>05 - Custo do Produto</v>
      </c>
    </row>
    <row r="662" spans="1:5" hidden="1" x14ac:dyDescent="0.25">
      <c r="A662" s="23">
        <f t="shared" si="8"/>
        <v>43586</v>
      </c>
      <c r="B662" s="5" t="s">
        <v>151</v>
      </c>
      <c r="C662" s="5">
        <v>-196795</v>
      </c>
      <c r="D662" s="5" t="str">
        <f>_xlfn.XLOOKUP(fRealizado5[[#This Row],[Conta]],'Plano de Contas'!A:A,'Plano de Contas'!C:C)</f>
        <v>(-) Custos de Vendas</v>
      </c>
      <c r="E662" s="5" t="str">
        <f>_xlfn.XLOOKUP(fRealizado5[[#This Row],[Conta]],'Plano de Contas'!A:A,'Plano de Contas'!D:D)</f>
        <v>05 - Custo do Produto</v>
      </c>
    </row>
    <row r="663" spans="1:5" hidden="1" x14ac:dyDescent="0.25">
      <c r="A663" s="23">
        <f t="shared" si="8"/>
        <v>43586</v>
      </c>
      <c r="B663" s="5" t="s">
        <v>152</v>
      </c>
      <c r="C663" s="5">
        <v>-198854</v>
      </c>
      <c r="D663" s="5" t="str">
        <f>_xlfn.XLOOKUP(fRealizado5[[#This Row],[Conta]],'Plano de Contas'!A:A,'Plano de Contas'!C:C)</f>
        <v>(-) Custos de Vendas</v>
      </c>
      <c r="E663" s="5" t="str">
        <f>_xlfn.XLOOKUP(fRealizado5[[#This Row],[Conta]],'Plano de Contas'!A:A,'Plano de Contas'!D:D)</f>
        <v>05 - Custo do Produto</v>
      </c>
    </row>
    <row r="664" spans="1:5" hidden="1" x14ac:dyDescent="0.25">
      <c r="A664" s="23">
        <f t="shared" si="8"/>
        <v>43586</v>
      </c>
      <c r="B664" s="5" t="s">
        <v>153</v>
      </c>
      <c r="C664" s="5">
        <v>-268699</v>
      </c>
      <c r="D664" s="5" t="str">
        <f>_xlfn.XLOOKUP(fRealizado5[[#This Row],[Conta]],'Plano de Contas'!A:A,'Plano de Contas'!C:C)</f>
        <v>(-) Custos de Vendas</v>
      </c>
      <c r="E664" s="5" t="str">
        <f>_xlfn.XLOOKUP(fRealizado5[[#This Row],[Conta]],'Plano de Contas'!A:A,'Plano de Contas'!D:D)</f>
        <v>05 - Custo do Produto</v>
      </c>
    </row>
    <row r="665" spans="1:5" hidden="1" x14ac:dyDescent="0.25">
      <c r="A665" s="23">
        <f t="shared" si="8"/>
        <v>43586</v>
      </c>
      <c r="B665" s="5" t="s">
        <v>154</v>
      </c>
      <c r="C665" s="5">
        <v>-287149</v>
      </c>
      <c r="D665" s="5" t="str">
        <f>_xlfn.XLOOKUP(fRealizado5[[#This Row],[Conta]],'Plano de Contas'!A:A,'Plano de Contas'!C:C)</f>
        <v>(-) Custos de Vendas</v>
      </c>
      <c r="E665" s="5" t="str">
        <f>_xlfn.XLOOKUP(fRealizado5[[#This Row],[Conta]],'Plano de Contas'!A:A,'Plano de Contas'!D:D)</f>
        <v>05 - Custo do Produto</v>
      </c>
    </row>
    <row r="666" spans="1:5" hidden="1" x14ac:dyDescent="0.25">
      <c r="A666" s="23">
        <f t="shared" si="8"/>
        <v>43586</v>
      </c>
      <c r="B666" s="5" t="s">
        <v>155</v>
      </c>
      <c r="C666" s="5">
        <v>-155213</v>
      </c>
      <c r="D666" s="5" t="str">
        <f>_xlfn.XLOOKUP(fRealizado5[[#This Row],[Conta]],'Plano de Contas'!A:A,'Plano de Contas'!C:C)</f>
        <v>(-) Custos de Vendas</v>
      </c>
      <c r="E666" s="5" t="str">
        <f>_xlfn.XLOOKUP(fRealizado5[[#This Row],[Conta]],'Plano de Contas'!A:A,'Plano de Contas'!D:D)</f>
        <v>05 - Custo do Produto</v>
      </c>
    </row>
    <row r="667" spans="1:5" hidden="1" x14ac:dyDescent="0.25">
      <c r="A667" s="23">
        <f t="shared" si="8"/>
        <v>43586</v>
      </c>
      <c r="B667" s="5" t="s">
        <v>156</v>
      </c>
      <c r="C667" s="5">
        <v>-255712</v>
      </c>
      <c r="D667" s="5" t="str">
        <f>_xlfn.XLOOKUP(fRealizado5[[#This Row],[Conta]],'Plano de Contas'!A:A,'Plano de Contas'!C:C)</f>
        <v>(-) Custos de Vendas</v>
      </c>
      <c r="E667" s="5" t="str">
        <f>_xlfn.XLOOKUP(fRealizado5[[#This Row],[Conta]],'Plano de Contas'!A:A,'Plano de Contas'!D:D)</f>
        <v>05 - Custo do Produto</v>
      </c>
    </row>
    <row r="668" spans="1:5" hidden="1" x14ac:dyDescent="0.25">
      <c r="A668" s="23">
        <f t="shared" si="8"/>
        <v>43586</v>
      </c>
      <c r="B668" s="5" t="s">
        <v>157</v>
      </c>
      <c r="C668" s="5">
        <v>-229827</v>
      </c>
      <c r="D668" s="5" t="str">
        <f>_xlfn.XLOOKUP(fRealizado5[[#This Row],[Conta]],'Plano de Contas'!A:A,'Plano de Contas'!C:C)</f>
        <v>(-) Custos de Vendas</v>
      </c>
      <c r="E668" s="5" t="str">
        <f>_xlfn.XLOOKUP(fRealizado5[[#This Row],[Conta]],'Plano de Contas'!A:A,'Plano de Contas'!D:D)</f>
        <v>05 - Custo do Produto</v>
      </c>
    </row>
    <row r="669" spans="1:5" hidden="1" x14ac:dyDescent="0.25">
      <c r="A669" s="23">
        <f t="shared" si="8"/>
        <v>43586</v>
      </c>
      <c r="B669" s="5" t="s">
        <v>158</v>
      </c>
      <c r="C669" s="5">
        <v>-255711</v>
      </c>
      <c r="D669" s="5" t="str">
        <f>_xlfn.XLOOKUP(fRealizado5[[#This Row],[Conta]],'Plano de Contas'!A:A,'Plano de Contas'!C:C)</f>
        <v>(-) Custos de Vendas</v>
      </c>
      <c r="E669" s="5" t="str">
        <f>_xlfn.XLOOKUP(fRealizado5[[#This Row],[Conta]],'Plano de Contas'!A:A,'Plano de Contas'!D:D)</f>
        <v>05 - Custo do Produto</v>
      </c>
    </row>
    <row r="670" spans="1:5" hidden="1" x14ac:dyDescent="0.25">
      <c r="A670" s="23">
        <f t="shared" si="8"/>
        <v>43586</v>
      </c>
      <c r="B670" s="5" t="s">
        <v>159</v>
      </c>
      <c r="C670" s="5">
        <v>-267017</v>
      </c>
      <c r="D670" s="5" t="str">
        <f>_xlfn.XLOOKUP(fRealizado5[[#This Row],[Conta]],'Plano de Contas'!A:A,'Plano de Contas'!C:C)</f>
        <v>(-) Custos de Vendas</v>
      </c>
      <c r="E670" s="5" t="str">
        <f>_xlfn.XLOOKUP(fRealizado5[[#This Row],[Conta]],'Plano de Contas'!A:A,'Plano de Contas'!D:D)</f>
        <v>05 - Custo do Produto</v>
      </c>
    </row>
    <row r="671" spans="1:5" hidden="1" x14ac:dyDescent="0.25">
      <c r="A671" s="23">
        <f t="shared" si="8"/>
        <v>43586</v>
      </c>
      <c r="B671" s="5" t="s">
        <v>160</v>
      </c>
      <c r="C671" s="5">
        <v>-125467</v>
      </c>
      <c r="D671" s="5" t="str">
        <f>_xlfn.XLOOKUP(fRealizado5[[#This Row],[Conta]],'Plano de Contas'!A:A,'Plano de Contas'!C:C)</f>
        <v>(-) Custos de Vendas</v>
      </c>
      <c r="E671" s="5" t="str">
        <f>_xlfn.XLOOKUP(fRealizado5[[#This Row],[Conta]],'Plano de Contas'!A:A,'Plano de Contas'!D:D)</f>
        <v>05 - Custo do Produto</v>
      </c>
    </row>
    <row r="672" spans="1:5" hidden="1" x14ac:dyDescent="0.25">
      <c r="A672" s="23">
        <f t="shared" si="8"/>
        <v>43586</v>
      </c>
      <c r="B672" s="5" t="s">
        <v>161</v>
      </c>
      <c r="C672" s="5">
        <v>-251330</v>
      </c>
      <c r="D672" s="5" t="str">
        <f>_xlfn.XLOOKUP(fRealizado5[[#This Row],[Conta]],'Plano de Contas'!A:A,'Plano de Contas'!C:C)</f>
        <v>(-) Custos de Vendas</v>
      </c>
      <c r="E672" s="5" t="str">
        <f>_xlfn.XLOOKUP(fRealizado5[[#This Row],[Conta]],'Plano de Contas'!A:A,'Plano de Contas'!D:D)</f>
        <v>05 - Custo do Produto</v>
      </c>
    </row>
    <row r="673" spans="1:5" hidden="1" x14ac:dyDescent="0.25">
      <c r="A673" s="23">
        <f t="shared" si="8"/>
        <v>43586</v>
      </c>
      <c r="B673" s="5" t="s">
        <v>162</v>
      </c>
      <c r="C673" s="5">
        <v>-219114</v>
      </c>
      <c r="D673" s="5" t="str">
        <f>_xlfn.XLOOKUP(fRealizado5[[#This Row],[Conta]],'Plano de Contas'!A:A,'Plano de Contas'!C:C)</f>
        <v>(-) Custos de Vendas</v>
      </c>
      <c r="E673" s="5" t="str">
        <f>_xlfn.XLOOKUP(fRealizado5[[#This Row],[Conta]],'Plano de Contas'!A:A,'Plano de Contas'!D:D)</f>
        <v>05 - Custo do Produto</v>
      </c>
    </row>
    <row r="674" spans="1:5" hidden="1" x14ac:dyDescent="0.25">
      <c r="A674" s="23">
        <f t="shared" si="8"/>
        <v>43586</v>
      </c>
      <c r="B674" s="5" t="s">
        <v>163</v>
      </c>
      <c r="C674" s="5">
        <v>-263919</v>
      </c>
      <c r="D674" s="5" t="str">
        <f>_xlfn.XLOOKUP(fRealizado5[[#This Row],[Conta]],'Plano de Contas'!A:A,'Plano de Contas'!C:C)</f>
        <v>(-) Custos de Vendas</v>
      </c>
      <c r="E674" s="5" t="str">
        <f>_xlfn.XLOOKUP(fRealizado5[[#This Row],[Conta]],'Plano de Contas'!A:A,'Plano de Contas'!D:D)</f>
        <v>05 - Custo do Produto</v>
      </c>
    </row>
    <row r="675" spans="1:5" hidden="1" x14ac:dyDescent="0.25">
      <c r="A675" s="23">
        <f t="shared" si="8"/>
        <v>43586</v>
      </c>
      <c r="B675" s="5" t="s">
        <v>164</v>
      </c>
      <c r="C675" s="5">
        <v>-85720</v>
      </c>
      <c r="D675" s="5" t="str">
        <f>_xlfn.XLOOKUP(fRealizado5[[#This Row],[Conta]],'Plano de Contas'!A:A,'Plano de Contas'!C:C)</f>
        <v>(-) Custos de Vendas</v>
      </c>
      <c r="E675" s="5" t="str">
        <f>_xlfn.XLOOKUP(fRealizado5[[#This Row],[Conta]],'Plano de Contas'!A:A,'Plano de Contas'!D:D)</f>
        <v>06 - Outros Custos</v>
      </c>
    </row>
    <row r="676" spans="1:5" hidden="1" x14ac:dyDescent="0.25">
      <c r="A676" s="23">
        <f t="shared" si="8"/>
        <v>43586</v>
      </c>
      <c r="B676" s="5" t="s">
        <v>165</v>
      </c>
      <c r="C676" s="5">
        <v>-62835</v>
      </c>
      <c r="D676" s="5" t="str">
        <f>_xlfn.XLOOKUP(fRealizado5[[#This Row],[Conta]],'Plano de Contas'!A:A,'Plano de Contas'!C:C)</f>
        <v>(-) Custos de Vendas</v>
      </c>
      <c r="E676" s="5" t="str">
        <f>_xlfn.XLOOKUP(fRealizado5[[#This Row],[Conta]],'Plano de Contas'!A:A,'Plano de Contas'!D:D)</f>
        <v>06 - Outros Custos</v>
      </c>
    </row>
    <row r="677" spans="1:5" hidden="1" x14ac:dyDescent="0.25">
      <c r="A677" s="23">
        <f t="shared" si="8"/>
        <v>43586</v>
      </c>
      <c r="B677" s="5" t="s">
        <v>166</v>
      </c>
      <c r="C677" s="5">
        <v>-58976</v>
      </c>
      <c r="D677" s="5" t="str">
        <f>_xlfn.XLOOKUP(fRealizado5[[#This Row],[Conta]],'Plano de Contas'!A:A,'Plano de Contas'!C:C)</f>
        <v>(-) Custos de Vendas</v>
      </c>
      <c r="E677" s="5" t="str">
        <f>_xlfn.XLOOKUP(fRealizado5[[#This Row],[Conta]],'Plano de Contas'!A:A,'Plano de Contas'!D:D)</f>
        <v>06 - Outros Custos</v>
      </c>
    </row>
    <row r="678" spans="1:5" hidden="1" x14ac:dyDescent="0.25">
      <c r="A678" s="23">
        <f t="shared" si="8"/>
        <v>43586</v>
      </c>
      <c r="B678" s="5" t="s">
        <v>167</v>
      </c>
      <c r="C678" s="5">
        <v>-314269</v>
      </c>
      <c r="D678" s="5" t="str">
        <f>_xlfn.XLOOKUP(fRealizado5[[#This Row],[Conta]],'Plano de Contas'!A:A,'Plano de Contas'!C:C)</f>
        <v>(-) Despesas Gerais</v>
      </c>
      <c r="E678" s="5" t="str">
        <f>_xlfn.XLOOKUP(fRealizado5[[#This Row],[Conta]],'Plano de Contas'!A:A,'Plano de Contas'!D:D)</f>
        <v>07 - Despesas Administrativas</v>
      </c>
    </row>
    <row r="679" spans="1:5" hidden="1" x14ac:dyDescent="0.25">
      <c r="A679" s="23">
        <f t="shared" si="8"/>
        <v>43586</v>
      </c>
      <c r="B679" s="5" t="s">
        <v>168</v>
      </c>
      <c r="C679" s="5">
        <v>-324711</v>
      </c>
      <c r="D679" s="5" t="str">
        <f>_xlfn.XLOOKUP(fRealizado5[[#This Row],[Conta]],'Plano de Contas'!A:A,'Plano de Contas'!C:C)</f>
        <v>(-) Despesas Gerais</v>
      </c>
      <c r="E679" s="5" t="str">
        <f>_xlfn.XLOOKUP(fRealizado5[[#This Row],[Conta]],'Plano de Contas'!A:A,'Plano de Contas'!D:D)</f>
        <v>07 - Despesas Administrativas</v>
      </c>
    </row>
    <row r="680" spans="1:5" hidden="1" x14ac:dyDescent="0.25">
      <c r="A680" s="23">
        <f t="shared" si="8"/>
        <v>43586</v>
      </c>
      <c r="B680" s="5" t="s">
        <v>169</v>
      </c>
      <c r="C680" s="5">
        <v>-286255</v>
      </c>
      <c r="D680" s="5" t="str">
        <f>_xlfn.XLOOKUP(fRealizado5[[#This Row],[Conta]],'Plano de Contas'!A:A,'Plano de Contas'!C:C)</f>
        <v>(-) Despesas Gerais</v>
      </c>
      <c r="E680" s="5" t="str">
        <f>_xlfn.XLOOKUP(fRealizado5[[#This Row],[Conta]],'Plano de Contas'!A:A,'Plano de Contas'!D:D)</f>
        <v>07 - Despesas Administrativas</v>
      </c>
    </row>
    <row r="681" spans="1:5" hidden="1" x14ac:dyDescent="0.25">
      <c r="A681" s="23">
        <f t="shared" si="8"/>
        <v>43586</v>
      </c>
      <c r="B681" s="5" t="s">
        <v>170</v>
      </c>
      <c r="C681" s="5">
        <v>-387692</v>
      </c>
      <c r="D681" s="5" t="str">
        <f>_xlfn.XLOOKUP(fRealizado5[[#This Row],[Conta]],'Plano de Contas'!A:A,'Plano de Contas'!C:C)</f>
        <v>(-) Despesas Gerais</v>
      </c>
      <c r="E681" s="5" t="str">
        <f>_xlfn.XLOOKUP(fRealizado5[[#This Row],[Conta]],'Plano de Contas'!A:A,'Plano de Contas'!D:D)</f>
        <v>07 - Despesas Administrativas</v>
      </c>
    </row>
    <row r="682" spans="1:5" hidden="1" x14ac:dyDescent="0.25">
      <c r="A682" s="23">
        <f t="shared" si="8"/>
        <v>43586</v>
      </c>
      <c r="B682" s="5" t="s">
        <v>171</v>
      </c>
      <c r="C682" s="5">
        <v>-286677</v>
      </c>
      <c r="D682" s="5" t="str">
        <f>_xlfn.XLOOKUP(fRealizado5[[#This Row],[Conta]],'Plano de Contas'!A:A,'Plano de Contas'!C:C)</f>
        <v>(-) Despesas Gerais</v>
      </c>
      <c r="E682" s="5" t="str">
        <f>_xlfn.XLOOKUP(fRealizado5[[#This Row],[Conta]],'Plano de Contas'!A:A,'Plano de Contas'!D:D)</f>
        <v>07 - Despesas Administrativas</v>
      </c>
    </row>
    <row r="683" spans="1:5" hidden="1" x14ac:dyDescent="0.25">
      <c r="A683" s="23">
        <f t="shared" si="8"/>
        <v>43586</v>
      </c>
      <c r="B683" s="5" t="s">
        <v>172</v>
      </c>
      <c r="C683" s="5">
        <v>-303594</v>
      </c>
      <c r="D683" s="5" t="str">
        <f>_xlfn.XLOOKUP(fRealizado5[[#This Row],[Conta]],'Plano de Contas'!A:A,'Plano de Contas'!C:C)</f>
        <v>(-) Despesas Gerais</v>
      </c>
      <c r="E683" s="5" t="str">
        <f>_xlfn.XLOOKUP(fRealizado5[[#This Row],[Conta]],'Plano de Contas'!A:A,'Plano de Contas'!D:D)</f>
        <v>07 - Despesas Administrativas</v>
      </c>
    </row>
    <row r="684" spans="1:5" hidden="1" x14ac:dyDescent="0.25">
      <c r="A684" s="23">
        <f t="shared" si="8"/>
        <v>43586</v>
      </c>
      <c r="B684" s="5" t="s">
        <v>173</v>
      </c>
      <c r="C684" s="5">
        <v>-49455</v>
      </c>
      <c r="D684" s="5" t="str">
        <f>_xlfn.XLOOKUP(fRealizado5[[#This Row],[Conta]],'Plano de Contas'!A:A,'Plano de Contas'!C:C)</f>
        <v>(-) Despesas Gerais</v>
      </c>
      <c r="E684" s="5" t="str">
        <f>_xlfn.XLOOKUP(fRealizado5[[#This Row],[Conta]],'Plano de Contas'!A:A,'Plano de Contas'!D:D)</f>
        <v>08 - Despesas Financeiras</v>
      </c>
    </row>
    <row r="685" spans="1:5" hidden="1" x14ac:dyDescent="0.25">
      <c r="A685" s="23">
        <f t="shared" si="8"/>
        <v>43586</v>
      </c>
      <c r="B685" s="5" t="s">
        <v>174</v>
      </c>
      <c r="C685" s="5">
        <v>-56338</v>
      </c>
      <c r="D685" s="5" t="str">
        <f>_xlfn.XLOOKUP(fRealizado5[[#This Row],[Conta]],'Plano de Contas'!A:A,'Plano de Contas'!C:C)</f>
        <v>(-) Despesas Gerais</v>
      </c>
      <c r="E685" s="5" t="str">
        <f>_xlfn.XLOOKUP(fRealizado5[[#This Row],[Conta]],'Plano de Contas'!A:A,'Plano de Contas'!D:D)</f>
        <v>08 - Despesas Financeiras</v>
      </c>
    </row>
    <row r="686" spans="1:5" hidden="1" x14ac:dyDescent="0.25">
      <c r="A686" s="23">
        <f t="shared" si="8"/>
        <v>43586</v>
      </c>
      <c r="B686" s="5" t="s">
        <v>175</v>
      </c>
      <c r="C686" s="5">
        <v>-44877</v>
      </c>
      <c r="D686" s="5" t="str">
        <f>_xlfn.XLOOKUP(fRealizado5[[#This Row],[Conta]],'Plano de Contas'!A:A,'Plano de Contas'!C:C)</f>
        <v>(-) Despesas Gerais</v>
      </c>
      <c r="E686" s="5" t="str">
        <f>_xlfn.XLOOKUP(fRealizado5[[#This Row],[Conta]],'Plano de Contas'!A:A,'Plano de Contas'!D:D)</f>
        <v>08 - Despesas Financeiras</v>
      </c>
    </row>
    <row r="687" spans="1:5" hidden="1" x14ac:dyDescent="0.25">
      <c r="A687" s="23">
        <f t="shared" si="8"/>
        <v>43586</v>
      </c>
      <c r="B687" s="5" t="s">
        <v>176</v>
      </c>
      <c r="C687" s="5">
        <v>-50198</v>
      </c>
      <c r="D687" s="5" t="str">
        <f>_xlfn.XLOOKUP(fRealizado5[[#This Row],[Conta]],'Plano de Contas'!A:A,'Plano de Contas'!C:C)</f>
        <v>(-) Despesas Gerais</v>
      </c>
      <c r="E687" s="5" t="str">
        <f>_xlfn.XLOOKUP(fRealizado5[[#This Row],[Conta]],'Plano de Contas'!A:A,'Plano de Contas'!D:D)</f>
        <v>08 - Despesas Financeiras</v>
      </c>
    </row>
    <row r="688" spans="1:5" hidden="1" x14ac:dyDescent="0.25">
      <c r="A688" s="23">
        <f t="shared" si="8"/>
        <v>43586</v>
      </c>
      <c r="B688" s="5" t="s">
        <v>177</v>
      </c>
      <c r="C688" s="5">
        <v>-56652</v>
      </c>
      <c r="D688" s="5" t="str">
        <f>_xlfn.XLOOKUP(fRealizado5[[#This Row],[Conta]],'Plano de Contas'!A:A,'Plano de Contas'!C:C)</f>
        <v>(-) Despesas Gerais</v>
      </c>
      <c r="E688" s="5" t="str">
        <f>_xlfn.XLOOKUP(fRealizado5[[#This Row],[Conta]],'Plano de Contas'!A:A,'Plano de Contas'!D:D)</f>
        <v>08 - Despesas Financeiras</v>
      </c>
    </row>
    <row r="689" spans="1:5" hidden="1" x14ac:dyDescent="0.25">
      <c r="A689" s="23">
        <f t="shared" si="8"/>
        <v>43586</v>
      </c>
      <c r="B689" s="5" t="s">
        <v>178</v>
      </c>
      <c r="C689" s="5">
        <v>-201405</v>
      </c>
      <c r="D689" s="5" t="str">
        <f>_xlfn.XLOOKUP(fRealizado5[[#This Row],[Conta]],'Plano de Contas'!A:A,'Plano de Contas'!C:C)</f>
        <v>(-) Despesas Gerais</v>
      </c>
      <c r="E689" s="5" t="str">
        <f>_xlfn.XLOOKUP(fRealizado5[[#This Row],[Conta]],'Plano de Contas'!A:A,'Plano de Contas'!D:D)</f>
        <v>09 - Tecnologia da Informação</v>
      </c>
    </row>
    <row r="690" spans="1:5" hidden="1" x14ac:dyDescent="0.25">
      <c r="A690" s="23">
        <f t="shared" si="8"/>
        <v>43586</v>
      </c>
      <c r="B690" s="5" t="s">
        <v>179</v>
      </c>
      <c r="C690" s="5">
        <v>-187763</v>
      </c>
      <c r="D690" s="5" t="str">
        <f>_xlfn.XLOOKUP(fRealizado5[[#This Row],[Conta]],'Plano de Contas'!A:A,'Plano de Contas'!C:C)</f>
        <v>(-) Despesas Gerais</v>
      </c>
      <c r="E690" s="5" t="str">
        <f>_xlfn.XLOOKUP(fRealizado5[[#This Row],[Conta]],'Plano de Contas'!A:A,'Plano de Contas'!D:D)</f>
        <v>09 - Tecnologia da Informação</v>
      </c>
    </row>
    <row r="691" spans="1:5" hidden="1" x14ac:dyDescent="0.25">
      <c r="A691" s="23">
        <f t="shared" si="8"/>
        <v>43586</v>
      </c>
      <c r="B691" s="5" t="s">
        <v>180</v>
      </c>
      <c r="C691" s="5">
        <v>-207849</v>
      </c>
      <c r="D691" s="5" t="str">
        <f>_xlfn.XLOOKUP(fRealizado5[[#This Row],[Conta]],'Plano de Contas'!A:A,'Plano de Contas'!C:C)</f>
        <v>(-) Despesas Gerais</v>
      </c>
      <c r="E691" s="5" t="str">
        <f>_xlfn.XLOOKUP(fRealizado5[[#This Row],[Conta]],'Plano de Contas'!A:A,'Plano de Contas'!D:D)</f>
        <v>09 - Tecnologia da Informação</v>
      </c>
    </row>
    <row r="692" spans="1:5" hidden="1" x14ac:dyDescent="0.25">
      <c r="A692" s="23">
        <f t="shared" si="8"/>
        <v>43586</v>
      </c>
      <c r="B692" s="5" t="s">
        <v>181</v>
      </c>
      <c r="C692" s="5">
        <v>-79411</v>
      </c>
      <c r="D692" s="5" t="str">
        <f>_xlfn.XLOOKUP(fRealizado5[[#This Row],[Conta]],'Plano de Contas'!A:A,'Plano de Contas'!C:C)</f>
        <v>(-) Despesas Gerais</v>
      </c>
      <c r="E692" s="5" t="str">
        <f>_xlfn.XLOOKUP(fRealizado5[[#This Row],[Conta]],'Plano de Contas'!A:A,'Plano de Contas'!D:D)</f>
        <v>10 - Recursos Humanos</v>
      </c>
    </row>
    <row r="693" spans="1:5" hidden="1" x14ac:dyDescent="0.25">
      <c r="A693" s="23">
        <f t="shared" si="8"/>
        <v>43586</v>
      </c>
      <c r="B693" s="5" t="s">
        <v>182</v>
      </c>
      <c r="C693" s="5">
        <v>-66860</v>
      </c>
      <c r="D693" s="5" t="str">
        <f>_xlfn.XLOOKUP(fRealizado5[[#This Row],[Conta]],'Plano de Contas'!A:A,'Plano de Contas'!C:C)</f>
        <v>(-) Despesas Gerais</v>
      </c>
      <c r="E693" s="5" t="str">
        <f>_xlfn.XLOOKUP(fRealizado5[[#This Row],[Conta]],'Plano de Contas'!A:A,'Plano de Contas'!D:D)</f>
        <v>10 - Recursos Humanos</v>
      </c>
    </row>
    <row r="694" spans="1:5" hidden="1" x14ac:dyDescent="0.25">
      <c r="A694" s="23">
        <f t="shared" si="8"/>
        <v>43586</v>
      </c>
      <c r="B694" s="5" t="s">
        <v>183</v>
      </c>
      <c r="C694" s="5">
        <v>-54229</v>
      </c>
      <c r="D694" s="5" t="str">
        <f>_xlfn.XLOOKUP(fRealizado5[[#This Row],[Conta]],'Plano de Contas'!A:A,'Plano de Contas'!C:C)</f>
        <v>(-) Despesas Gerais</v>
      </c>
      <c r="E694" s="5" t="str">
        <f>_xlfn.XLOOKUP(fRealizado5[[#This Row],[Conta]],'Plano de Contas'!A:A,'Plano de Contas'!D:D)</f>
        <v>10 - Recursos Humanos</v>
      </c>
    </row>
    <row r="695" spans="1:5" hidden="1" x14ac:dyDescent="0.25">
      <c r="A695" s="23">
        <f t="shared" si="8"/>
        <v>43586</v>
      </c>
      <c r="B695" s="5" t="s">
        <v>184</v>
      </c>
      <c r="C695" s="5">
        <v>-73145</v>
      </c>
      <c r="D695" s="5" t="str">
        <f>_xlfn.XLOOKUP(fRealizado5[[#This Row],[Conta]],'Plano de Contas'!A:A,'Plano de Contas'!C:C)</f>
        <v>(-) Despesas Gerais</v>
      </c>
      <c r="E695" s="5" t="str">
        <f>_xlfn.XLOOKUP(fRealizado5[[#This Row],[Conta]],'Plano de Contas'!A:A,'Plano de Contas'!D:D)</f>
        <v>10 - Recursos Humanos</v>
      </c>
    </row>
    <row r="696" spans="1:5" hidden="1" x14ac:dyDescent="0.25">
      <c r="A696" s="23">
        <f t="shared" si="8"/>
        <v>43586</v>
      </c>
      <c r="B696" s="5" t="s">
        <v>185</v>
      </c>
      <c r="C696" s="5">
        <v>-95443</v>
      </c>
      <c r="D696" s="5" t="str">
        <f>_xlfn.XLOOKUP(fRealizado5[[#This Row],[Conta]],'Plano de Contas'!A:A,'Plano de Contas'!C:C)</f>
        <v>(-) Despesas Gerais</v>
      </c>
      <c r="E696" s="5" t="str">
        <f>_xlfn.XLOOKUP(fRealizado5[[#This Row],[Conta]],'Plano de Contas'!A:A,'Plano de Contas'!D:D)</f>
        <v>11 - Relacionamento com Cliente</v>
      </c>
    </row>
    <row r="697" spans="1:5" hidden="1" x14ac:dyDescent="0.25">
      <c r="A697" s="23">
        <f t="shared" si="8"/>
        <v>43586</v>
      </c>
      <c r="B697" s="5" t="s">
        <v>186</v>
      </c>
      <c r="C697" s="5">
        <v>-101801</v>
      </c>
      <c r="D697" s="5" t="str">
        <f>_xlfn.XLOOKUP(fRealizado5[[#This Row],[Conta]],'Plano de Contas'!A:A,'Plano de Contas'!C:C)</f>
        <v>(-) Despesas Gerais</v>
      </c>
      <c r="E697" s="5" t="str">
        <f>_xlfn.XLOOKUP(fRealizado5[[#This Row],[Conta]],'Plano de Contas'!A:A,'Plano de Contas'!D:D)</f>
        <v>11 - Relacionamento com Cliente</v>
      </c>
    </row>
    <row r="698" spans="1:5" hidden="1" x14ac:dyDescent="0.25">
      <c r="A698" s="23">
        <f t="shared" si="8"/>
        <v>43586</v>
      </c>
      <c r="B698" s="5" t="s">
        <v>187</v>
      </c>
      <c r="C698" s="5">
        <v>-183392</v>
      </c>
      <c r="D698" s="5" t="str">
        <f>_xlfn.XLOOKUP(fRealizado5[[#This Row],[Conta]],'Plano de Contas'!A:A,'Plano de Contas'!C:C)</f>
        <v>(-) Despesas Gerais</v>
      </c>
      <c r="E698" s="5" t="str">
        <f>_xlfn.XLOOKUP(fRealizado5[[#This Row],[Conta]],'Plano de Contas'!A:A,'Plano de Contas'!D:D)</f>
        <v>12 - Marketing e Divulgação</v>
      </c>
    </row>
    <row r="699" spans="1:5" hidden="1" x14ac:dyDescent="0.25">
      <c r="A699" s="23">
        <f t="shared" si="8"/>
        <v>43586</v>
      </c>
      <c r="B699" s="5" t="s">
        <v>188</v>
      </c>
      <c r="C699" s="5">
        <v>-202228</v>
      </c>
      <c r="D699" s="5" t="str">
        <f>_xlfn.XLOOKUP(fRealizado5[[#This Row],[Conta]],'Plano de Contas'!A:A,'Plano de Contas'!C:C)</f>
        <v>(-) Despesas Gerais</v>
      </c>
      <c r="E699" s="5" t="str">
        <f>_xlfn.XLOOKUP(fRealizado5[[#This Row],[Conta]],'Plano de Contas'!A:A,'Plano de Contas'!D:D)</f>
        <v>12 - Marketing e Divulgação</v>
      </c>
    </row>
    <row r="700" spans="1:5" hidden="1" x14ac:dyDescent="0.25">
      <c r="A700" s="23">
        <f t="shared" si="8"/>
        <v>43586</v>
      </c>
      <c r="B700" s="5" t="s">
        <v>189</v>
      </c>
      <c r="C700" s="5">
        <v>-11842</v>
      </c>
      <c r="D700" s="5" t="str">
        <f>_xlfn.XLOOKUP(fRealizado5[[#This Row],[Conta]],'Plano de Contas'!A:A,'Plano de Contas'!C:C)</f>
        <v>(-) Impostos</v>
      </c>
      <c r="E700" s="5" t="str">
        <f>_xlfn.XLOOKUP(fRealizado5[[#This Row],[Conta]],'Plano de Contas'!A:A,'Plano de Contas'!D:D)</f>
        <v>13 - Impostos Estaduais</v>
      </c>
    </row>
    <row r="701" spans="1:5" hidden="1" x14ac:dyDescent="0.25">
      <c r="A701" s="23">
        <f t="shared" si="8"/>
        <v>43586</v>
      </c>
      <c r="B701" s="5" t="s">
        <v>190</v>
      </c>
      <c r="C701" s="5">
        <v>-21129</v>
      </c>
      <c r="D701" s="5" t="str">
        <f>_xlfn.XLOOKUP(fRealizado5[[#This Row],[Conta]],'Plano de Contas'!A:A,'Plano de Contas'!C:C)</f>
        <v>(-) Impostos</v>
      </c>
      <c r="E701" s="5" t="str">
        <f>_xlfn.XLOOKUP(fRealizado5[[#This Row],[Conta]],'Plano de Contas'!A:A,'Plano de Contas'!D:D)</f>
        <v>14 - Impostos Federais</v>
      </c>
    </row>
    <row r="702" spans="1:5" hidden="1" x14ac:dyDescent="0.25">
      <c r="A702" s="23">
        <f t="shared" si="8"/>
        <v>43617</v>
      </c>
      <c r="B702" s="5" t="s">
        <v>51</v>
      </c>
      <c r="C702" s="5">
        <v>300237</v>
      </c>
      <c r="D702" s="5" t="str">
        <f>_xlfn.XLOOKUP(fRealizado5[[#This Row],[Conta]],'Plano de Contas'!A:A,'Plano de Contas'!C:C)</f>
        <v>(+) RECEITA BRUTA</v>
      </c>
      <c r="E702" s="5" t="str">
        <f>_xlfn.XLOOKUP(fRealizado5[[#This Row],[Conta]],'Plano de Contas'!A:A,'Plano de Contas'!D:D)</f>
        <v>01 - Vendas de Produtos</v>
      </c>
    </row>
    <row r="703" spans="1:5" hidden="1" x14ac:dyDescent="0.25">
      <c r="A703" s="23">
        <f t="shared" si="8"/>
        <v>43617</v>
      </c>
      <c r="B703" s="5" t="s">
        <v>52</v>
      </c>
      <c r="C703" s="5">
        <v>997112</v>
      </c>
      <c r="D703" s="5" t="str">
        <f>_xlfn.XLOOKUP(fRealizado5[[#This Row],[Conta]],'Plano de Contas'!A:A,'Plano de Contas'!C:C)</f>
        <v>(+) RECEITA BRUTA</v>
      </c>
      <c r="E703" s="5" t="str">
        <f>_xlfn.XLOOKUP(fRealizado5[[#This Row],[Conta]],'Plano de Contas'!A:A,'Plano de Contas'!D:D)</f>
        <v>01 - Vendas de Produtos</v>
      </c>
    </row>
    <row r="704" spans="1:5" hidden="1" x14ac:dyDescent="0.25">
      <c r="A704" s="23">
        <f t="shared" si="8"/>
        <v>43617</v>
      </c>
      <c r="B704" s="5" t="s">
        <v>53</v>
      </c>
      <c r="C704" s="5">
        <v>203790</v>
      </c>
      <c r="D704" s="5" t="str">
        <f>_xlfn.XLOOKUP(fRealizado5[[#This Row],[Conta]],'Plano de Contas'!A:A,'Plano de Contas'!C:C)</f>
        <v>(+) RECEITA BRUTA</v>
      </c>
      <c r="E704" s="5" t="str">
        <f>_xlfn.XLOOKUP(fRealizado5[[#This Row],[Conta]],'Plano de Contas'!A:A,'Plano de Contas'!D:D)</f>
        <v>01 - Vendas de Produtos</v>
      </c>
    </row>
    <row r="705" spans="1:5" hidden="1" x14ac:dyDescent="0.25">
      <c r="A705" s="23">
        <f t="shared" si="8"/>
        <v>43617</v>
      </c>
      <c r="B705" s="5" t="s">
        <v>54</v>
      </c>
      <c r="C705" s="5">
        <v>389233</v>
      </c>
      <c r="D705" s="5" t="str">
        <f>_xlfn.XLOOKUP(fRealizado5[[#This Row],[Conta]],'Plano de Contas'!A:A,'Plano de Contas'!C:C)</f>
        <v>(+) RECEITA BRUTA</v>
      </c>
      <c r="E705" s="5" t="str">
        <f>_xlfn.XLOOKUP(fRealizado5[[#This Row],[Conta]],'Plano de Contas'!A:A,'Plano de Contas'!D:D)</f>
        <v>01 - Vendas de Produtos</v>
      </c>
    </row>
    <row r="706" spans="1:5" hidden="1" x14ac:dyDescent="0.25">
      <c r="A706" s="23">
        <f t="shared" si="8"/>
        <v>43617</v>
      </c>
      <c r="B706" s="5" t="s">
        <v>55</v>
      </c>
      <c r="C706" s="5">
        <v>904866</v>
      </c>
      <c r="D706" s="5" t="str">
        <f>_xlfn.XLOOKUP(fRealizado5[[#This Row],[Conta]],'Plano de Contas'!A:A,'Plano de Contas'!C:C)</f>
        <v>(+) RECEITA BRUTA</v>
      </c>
      <c r="E706" s="5" t="str">
        <f>_xlfn.XLOOKUP(fRealizado5[[#This Row],[Conta]],'Plano de Contas'!A:A,'Plano de Contas'!D:D)</f>
        <v>01 - Vendas de Produtos</v>
      </c>
    </row>
    <row r="707" spans="1:5" hidden="1" x14ac:dyDescent="0.25">
      <c r="A707" s="23">
        <f t="shared" si="8"/>
        <v>43617</v>
      </c>
      <c r="B707" s="5" t="s">
        <v>56</v>
      </c>
      <c r="C707" s="5">
        <v>325638</v>
      </c>
      <c r="D707" s="5" t="str">
        <f>_xlfn.XLOOKUP(fRealizado5[[#This Row],[Conta]],'Plano de Contas'!A:A,'Plano de Contas'!C:C)</f>
        <v>(+) RECEITA BRUTA</v>
      </c>
      <c r="E707" s="5" t="str">
        <f>_xlfn.XLOOKUP(fRealizado5[[#This Row],[Conta]],'Plano de Contas'!A:A,'Plano de Contas'!D:D)</f>
        <v>01 - Vendas de Produtos</v>
      </c>
    </row>
    <row r="708" spans="1:5" hidden="1" x14ac:dyDescent="0.25">
      <c r="A708" s="23">
        <f t="shared" si="8"/>
        <v>43617</v>
      </c>
      <c r="B708" s="5" t="s">
        <v>57</v>
      </c>
      <c r="C708" s="5">
        <v>961076</v>
      </c>
      <c r="D708" s="5" t="str">
        <f>_xlfn.XLOOKUP(fRealizado5[[#This Row],[Conta]],'Plano de Contas'!A:A,'Plano de Contas'!C:C)</f>
        <v>(+) RECEITA BRUTA</v>
      </c>
      <c r="E708" s="5" t="str">
        <f>_xlfn.XLOOKUP(fRealizado5[[#This Row],[Conta]],'Plano de Contas'!A:A,'Plano de Contas'!D:D)</f>
        <v>01 - Vendas de Produtos</v>
      </c>
    </row>
    <row r="709" spans="1:5" hidden="1" x14ac:dyDescent="0.25">
      <c r="A709" s="23">
        <f t="shared" si="8"/>
        <v>43617</v>
      </c>
      <c r="B709" s="5" t="s">
        <v>58</v>
      </c>
      <c r="C709" s="5">
        <v>637371</v>
      </c>
      <c r="D709" s="5" t="str">
        <f>_xlfn.XLOOKUP(fRealizado5[[#This Row],[Conta]],'Plano de Contas'!A:A,'Plano de Contas'!C:C)</f>
        <v>(+) RECEITA BRUTA</v>
      </c>
      <c r="E709" s="5" t="str">
        <f>_xlfn.XLOOKUP(fRealizado5[[#This Row],[Conta]],'Plano de Contas'!A:A,'Plano de Contas'!D:D)</f>
        <v>01 - Vendas de Produtos</v>
      </c>
    </row>
    <row r="710" spans="1:5" hidden="1" x14ac:dyDescent="0.25">
      <c r="A710" s="23">
        <f t="shared" si="8"/>
        <v>43617</v>
      </c>
      <c r="B710" s="5" t="s">
        <v>59</v>
      </c>
      <c r="C710" s="5">
        <v>934845</v>
      </c>
      <c r="D710" s="5" t="str">
        <f>_xlfn.XLOOKUP(fRealizado5[[#This Row],[Conta]],'Plano de Contas'!A:A,'Plano de Contas'!C:C)</f>
        <v>(+) RECEITA BRUTA</v>
      </c>
      <c r="E710" s="5" t="str">
        <f>_xlfn.XLOOKUP(fRealizado5[[#This Row],[Conta]],'Plano de Contas'!A:A,'Plano de Contas'!D:D)</f>
        <v>01 - Vendas de Produtos</v>
      </c>
    </row>
    <row r="711" spans="1:5" hidden="1" x14ac:dyDescent="0.25">
      <c r="A711" s="23">
        <f t="shared" si="8"/>
        <v>43617</v>
      </c>
      <c r="B711" s="5" t="s">
        <v>60</v>
      </c>
      <c r="C711" s="5">
        <v>331834</v>
      </c>
      <c r="D711" s="5" t="str">
        <f>_xlfn.XLOOKUP(fRealizado5[[#This Row],[Conta]],'Plano de Contas'!A:A,'Plano de Contas'!C:C)</f>
        <v>(+) RECEITA BRUTA</v>
      </c>
      <c r="E711" s="5" t="str">
        <f>_xlfn.XLOOKUP(fRealizado5[[#This Row],[Conta]],'Plano de Contas'!A:A,'Plano de Contas'!D:D)</f>
        <v>01 - Vendas de Produtos</v>
      </c>
    </row>
    <row r="712" spans="1:5" hidden="1" x14ac:dyDescent="0.25">
      <c r="A712" s="23">
        <f t="shared" si="8"/>
        <v>43617</v>
      </c>
      <c r="B712" s="5" t="s">
        <v>61</v>
      </c>
      <c r="C712" s="5">
        <v>566766</v>
      </c>
      <c r="D712" s="5" t="str">
        <f>_xlfn.XLOOKUP(fRealizado5[[#This Row],[Conta]],'Plano de Contas'!A:A,'Plano de Contas'!C:C)</f>
        <v>(+) RECEITA BRUTA</v>
      </c>
      <c r="E712" s="5" t="str">
        <f>_xlfn.XLOOKUP(fRealizado5[[#This Row],[Conta]],'Plano de Contas'!A:A,'Plano de Contas'!D:D)</f>
        <v>01 - Vendas de Produtos</v>
      </c>
    </row>
    <row r="713" spans="1:5" hidden="1" x14ac:dyDescent="0.25">
      <c r="A713" s="23">
        <f t="shared" si="8"/>
        <v>43617</v>
      </c>
      <c r="B713" s="5" t="s">
        <v>62</v>
      </c>
      <c r="C713" s="5">
        <v>347337</v>
      </c>
      <c r="D713" s="5" t="str">
        <f>_xlfn.XLOOKUP(fRealizado5[[#This Row],[Conta]],'Plano de Contas'!A:A,'Plano de Contas'!C:C)</f>
        <v>(+) RECEITA BRUTA</v>
      </c>
      <c r="E713" s="5" t="str">
        <f>_xlfn.XLOOKUP(fRealizado5[[#This Row],[Conta]],'Plano de Contas'!A:A,'Plano de Contas'!D:D)</f>
        <v>01 - Vendas de Produtos</v>
      </c>
    </row>
    <row r="714" spans="1:5" hidden="1" x14ac:dyDescent="0.25">
      <c r="A714" s="23">
        <f t="shared" si="8"/>
        <v>43617</v>
      </c>
      <c r="B714" s="5" t="s">
        <v>63</v>
      </c>
      <c r="C714" s="5">
        <v>921242</v>
      </c>
      <c r="D714" s="5" t="str">
        <f>_xlfn.XLOOKUP(fRealizado5[[#This Row],[Conta]],'Plano de Contas'!A:A,'Plano de Contas'!C:C)</f>
        <v>(+) RECEITA BRUTA</v>
      </c>
      <c r="E714" s="5" t="str">
        <f>_xlfn.XLOOKUP(fRealizado5[[#This Row],[Conta]],'Plano de Contas'!A:A,'Plano de Contas'!D:D)</f>
        <v>01 - Vendas de Produtos</v>
      </c>
    </row>
    <row r="715" spans="1:5" hidden="1" x14ac:dyDescent="0.25">
      <c r="A715" s="23">
        <f t="shared" si="8"/>
        <v>43617</v>
      </c>
      <c r="B715" s="5" t="s">
        <v>64</v>
      </c>
      <c r="C715" s="5">
        <v>426937</v>
      </c>
      <c r="D715" s="5" t="str">
        <f>_xlfn.XLOOKUP(fRealizado5[[#This Row],[Conta]],'Plano de Contas'!A:A,'Plano de Contas'!C:C)</f>
        <v>(+) RECEITA BRUTA</v>
      </c>
      <c r="E715" s="5" t="str">
        <f>_xlfn.XLOOKUP(fRealizado5[[#This Row],[Conta]],'Plano de Contas'!A:A,'Plano de Contas'!D:D)</f>
        <v>01 - Vendas de Produtos</v>
      </c>
    </row>
    <row r="716" spans="1:5" hidden="1" x14ac:dyDescent="0.25">
      <c r="A716" s="23">
        <f t="shared" si="8"/>
        <v>43617</v>
      </c>
      <c r="B716" s="5" t="s">
        <v>65</v>
      </c>
      <c r="C716" s="5">
        <v>869937</v>
      </c>
      <c r="D716" s="5" t="str">
        <f>_xlfn.XLOOKUP(fRealizado5[[#This Row],[Conta]],'Plano de Contas'!A:A,'Plano de Contas'!C:C)</f>
        <v>(+) RECEITA BRUTA</v>
      </c>
      <c r="E716" s="5" t="str">
        <f>_xlfn.XLOOKUP(fRealizado5[[#This Row],[Conta]],'Plano de Contas'!A:A,'Plano de Contas'!D:D)</f>
        <v>01 - Vendas de Produtos</v>
      </c>
    </row>
    <row r="717" spans="1:5" hidden="1" x14ac:dyDescent="0.25">
      <c r="A717" s="23">
        <f t="shared" si="8"/>
        <v>43617</v>
      </c>
      <c r="B717" s="5" t="s">
        <v>66</v>
      </c>
      <c r="C717" s="5">
        <v>423536</v>
      </c>
      <c r="D717" s="5" t="str">
        <f>_xlfn.XLOOKUP(fRealizado5[[#This Row],[Conta]],'Plano de Contas'!A:A,'Plano de Contas'!C:C)</f>
        <v>(+) RECEITA BRUTA</v>
      </c>
      <c r="E717" s="5" t="str">
        <f>_xlfn.XLOOKUP(fRealizado5[[#This Row],[Conta]],'Plano de Contas'!A:A,'Plano de Contas'!D:D)</f>
        <v>01 - Vendas de Produtos</v>
      </c>
    </row>
    <row r="718" spans="1:5" hidden="1" x14ac:dyDescent="0.25">
      <c r="A718" s="23">
        <f t="shared" si="8"/>
        <v>43617</v>
      </c>
      <c r="B718" s="5" t="s">
        <v>67</v>
      </c>
      <c r="C718" s="5">
        <v>760022</v>
      </c>
      <c r="D718" s="5" t="str">
        <f>_xlfn.XLOOKUP(fRealizado5[[#This Row],[Conta]],'Plano de Contas'!A:A,'Plano de Contas'!C:C)</f>
        <v>(+) RECEITA BRUTA</v>
      </c>
      <c r="E718" s="5" t="str">
        <f>_xlfn.XLOOKUP(fRealizado5[[#This Row],[Conta]],'Plano de Contas'!A:A,'Plano de Contas'!D:D)</f>
        <v>01 - Vendas de Produtos</v>
      </c>
    </row>
    <row r="719" spans="1:5" hidden="1" x14ac:dyDescent="0.25">
      <c r="A719" s="23">
        <f t="shared" ref="A719:A782" si="9">EDATE(A579,1)</f>
        <v>43617</v>
      </c>
      <c r="B719" s="5" t="s">
        <v>68</v>
      </c>
      <c r="C719" s="5">
        <v>283908</v>
      </c>
      <c r="D719" s="5" t="str">
        <f>_xlfn.XLOOKUP(fRealizado5[[#This Row],[Conta]],'Plano de Contas'!A:A,'Plano de Contas'!C:C)</f>
        <v>(+) RECEITA BRUTA</v>
      </c>
      <c r="E719" s="5" t="str">
        <f>_xlfn.XLOOKUP(fRealizado5[[#This Row],[Conta]],'Plano de Contas'!A:A,'Plano de Contas'!D:D)</f>
        <v>01 - Vendas de Produtos</v>
      </c>
    </row>
    <row r="720" spans="1:5" hidden="1" x14ac:dyDescent="0.25">
      <c r="A720" s="23">
        <f t="shared" si="9"/>
        <v>43617</v>
      </c>
      <c r="B720" s="5" t="s">
        <v>69</v>
      </c>
      <c r="C720" s="5">
        <v>747215</v>
      </c>
      <c r="D720" s="5" t="str">
        <f>_xlfn.XLOOKUP(fRealizado5[[#This Row],[Conta]],'Plano de Contas'!A:A,'Plano de Contas'!C:C)</f>
        <v>(+) RECEITA BRUTA</v>
      </c>
      <c r="E720" s="5" t="str">
        <f>_xlfn.XLOOKUP(fRealizado5[[#This Row],[Conta]],'Plano de Contas'!A:A,'Plano de Contas'!D:D)</f>
        <v>01 - Vendas de Produtos</v>
      </c>
    </row>
    <row r="721" spans="1:5" hidden="1" x14ac:dyDescent="0.25">
      <c r="A721" s="23">
        <f t="shared" si="9"/>
        <v>43617</v>
      </c>
      <c r="B721" s="5" t="s">
        <v>70</v>
      </c>
      <c r="C721" s="5">
        <v>321972</v>
      </c>
      <c r="D721" s="5" t="str">
        <f>_xlfn.XLOOKUP(fRealizado5[[#This Row],[Conta]],'Plano de Contas'!A:A,'Plano de Contas'!C:C)</f>
        <v>(+) RECEITA BRUTA</v>
      </c>
      <c r="E721" s="5" t="str">
        <f>_xlfn.XLOOKUP(fRealizado5[[#This Row],[Conta]],'Plano de Contas'!A:A,'Plano de Contas'!D:D)</f>
        <v>01 - Vendas de Produtos</v>
      </c>
    </row>
    <row r="722" spans="1:5" hidden="1" x14ac:dyDescent="0.25">
      <c r="A722" s="23">
        <f t="shared" si="9"/>
        <v>43617</v>
      </c>
      <c r="B722" s="5" t="s">
        <v>71</v>
      </c>
      <c r="C722" s="5">
        <v>722793</v>
      </c>
      <c r="D722" s="5" t="str">
        <f>_xlfn.XLOOKUP(fRealizado5[[#This Row],[Conta]],'Plano de Contas'!A:A,'Plano de Contas'!C:C)</f>
        <v>(+) RECEITA BRUTA</v>
      </c>
      <c r="E722" s="5" t="str">
        <f>_xlfn.XLOOKUP(fRealizado5[[#This Row],[Conta]],'Plano de Contas'!A:A,'Plano de Contas'!D:D)</f>
        <v>01 - Vendas de Produtos</v>
      </c>
    </row>
    <row r="723" spans="1:5" hidden="1" x14ac:dyDescent="0.25">
      <c r="A723" s="23">
        <f t="shared" si="9"/>
        <v>43617</v>
      </c>
      <c r="B723" s="5" t="s">
        <v>72</v>
      </c>
      <c r="C723" s="5">
        <v>582138</v>
      </c>
      <c r="D723" s="5" t="str">
        <f>_xlfn.XLOOKUP(fRealizado5[[#This Row],[Conta]],'Plano de Contas'!A:A,'Plano de Contas'!C:C)</f>
        <v>(+) RECEITA BRUTA</v>
      </c>
      <c r="E723" s="5" t="str">
        <f>_xlfn.XLOOKUP(fRealizado5[[#This Row],[Conta]],'Plano de Contas'!A:A,'Plano de Contas'!D:D)</f>
        <v>01 - Vendas de Produtos</v>
      </c>
    </row>
    <row r="724" spans="1:5" hidden="1" x14ac:dyDescent="0.25">
      <c r="A724" s="23">
        <f t="shared" si="9"/>
        <v>43617</v>
      </c>
      <c r="B724" s="5" t="s">
        <v>73</v>
      </c>
      <c r="C724" s="5">
        <v>121183</v>
      </c>
      <c r="D724" s="5" t="str">
        <f>_xlfn.XLOOKUP(fRealizado5[[#This Row],[Conta]],'Plano de Contas'!A:A,'Plano de Contas'!C:C)</f>
        <v>(+) RECEITA BRUTA</v>
      </c>
      <c r="E724" s="5" t="str">
        <f>_xlfn.XLOOKUP(fRealizado5[[#This Row],[Conta]],'Plano de Contas'!A:A,'Plano de Contas'!D:D)</f>
        <v>01 - Vendas de Produtos</v>
      </c>
    </row>
    <row r="725" spans="1:5" hidden="1" x14ac:dyDescent="0.25">
      <c r="A725" s="23">
        <f t="shared" si="9"/>
        <v>43617</v>
      </c>
      <c r="B725" s="5" t="s">
        <v>74</v>
      </c>
      <c r="C725" s="5">
        <v>280768</v>
      </c>
      <c r="D725" s="5" t="str">
        <f>_xlfn.XLOOKUP(fRealizado5[[#This Row],[Conta]],'Plano de Contas'!A:A,'Plano de Contas'!C:C)</f>
        <v>(+) RECEITA BRUTA</v>
      </c>
      <c r="E725" s="5" t="str">
        <f>_xlfn.XLOOKUP(fRealizado5[[#This Row],[Conta]],'Plano de Contas'!A:A,'Plano de Contas'!D:D)</f>
        <v>01 - Vendas de Produtos</v>
      </c>
    </row>
    <row r="726" spans="1:5" hidden="1" x14ac:dyDescent="0.25">
      <c r="A726" s="23">
        <f t="shared" si="9"/>
        <v>43617</v>
      </c>
      <c r="B726" s="5" t="s">
        <v>75</v>
      </c>
      <c r="C726" s="5">
        <v>277497</v>
      </c>
      <c r="D726" s="5" t="str">
        <f>_xlfn.XLOOKUP(fRealizado5[[#This Row],[Conta]],'Plano de Contas'!A:A,'Plano de Contas'!C:C)</f>
        <v>(+) RECEITA BRUTA</v>
      </c>
      <c r="E726" s="5" t="str">
        <f>_xlfn.XLOOKUP(fRealizado5[[#This Row],[Conta]],'Plano de Contas'!A:A,'Plano de Contas'!D:D)</f>
        <v>02 - Outras Receitas</v>
      </c>
    </row>
    <row r="727" spans="1:5" hidden="1" x14ac:dyDescent="0.25">
      <c r="A727" s="23">
        <f t="shared" si="9"/>
        <v>43617</v>
      </c>
      <c r="B727" s="5" t="s">
        <v>76</v>
      </c>
      <c r="C727" s="5">
        <v>141366</v>
      </c>
      <c r="D727" s="5" t="str">
        <f>_xlfn.XLOOKUP(fRealizado5[[#This Row],[Conta]],'Plano de Contas'!A:A,'Plano de Contas'!C:C)</f>
        <v>(+) RECEITA BRUTA</v>
      </c>
      <c r="E727" s="5" t="str">
        <f>_xlfn.XLOOKUP(fRealizado5[[#This Row],[Conta]],'Plano de Contas'!A:A,'Plano de Contas'!D:D)</f>
        <v>02 - Outras Receitas</v>
      </c>
    </row>
    <row r="728" spans="1:5" hidden="1" x14ac:dyDescent="0.25">
      <c r="A728" s="23">
        <f t="shared" si="9"/>
        <v>43617</v>
      </c>
      <c r="B728" s="5" t="s">
        <v>77</v>
      </c>
      <c r="C728" s="5">
        <v>236147</v>
      </c>
      <c r="D728" s="5" t="str">
        <f>_xlfn.XLOOKUP(fRealizado5[[#This Row],[Conta]],'Plano de Contas'!A:A,'Plano de Contas'!C:C)</f>
        <v>(+) RECEITA BRUTA</v>
      </c>
      <c r="E728" s="5" t="str">
        <f>_xlfn.XLOOKUP(fRealizado5[[#This Row],[Conta]],'Plano de Contas'!A:A,'Plano de Contas'!D:D)</f>
        <v>02 - Outras Receitas</v>
      </c>
    </row>
    <row r="729" spans="1:5" hidden="1" x14ac:dyDescent="0.25">
      <c r="A729" s="23">
        <f t="shared" si="9"/>
        <v>43617</v>
      </c>
      <c r="B729" s="5" t="s">
        <v>78</v>
      </c>
      <c r="C729" s="5">
        <v>194753</v>
      </c>
      <c r="D729" s="5" t="str">
        <f>_xlfn.XLOOKUP(fRealizado5[[#This Row],[Conta]],'Plano de Contas'!A:A,'Plano de Contas'!C:C)</f>
        <v>(+) RECEITA BRUTA</v>
      </c>
      <c r="E729" s="5" t="str">
        <f>_xlfn.XLOOKUP(fRealizado5[[#This Row],[Conta]],'Plano de Contas'!A:A,'Plano de Contas'!D:D)</f>
        <v>02 - Outras Receitas</v>
      </c>
    </row>
    <row r="730" spans="1:5" hidden="1" x14ac:dyDescent="0.25">
      <c r="A730" s="23">
        <f t="shared" si="9"/>
        <v>43617</v>
      </c>
      <c r="B730" s="5" t="s">
        <v>79</v>
      </c>
      <c r="C730" s="5">
        <v>247226</v>
      </c>
      <c r="D730" s="5" t="str">
        <f>_xlfn.XLOOKUP(fRealizado5[[#This Row],[Conta]],'Plano de Contas'!A:A,'Plano de Contas'!C:C)</f>
        <v>(+) RECEITA BRUTA</v>
      </c>
      <c r="E730" s="5" t="str">
        <f>_xlfn.XLOOKUP(fRealizado5[[#This Row],[Conta]],'Plano de Contas'!A:A,'Plano de Contas'!D:D)</f>
        <v>02 - Outras Receitas</v>
      </c>
    </row>
    <row r="731" spans="1:5" hidden="1" x14ac:dyDescent="0.25">
      <c r="A731" s="23">
        <f t="shared" si="9"/>
        <v>43617</v>
      </c>
      <c r="B731" s="5" t="s">
        <v>80</v>
      </c>
      <c r="C731" s="5">
        <v>239550</v>
      </c>
      <c r="D731" s="5" t="str">
        <f>_xlfn.XLOOKUP(fRealizado5[[#This Row],[Conta]],'Plano de Contas'!A:A,'Plano de Contas'!C:C)</f>
        <v>(+) RECEITA BRUTA</v>
      </c>
      <c r="E731" s="5" t="str">
        <f>_xlfn.XLOOKUP(fRealizado5[[#This Row],[Conta]],'Plano de Contas'!A:A,'Plano de Contas'!D:D)</f>
        <v>02 - Outras Receitas</v>
      </c>
    </row>
    <row r="732" spans="1:5" hidden="1" x14ac:dyDescent="0.25">
      <c r="A732" s="23">
        <f t="shared" si="9"/>
        <v>43617</v>
      </c>
      <c r="B732" s="5" t="s">
        <v>81</v>
      </c>
      <c r="C732" s="5">
        <v>168590</v>
      </c>
      <c r="D732" s="5" t="str">
        <f>_xlfn.XLOOKUP(fRealizado5[[#This Row],[Conta]],'Plano de Contas'!A:A,'Plano de Contas'!C:C)</f>
        <v>(+) RECEITA BRUTA</v>
      </c>
      <c r="E732" s="5" t="str">
        <f>_xlfn.XLOOKUP(fRealizado5[[#This Row],[Conta]],'Plano de Contas'!A:A,'Plano de Contas'!D:D)</f>
        <v>02 - Outras Receitas</v>
      </c>
    </row>
    <row r="733" spans="1:5" hidden="1" x14ac:dyDescent="0.25">
      <c r="A733" s="23">
        <f t="shared" si="9"/>
        <v>43617</v>
      </c>
      <c r="B733" s="5" t="s">
        <v>82</v>
      </c>
      <c r="C733" s="5">
        <v>191683</v>
      </c>
      <c r="D733" s="5" t="str">
        <f>_xlfn.XLOOKUP(fRealizado5[[#This Row],[Conta]],'Plano de Contas'!A:A,'Plano de Contas'!C:C)</f>
        <v>(+) RECEITA BRUTA</v>
      </c>
      <c r="E733" s="5" t="str">
        <f>_xlfn.XLOOKUP(fRealizado5[[#This Row],[Conta]],'Plano de Contas'!A:A,'Plano de Contas'!D:D)</f>
        <v>02 - Outras Receitas</v>
      </c>
    </row>
    <row r="734" spans="1:5" hidden="1" x14ac:dyDescent="0.25">
      <c r="A734" s="23">
        <f t="shared" si="9"/>
        <v>43617</v>
      </c>
      <c r="B734" s="5" t="s">
        <v>83</v>
      </c>
      <c r="C734" s="5">
        <v>179101</v>
      </c>
      <c r="D734" s="5" t="str">
        <f>_xlfn.XLOOKUP(fRealizado5[[#This Row],[Conta]],'Plano de Contas'!A:A,'Plano de Contas'!C:C)</f>
        <v>(+) RECEITA BRUTA</v>
      </c>
      <c r="E734" s="5" t="str">
        <f>_xlfn.XLOOKUP(fRealizado5[[#This Row],[Conta]],'Plano de Contas'!A:A,'Plano de Contas'!D:D)</f>
        <v>02 - Outras Receitas</v>
      </c>
    </row>
    <row r="735" spans="1:5" hidden="1" x14ac:dyDescent="0.25">
      <c r="A735" s="23">
        <f t="shared" si="9"/>
        <v>43617</v>
      </c>
      <c r="B735" s="5" t="s">
        <v>84</v>
      </c>
      <c r="C735" s="5">
        <v>164179</v>
      </c>
      <c r="D735" s="5" t="str">
        <f>_xlfn.XLOOKUP(fRealizado5[[#This Row],[Conta]],'Plano de Contas'!A:A,'Plano de Contas'!C:C)</f>
        <v>(+) RECEITA BRUTA</v>
      </c>
      <c r="E735" s="5" t="str">
        <f>_xlfn.XLOOKUP(fRealizado5[[#This Row],[Conta]],'Plano de Contas'!A:A,'Plano de Contas'!D:D)</f>
        <v>02 - Outras Receitas</v>
      </c>
    </row>
    <row r="736" spans="1:5" hidden="1" x14ac:dyDescent="0.25">
      <c r="A736" s="23">
        <f t="shared" si="9"/>
        <v>43617</v>
      </c>
      <c r="B736" s="5" t="s">
        <v>85</v>
      </c>
      <c r="C736" s="5">
        <v>211029</v>
      </c>
      <c r="D736" s="5" t="str">
        <f>_xlfn.XLOOKUP(fRealizado5[[#This Row],[Conta]],'Plano de Contas'!A:A,'Plano de Contas'!C:C)</f>
        <v>(+) RECEITA BRUTA</v>
      </c>
      <c r="E736" s="5" t="str">
        <f>_xlfn.XLOOKUP(fRealizado5[[#This Row],[Conta]],'Plano de Contas'!A:A,'Plano de Contas'!D:D)</f>
        <v>02 - Outras Receitas</v>
      </c>
    </row>
    <row r="737" spans="1:5" hidden="1" x14ac:dyDescent="0.25">
      <c r="A737" s="23">
        <f t="shared" si="9"/>
        <v>43617</v>
      </c>
      <c r="B737" s="5" t="s">
        <v>86</v>
      </c>
      <c r="C737" s="5">
        <v>161668</v>
      </c>
      <c r="D737" s="5" t="str">
        <f>_xlfn.XLOOKUP(fRealizado5[[#This Row],[Conta]],'Plano de Contas'!A:A,'Plano de Contas'!C:C)</f>
        <v>(+) RECEITA BRUTA</v>
      </c>
      <c r="E737" s="5" t="str">
        <f>_xlfn.XLOOKUP(fRealizado5[[#This Row],[Conta]],'Plano de Contas'!A:A,'Plano de Contas'!D:D)</f>
        <v>02 - Outras Receitas</v>
      </c>
    </row>
    <row r="738" spans="1:5" hidden="1" x14ac:dyDescent="0.25">
      <c r="A738" s="23">
        <f t="shared" si="9"/>
        <v>43617</v>
      </c>
      <c r="B738" s="5" t="s">
        <v>87</v>
      </c>
      <c r="C738" s="5">
        <v>140769</v>
      </c>
      <c r="D738" s="5" t="str">
        <f>_xlfn.XLOOKUP(fRealizado5[[#This Row],[Conta]],'Plano de Contas'!A:A,'Plano de Contas'!C:C)</f>
        <v>(+) RECEITA BRUTA</v>
      </c>
      <c r="E738" s="5" t="str">
        <f>_xlfn.XLOOKUP(fRealizado5[[#This Row],[Conta]],'Plano de Contas'!A:A,'Plano de Contas'!D:D)</f>
        <v>02 - Outras Receitas</v>
      </c>
    </row>
    <row r="739" spans="1:5" hidden="1" x14ac:dyDescent="0.25">
      <c r="A739" s="23">
        <f t="shared" si="9"/>
        <v>43617</v>
      </c>
      <c r="B739" s="5" t="s">
        <v>88</v>
      </c>
      <c r="C739" s="5">
        <v>168572</v>
      </c>
      <c r="D739" s="5" t="str">
        <f>_xlfn.XLOOKUP(fRealizado5[[#This Row],[Conta]],'Plano de Contas'!A:A,'Plano de Contas'!C:C)</f>
        <v>(+) RECEITA BRUTA</v>
      </c>
      <c r="E739" s="5" t="str">
        <f>_xlfn.XLOOKUP(fRealizado5[[#This Row],[Conta]],'Plano de Contas'!A:A,'Plano de Contas'!D:D)</f>
        <v>02 - Outras Receitas</v>
      </c>
    </row>
    <row r="740" spans="1:5" hidden="1" x14ac:dyDescent="0.25">
      <c r="A740" s="23">
        <f t="shared" si="9"/>
        <v>43617</v>
      </c>
      <c r="B740" s="5" t="s">
        <v>89</v>
      </c>
      <c r="C740" s="5">
        <v>156970</v>
      </c>
      <c r="D740" s="5" t="str">
        <f>_xlfn.XLOOKUP(fRealizado5[[#This Row],[Conta]],'Plano de Contas'!A:A,'Plano de Contas'!C:C)</f>
        <v>(+) RECEITA BRUTA</v>
      </c>
      <c r="E740" s="5" t="str">
        <f>_xlfn.XLOOKUP(fRealizado5[[#This Row],[Conta]],'Plano de Contas'!A:A,'Plano de Contas'!D:D)</f>
        <v>02 - Outras Receitas</v>
      </c>
    </row>
    <row r="741" spans="1:5" hidden="1" x14ac:dyDescent="0.25">
      <c r="A741" s="23">
        <f t="shared" si="9"/>
        <v>43617</v>
      </c>
      <c r="B741" s="5" t="s">
        <v>90</v>
      </c>
      <c r="C741" s="5">
        <v>58096</v>
      </c>
      <c r="D741" s="5" t="str">
        <f>_xlfn.XLOOKUP(fRealizado5[[#This Row],[Conta]],'Plano de Contas'!A:A,'Plano de Contas'!C:C)</f>
        <v>(+) RECEITA BRUTA</v>
      </c>
      <c r="E741" s="5" t="str">
        <f>_xlfn.XLOOKUP(fRealizado5[[#This Row],[Conta]],'Plano de Contas'!A:A,'Plano de Contas'!D:D)</f>
        <v>02 - Outras Receitas</v>
      </c>
    </row>
    <row r="742" spans="1:5" hidden="1" x14ac:dyDescent="0.25">
      <c r="A742" s="23">
        <f t="shared" si="9"/>
        <v>43617</v>
      </c>
      <c r="B742" s="5" t="s">
        <v>91</v>
      </c>
      <c r="C742" s="5">
        <v>285495</v>
      </c>
      <c r="D742" s="5" t="str">
        <f>_xlfn.XLOOKUP(fRealizado5[[#This Row],[Conta]],'Plano de Contas'!A:A,'Plano de Contas'!C:C)</f>
        <v>(+) RECEITA BRUTA</v>
      </c>
      <c r="E742" s="5" t="str">
        <f>_xlfn.XLOOKUP(fRealizado5[[#This Row],[Conta]],'Plano de Contas'!A:A,'Plano de Contas'!D:D)</f>
        <v>02 - Outras Receitas</v>
      </c>
    </row>
    <row r="743" spans="1:5" hidden="1" x14ac:dyDescent="0.25">
      <c r="A743" s="23">
        <f t="shared" si="9"/>
        <v>43617</v>
      </c>
      <c r="B743" s="5" t="s">
        <v>92</v>
      </c>
      <c r="C743" s="5">
        <v>219284</v>
      </c>
      <c r="D743" s="5" t="str">
        <f>_xlfn.XLOOKUP(fRealizado5[[#This Row],[Conta]],'Plano de Contas'!A:A,'Plano de Contas'!C:C)</f>
        <v>(+) RECEITA BRUTA</v>
      </c>
      <c r="E743" s="5" t="str">
        <f>_xlfn.XLOOKUP(fRealizado5[[#This Row],[Conta]],'Plano de Contas'!A:A,'Plano de Contas'!D:D)</f>
        <v>02 - Outras Receitas</v>
      </c>
    </row>
    <row r="744" spans="1:5" hidden="1" x14ac:dyDescent="0.25">
      <c r="A744" s="23">
        <f t="shared" si="9"/>
        <v>43617</v>
      </c>
      <c r="B744" s="5" t="s">
        <v>93</v>
      </c>
      <c r="C744" s="5">
        <v>73294</v>
      </c>
      <c r="D744" s="5" t="str">
        <f>_xlfn.XLOOKUP(fRealizado5[[#This Row],[Conta]],'Plano de Contas'!A:A,'Plano de Contas'!C:C)</f>
        <v>(+) RECEITA BRUTA</v>
      </c>
      <c r="E744" s="5" t="str">
        <f>_xlfn.XLOOKUP(fRealizado5[[#This Row],[Conta]],'Plano de Contas'!A:A,'Plano de Contas'!D:D)</f>
        <v>02 - Outras Receitas</v>
      </c>
    </row>
    <row r="745" spans="1:5" hidden="1" x14ac:dyDescent="0.25">
      <c r="A745" s="23">
        <f t="shared" si="9"/>
        <v>43617</v>
      </c>
      <c r="B745" s="5" t="s">
        <v>94</v>
      </c>
      <c r="C745" s="5">
        <v>245306</v>
      </c>
      <c r="D745" s="5" t="str">
        <f>_xlfn.XLOOKUP(fRealizado5[[#This Row],[Conta]],'Plano de Contas'!A:A,'Plano de Contas'!C:C)</f>
        <v>(+) RECEITA BRUTA</v>
      </c>
      <c r="E745" s="5" t="str">
        <f>_xlfn.XLOOKUP(fRealizado5[[#This Row],[Conta]],'Plano de Contas'!A:A,'Plano de Contas'!D:D)</f>
        <v>02 - Outras Receitas</v>
      </c>
    </row>
    <row r="746" spans="1:5" hidden="1" x14ac:dyDescent="0.25">
      <c r="A746" s="23">
        <f t="shared" si="9"/>
        <v>43617</v>
      </c>
      <c r="B746" s="5" t="s">
        <v>95</v>
      </c>
      <c r="C746" s="5">
        <v>226726</v>
      </c>
      <c r="D746" s="5" t="str">
        <f>_xlfn.XLOOKUP(fRealizado5[[#This Row],[Conta]],'Plano de Contas'!A:A,'Plano de Contas'!C:C)</f>
        <v>(+) RECEITA BRUTA</v>
      </c>
      <c r="E746" s="5" t="str">
        <f>_xlfn.XLOOKUP(fRealizado5[[#This Row],[Conta]],'Plano de Contas'!A:A,'Plano de Contas'!D:D)</f>
        <v>02 - Outras Receitas</v>
      </c>
    </row>
    <row r="747" spans="1:5" hidden="1" x14ac:dyDescent="0.25">
      <c r="A747" s="23">
        <f t="shared" si="9"/>
        <v>43617</v>
      </c>
      <c r="B747" s="5" t="s">
        <v>96</v>
      </c>
      <c r="C747" s="5">
        <v>168444</v>
      </c>
      <c r="D747" s="5" t="str">
        <f>_xlfn.XLOOKUP(fRealizado5[[#This Row],[Conta]],'Plano de Contas'!A:A,'Plano de Contas'!C:C)</f>
        <v>(+) RECEITA BRUTA</v>
      </c>
      <c r="E747" s="5" t="str">
        <f>_xlfn.XLOOKUP(fRealizado5[[#This Row],[Conta]],'Plano de Contas'!A:A,'Plano de Contas'!D:D)</f>
        <v>02 - Outras Receitas</v>
      </c>
    </row>
    <row r="748" spans="1:5" hidden="1" x14ac:dyDescent="0.25">
      <c r="A748" s="23">
        <f t="shared" si="9"/>
        <v>43617</v>
      </c>
      <c r="B748" s="5" t="s">
        <v>97</v>
      </c>
      <c r="C748" s="5">
        <v>115747</v>
      </c>
      <c r="D748" s="5" t="str">
        <f>_xlfn.XLOOKUP(fRealizado5[[#This Row],[Conta]],'Plano de Contas'!A:A,'Plano de Contas'!C:C)</f>
        <v>(+) RECEITA BRUTA</v>
      </c>
      <c r="E748" s="5" t="str">
        <f>_xlfn.XLOOKUP(fRealizado5[[#This Row],[Conta]],'Plano de Contas'!A:A,'Plano de Contas'!D:D)</f>
        <v>02 - Outras Receitas</v>
      </c>
    </row>
    <row r="749" spans="1:5" hidden="1" x14ac:dyDescent="0.25">
      <c r="A749" s="23">
        <f t="shared" si="9"/>
        <v>43617</v>
      </c>
      <c r="B749" s="5" t="s">
        <v>98</v>
      </c>
      <c r="C749" s="5">
        <v>219379</v>
      </c>
      <c r="D749" s="5" t="str">
        <f>_xlfn.XLOOKUP(fRealizado5[[#This Row],[Conta]],'Plano de Contas'!A:A,'Plano de Contas'!C:C)</f>
        <v>(+) RECEITA BRUTA</v>
      </c>
      <c r="E749" s="5" t="str">
        <f>_xlfn.XLOOKUP(fRealizado5[[#This Row],[Conta]],'Plano de Contas'!A:A,'Plano de Contas'!D:D)</f>
        <v>02 - Outras Receitas</v>
      </c>
    </row>
    <row r="750" spans="1:5" hidden="1" x14ac:dyDescent="0.25">
      <c r="A750" s="23">
        <f t="shared" si="9"/>
        <v>43617</v>
      </c>
      <c r="B750" s="5" t="s">
        <v>99</v>
      </c>
      <c r="C750" s="5">
        <v>214486</v>
      </c>
      <c r="D750" s="5" t="str">
        <f>_xlfn.XLOOKUP(fRealizado5[[#This Row],[Conta]],'Plano de Contas'!A:A,'Plano de Contas'!C:C)</f>
        <v>(+) RECEITA BRUTA</v>
      </c>
      <c r="E750" s="5" t="str">
        <f>_xlfn.XLOOKUP(fRealizado5[[#This Row],[Conta]],'Plano de Contas'!A:A,'Plano de Contas'!D:D)</f>
        <v>02 - Outras Receitas</v>
      </c>
    </row>
    <row r="751" spans="1:5" hidden="1" x14ac:dyDescent="0.25">
      <c r="A751" s="23">
        <f t="shared" si="9"/>
        <v>43617</v>
      </c>
      <c r="B751" s="5" t="s">
        <v>100</v>
      </c>
      <c r="C751" s="5">
        <v>50084</v>
      </c>
      <c r="D751" s="5" t="str">
        <f>_xlfn.XLOOKUP(fRealizado5[[#This Row],[Conta]],'Plano de Contas'!A:A,'Plano de Contas'!C:C)</f>
        <v>(+) RECEITA BRUTA</v>
      </c>
      <c r="E751" s="5" t="str">
        <f>_xlfn.XLOOKUP(fRealizado5[[#This Row],[Conta]],'Plano de Contas'!A:A,'Plano de Contas'!D:D)</f>
        <v>02 - Outras Receitas</v>
      </c>
    </row>
    <row r="752" spans="1:5" hidden="1" x14ac:dyDescent="0.25">
      <c r="A752" s="23">
        <f t="shared" si="9"/>
        <v>43617</v>
      </c>
      <c r="B752" s="5" t="s">
        <v>101</v>
      </c>
      <c r="C752" s="5">
        <v>73248</v>
      </c>
      <c r="D752" s="5" t="str">
        <f>_xlfn.XLOOKUP(fRealizado5[[#This Row],[Conta]],'Plano de Contas'!A:A,'Plano de Contas'!C:C)</f>
        <v>(+) RECEITA BRUTA</v>
      </c>
      <c r="E752" s="5" t="str">
        <f>_xlfn.XLOOKUP(fRealizado5[[#This Row],[Conta]],'Plano de Contas'!A:A,'Plano de Contas'!D:D)</f>
        <v>02 - Outras Receitas</v>
      </c>
    </row>
    <row r="753" spans="1:5" hidden="1" x14ac:dyDescent="0.25">
      <c r="A753" s="23">
        <f t="shared" si="9"/>
        <v>43617</v>
      </c>
      <c r="B753" s="5" t="s">
        <v>102</v>
      </c>
      <c r="C753" s="5">
        <v>177523</v>
      </c>
      <c r="D753" s="5" t="str">
        <f>_xlfn.XLOOKUP(fRealizado5[[#This Row],[Conta]],'Plano de Contas'!A:A,'Plano de Contas'!C:C)</f>
        <v>(+) RECEITA BRUTA</v>
      </c>
      <c r="E753" s="5" t="str">
        <f>_xlfn.XLOOKUP(fRealizado5[[#This Row],[Conta]],'Plano de Contas'!A:A,'Plano de Contas'!D:D)</f>
        <v>02 - Outras Receitas</v>
      </c>
    </row>
    <row r="754" spans="1:5" hidden="1" x14ac:dyDescent="0.25">
      <c r="A754" s="23">
        <f t="shared" si="9"/>
        <v>43617</v>
      </c>
      <c r="B754" s="5" t="s">
        <v>103</v>
      </c>
      <c r="C754" s="5">
        <v>127503</v>
      </c>
      <c r="D754" s="5" t="str">
        <f>_xlfn.XLOOKUP(fRealizado5[[#This Row],[Conta]],'Plano de Contas'!A:A,'Plano de Contas'!C:C)</f>
        <v>(+) RECEITA BRUTA</v>
      </c>
      <c r="E754" s="5" t="str">
        <f>_xlfn.XLOOKUP(fRealizado5[[#This Row],[Conta]],'Plano de Contas'!A:A,'Plano de Contas'!D:D)</f>
        <v>02 - Outras Receitas</v>
      </c>
    </row>
    <row r="755" spans="1:5" hidden="1" x14ac:dyDescent="0.25">
      <c r="A755" s="23">
        <f t="shared" si="9"/>
        <v>43617</v>
      </c>
      <c r="B755" s="5" t="s">
        <v>104</v>
      </c>
      <c r="C755" s="5">
        <v>228954</v>
      </c>
      <c r="D755" s="5" t="str">
        <f>_xlfn.XLOOKUP(fRealizado5[[#This Row],[Conta]],'Plano de Contas'!A:A,'Plano de Contas'!C:C)</f>
        <v>(+) RECEITA BRUTA</v>
      </c>
      <c r="E755" s="5" t="str">
        <f>_xlfn.XLOOKUP(fRealizado5[[#This Row],[Conta]],'Plano de Contas'!A:A,'Plano de Contas'!D:D)</f>
        <v>02 - Outras Receitas</v>
      </c>
    </row>
    <row r="756" spans="1:5" hidden="1" x14ac:dyDescent="0.25">
      <c r="A756" s="23">
        <f t="shared" si="9"/>
        <v>43617</v>
      </c>
      <c r="B756" s="5" t="s">
        <v>105</v>
      </c>
      <c r="C756" s="5">
        <v>150720</v>
      </c>
      <c r="D756" s="5" t="str">
        <f>_xlfn.XLOOKUP(fRealizado5[[#This Row],[Conta]],'Plano de Contas'!A:A,'Plano de Contas'!C:C)</f>
        <v>(+) RECEITA BRUTA</v>
      </c>
      <c r="E756" s="5" t="str">
        <f>_xlfn.XLOOKUP(fRealizado5[[#This Row],[Conta]],'Plano de Contas'!A:A,'Plano de Contas'!D:D)</f>
        <v>02 - Outras Receitas</v>
      </c>
    </row>
    <row r="757" spans="1:5" hidden="1" x14ac:dyDescent="0.25">
      <c r="A757" s="23">
        <f t="shared" si="9"/>
        <v>43617</v>
      </c>
      <c r="B757" s="5" t="s">
        <v>106</v>
      </c>
      <c r="C757" s="5">
        <v>271225</v>
      </c>
      <c r="D757" s="5" t="str">
        <f>_xlfn.XLOOKUP(fRealizado5[[#This Row],[Conta]],'Plano de Contas'!A:A,'Plano de Contas'!C:C)</f>
        <v>(+) RECEITA BRUTA</v>
      </c>
      <c r="E757" s="5" t="str">
        <f>_xlfn.XLOOKUP(fRealizado5[[#This Row],[Conta]],'Plano de Contas'!A:A,'Plano de Contas'!D:D)</f>
        <v>02 - Outras Receitas</v>
      </c>
    </row>
    <row r="758" spans="1:5" hidden="1" x14ac:dyDescent="0.25">
      <c r="A758" s="23">
        <f t="shared" si="9"/>
        <v>43617</v>
      </c>
      <c r="B758" s="5" t="s">
        <v>107</v>
      </c>
      <c r="C758" s="5">
        <v>220671</v>
      </c>
      <c r="D758" s="5" t="str">
        <f>_xlfn.XLOOKUP(fRealizado5[[#This Row],[Conta]],'Plano de Contas'!A:A,'Plano de Contas'!C:C)</f>
        <v>(+) RECEITA BRUTA</v>
      </c>
      <c r="E758" s="5" t="str">
        <f>_xlfn.XLOOKUP(fRealizado5[[#This Row],[Conta]],'Plano de Contas'!A:A,'Plano de Contas'!D:D)</f>
        <v>02 - Outras Receitas</v>
      </c>
    </row>
    <row r="759" spans="1:5" hidden="1" x14ac:dyDescent="0.25">
      <c r="A759" s="23">
        <f t="shared" si="9"/>
        <v>43617</v>
      </c>
      <c r="B759" s="5" t="s">
        <v>108</v>
      </c>
      <c r="C759" s="5">
        <v>217502</v>
      </c>
      <c r="D759" s="5" t="str">
        <f>_xlfn.XLOOKUP(fRealizado5[[#This Row],[Conta]],'Plano de Contas'!A:A,'Plano de Contas'!C:C)</f>
        <v>(+) RECEITA BRUTA</v>
      </c>
      <c r="E759" s="5" t="str">
        <f>_xlfn.XLOOKUP(fRealizado5[[#This Row],[Conta]],'Plano de Contas'!A:A,'Plano de Contas'!D:D)</f>
        <v>02 - Outras Receitas</v>
      </c>
    </row>
    <row r="760" spans="1:5" hidden="1" x14ac:dyDescent="0.25">
      <c r="A760" s="23">
        <f t="shared" si="9"/>
        <v>43617</v>
      </c>
      <c r="B760" s="5" t="s">
        <v>109</v>
      </c>
      <c r="C760" s="5">
        <v>202171</v>
      </c>
      <c r="D760" s="5" t="str">
        <f>_xlfn.XLOOKUP(fRealizado5[[#This Row],[Conta]],'Plano de Contas'!A:A,'Plano de Contas'!C:C)</f>
        <v>(+) RECEITA BRUTA</v>
      </c>
      <c r="E760" s="5" t="str">
        <f>_xlfn.XLOOKUP(fRealizado5[[#This Row],[Conta]],'Plano de Contas'!A:A,'Plano de Contas'!D:D)</f>
        <v>02 - Outras Receitas</v>
      </c>
    </row>
    <row r="761" spans="1:5" hidden="1" x14ac:dyDescent="0.25">
      <c r="A761" s="23">
        <f t="shared" si="9"/>
        <v>43617</v>
      </c>
      <c r="B761" s="5" t="s">
        <v>110</v>
      </c>
      <c r="C761" s="5">
        <v>-3309</v>
      </c>
      <c r="D761" s="5" t="str">
        <f>_xlfn.XLOOKUP(fRealizado5[[#This Row],[Conta]],'Plano de Contas'!A:A,'Plano de Contas'!C:C)</f>
        <v>(-) Deduções da Receita</v>
      </c>
      <c r="E761" s="5" t="str">
        <f>_xlfn.XLOOKUP(fRealizado5[[#This Row],[Conta]],'Plano de Contas'!A:A,'Plano de Contas'!D:D)</f>
        <v>03 - Devoluções de Produtos</v>
      </c>
    </row>
    <row r="762" spans="1:5" hidden="1" x14ac:dyDescent="0.25">
      <c r="A762" s="23">
        <f t="shared" si="9"/>
        <v>43617</v>
      </c>
      <c r="B762" s="5" t="s">
        <v>111</v>
      </c>
      <c r="C762" s="5">
        <v>-5007</v>
      </c>
      <c r="D762" s="5" t="str">
        <f>_xlfn.XLOOKUP(fRealizado5[[#This Row],[Conta]],'Plano de Contas'!A:A,'Plano de Contas'!C:C)</f>
        <v>(-) Deduções da Receita</v>
      </c>
      <c r="E762" s="5" t="str">
        <f>_xlfn.XLOOKUP(fRealizado5[[#This Row],[Conta]],'Plano de Contas'!A:A,'Plano de Contas'!D:D)</f>
        <v>03 - Devoluções de Produtos</v>
      </c>
    </row>
    <row r="763" spans="1:5" hidden="1" x14ac:dyDescent="0.25">
      <c r="A763" s="23">
        <f t="shared" si="9"/>
        <v>43617</v>
      </c>
      <c r="B763" s="5" t="s">
        <v>112</v>
      </c>
      <c r="C763" s="5">
        <v>-8067</v>
      </c>
      <c r="D763" s="5" t="str">
        <f>_xlfn.XLOOKUP(fRealizado5[[#This Row],[Conta]],'Plano de Contas'!A:A,'Plano de Contas'!C:C)</f>
        <v>(-) Deduções da Receita</v>
      </c>
      <c r="E763" s="5" t="str">
        <f>_xlfn.XLOOKUP(fRealizado5[[#This Row],[Conta]],'Plano de Contas'!A:A,'Plano de Contas'!D:D)</f>
        <v>03 - Devoluções de Produtos</v>
      </c>
    </row>
    <row r="764" spans="1:5" hidden="1" x14ac:dyDescent="0.25">
      <c r="A764" s="23">
        <f t="shared" si="9"/>
        <v>43617</v>
      </c>
      <c r="B764" s="5" t="s">
        <v>113</v>
      </c>
      <c r="C764" s="5">
        <v>-1853</v>
      </c>
      <c r="D764" s="5" t="str">
        <f>_xlfn.XLOOKUP(fRealizado5[[#This Row],[Conta]],'Plano de Contas'!A:A,'Plano de Contas'!C:C)</f>
        <v>(-) Deduções da Receita</v>
      </c>
      <c r="E764" s="5" t="str">
        <f>_xlfn.XLOOKUP(fRealizado5[[#This Row],[Conta]],'Plano de Contas'!A:A,'Plano de Contas'!D:D)</f>
        <v>03 - Devoluções de Produtos</v>
      </c>
    </row>
    <row r="765" spans="1:5" hidden="1" x14ac:dyDescent="0.25">
      <c r="A765" s="23">
        <f t="shared" si="9"/>
        <v>43617</v>
      </c>
      <c r="B765" s="5" t="s">
        <v>114</v>
      </c>
      <c r="C765" s="5">
        <v>-6832</v>
      </c>
      <c r="D765" s="5" t="str">
        <f>_xlfn.XLOOKUP(fRealizado5[[#This Row],[Conta]],'Plano de Contas'!A:A,'Plano de Contas'!C:C)</f>
        <v>(-) Deduções da Receita</v>
      </c>
      <c r="E765" s="5" t="str">
        <f>_xlfn.XLOOKUP(fRealizado5[[#This Row],[Conta]],'Plano de Contas'!A:A,'Plano de Contas'!D:D)</f>
        <v>03 - Devoluções de Produtos</v>
      </c>
    </row>
    <row r="766" spans="1:5" hidden="1" x14ac:dyDescent="0.25">
      <c r="A766" s="23">
        <f t="shared" si="9"/>
        <v>43617</v>
      </c>
      <c r="B766" s="5" t="s">
        <v>115</v>
      </c>
      <c r="C766" s="5">
        <v>-2799</v>
      </c>
      <c r="D766" s="5" t="str">
        <f>_xlfn.XLOOKUP(fRealizado5[[#This Row],[Conta]],'Plano de Contas'!A:A,'Plano de Contas'!C:C)</f>
        <v>(-) Deduções da Receita</v>
      </c>
      <c r="E766" s="5" t="str">
        <f>_xlfn.XLOOKUP(fRealizado5[[#This Row],[Conta]],'Plano de Contas'!A:A,'Plano de Contas'!D:D)</f>
        <v>03 - Devoluções de Produtos</v>
      </c>
    </row>
    <row r="767" spans="1:5" hidden="1" x14ac:dyDescent="0.25">
      <c r="A767" s="23">
        <f t="shared" si="9"/>
        <v>43617</v>
      </c>
      <c r="B767" s="5" t="s">
        <v>116</v>
      </c>
      <c r="C767" s="5">
        <v>-6898</v>
      </c>
      <c r="D767" s="5" t="str">
        <f>_xlfn.XLOOKUP(fRealizado5[[#This Row],[Conta]],'Plano de Contas'!A:A,'Plano de Contas'!C:C)</f>
        <v>(-) Deduções da Receita</v>
      </c>
      <c r="E767" s="5" t="str">
        <f>_xlfn.XLOOKUP(fRealizado5[[#This Row],[Conta]],'Plano de Contas'!A:A,'Plano de Contas'!D:D)</f>
        <v>03 - Devoluções de Produtos</v>
      </c>
    </row>
    <row r="768" spans="1:5" hidden="1" x14ac:dyDescent="0.25">
      <c r="A768" s="23">
        <f t="shared" si="9"/>
        <v>43617</v>
      </c>
      <c r="B768" s="5" t="s">
        <v>117</v>
      </c>
      <c r="C768" s="5">
        <v>-2222</v>
      </c>
      <c r="D768" s="5" t="str">
        <f>_xlfn.XLOOKUP(fRealizado5[[#This Row],[Conta]],'Plano de Contas'!A:A,'Plano de Contas'!C:C)</f>
        <v>(-) Deduções da Receita</v>
      </c>
      <c r="E768" s="5" t="str">
        <f>_xlfn.XLOOKUP(fRealizado5[[#This Row],[Conta]],'Plano de Contas'!A:A,'Plano de Contas'!D:D)</f>
        <v>03 - Devoluções de Produtos</v>
      </c>
    </row>
    <row r="769" spans="1:5" hidden="1" x14ac:dyDescent="0.25">
      <c r="A769" s="23">
        <f t="shared" si="9"/>
        <v>43617</v>
      </c>
      <c r="B769" s="5" t="s">
        <v>118</v>
      </c>
      <c r="C769" s="5">
        <v>-1546</v>
      </c>
      <c r="D769" s="5" t="str">
        <f>_xlfn.XLOOKUP(fRealizado5[[#This Row],[Conta]],'Plano de Contas'!A:A,'Plano de Contas'!C:C)</f>
        <v>(-) Deduções da Receita</v>
      </c>
      <c r="E769" s="5" t="str">
        <f>_xlfn.XLOOKUP(fRealizado5[[#This Row],[Conta]],'Plano de Contas'!A:A,'Plano de Contas'!D:D)</f>
        <v>03 - Devoluções de Produtos</v>
      </c>
    </row>
    <row r="770" spans="1:5" hidden="1" x14ac:dyDescent="0.25">
      <c r="A770" s="23">
        <f t="shared" si="9"/>
        <v>43617</v>
      </c>
      <c r="B770" s="5" t="s">
        <v>119</v>
      </c>
      <c r="C770" s="5">
        <v>-6545</v>
      </c>
      <c r="D770" s="5" t="str">
        <f>_xlfn.XLOOKUP(fRealizado5[[#This Row],[Conta]],'Plano de Contas'!A:A,'Plano de Contas'!C:C)</f>
        <v>(-) Deduções da Receita</v>
      </c>
      <c r="E770" s="5" t="str">
        <f>_xlfn.XLOOKUP(fRealizado5[[#This Row],[Conta]],'Plano de Contas'!A:A,'Plano de Contas'!D:D)</f>
        <v>03 - Devoluções de Produtos</v>
      </c>
    </row>
    <row r="771" spans="1:5" hidden="1" x14ac:dyDescent="0.25">
      <c r="A771" s="23">
        <f t="shared" si="9"/>
        <v>43617</v>
      </c>
      <c r="B771" s="5" t="s">
        <v>120</v>
      </c>
      <c r="C771" s="5">
        <v>-4240</v>
      </c>
      <c r="D771" s="5" t="str">
        <f>_xlfn.XLOOKUP(fRealizado5[[#This Row],[Conta]],'Plano de Contas'!A:A,'Plano de Contas'!C:C)</f>
        <v>(-) Deduções da Receita</v>
      </c>
      <c r="E771" s="5" t="str">
        <f>_xlfn.XLOOKUP(fRealizado5[[#This Row],[Conta]],'Plano de Contas'!A:A,'Plano de Contas'!D:D)</f>
        <v>03 - Devoluções de Produtos</v>
      </c>
    </row>
    <row r="772" spans="1:5" hidden="1" x14ac:dyDescent="0.25">
      <c r="A772" s="23">
        <f t="shared" si="9"/>
        <v>43617</v>
      </c>
      <c r="B772" s="5" t="s">
        <v>121</v>
      </c>
      <c r="C772" s="5">
        <v>-2961</v>
      </c>
      <c r="D772" s="5" t="str">
        <f>_xlfn.XLOOKUP(fRealizado5[[#This Row],[Conta]],'Plano de Contas'!A:A,'Plano de Contas'!C:C)</f>
        <v>(-) Deduções da Receita</v>
      </c>
      <c r="E772" s="5" t="str">
        <f>_xlfn.XLOOKUP(fRealizado5[[#This Row],[Conta]],'Plano de Contas'!A:A,'Plano de Contas'!D:D)</f>
        <v>03 - Devoluções de Produtos</v>
      </c>
    </row>
    <row r="773" spans="1:5" hidden="1" x14ac:dyDescent="0.25">
      <c r="A773" s="23">
        <f t="shared" si="9"/>
        <v>43617</v>
      </c>
      <c r="B773" s="5" t="s">
        <v>122</v>
      </c>
      <c r="C773" s="5">
        <v>-8426</v>
      </c>
      <c r="D773" s="5" t="str">
        <f>_xlfn.XLOOKUP(fRealizado5[[#This Row],[Conta]],'Plano de Contas'!A:A,'Plano de Contas'!C:C)</f>
        <v>(-) Deduções da Receita</v>
      </c>
      <c r="E773" s="5" t="str">
        <f>_xlfn.XLOOKUP(fRealizado5[[#This Row],[Conta]],'Plano de Contas'!A:A,'Plano de Contas'!D:D)</f>
        <v>03 - Devoluções de Produtos</v>
      </c>
    </row>
    <row r="774" spans="1:5" hidden="1" x14ac:dyDescent="0.25">
      <c r="A774" s="23">
        <f t="shared" si="9"/>
        <v>43617</v>
      </c>
      <c r="B774" s="5" t="s">
        <v>123</v>
      </c>
      <c r="C774" s="5">
        <v>-8460</v>
      </c>
      <c r="D774" s="5" t="str">
        <f>_xlfn.XLOOKUP(fRealizado5[[#This Row],[Conta]],'Plano de Contas'!A:A,'Plano de Contas'!C:C)</f>
        <v>(-) Deduções da Receita</v>
      </c>
      <c r="E774" s="5" t="str">
        <f>_xlfn.XLOOKUP(fRealizado5[[#This Row],[Conta]],'Plano de Contas'!A:A,'Plano de Contas'!D:D)</f>
        <v>03 - Devoluções de Produtos</v>
      </c>
    </row>
    <row r="775" spans="1:5" hidden="1" x14ac:dyDescent="0.25">
      <c r="A775" s="23">
        <f t="shared" si="9"/>
        <v>43617</v>
      </c>
      <c r="B775" s="5" t="s">
        <v>124</v>
      </c>
      <c r="C775" s="5">
        <v>-1624</v>
      </c>
      <c r="D775" s="5" t="str">
        <f>_xlfn.XLOOKUP(fRealizado5[[#This Row],[Conta]],'Plano de Contas'!A:A,'Plano de Contas'!C:C)</f>
        <v>(-) Deduções da Receita</v>
      </c>
      <c r="E775" s="5" t="str">
        <f>_xlfn.XLOOKUP(fRealizado5[[#This Row],[Conta]],'Plano de Contas'!A:A,'Plano de Contas'!D:D)</f>
        <v>03 - Devoluções de Produtos</v>
      </c>
    </row>
    <row r="776" spans="1:5" hidden="1" x14ac:dyDescent="0.25">
      <c r="A776" s="23">
        <f t="shared" si="9"/>
        <v>43617</v>
      </c>
      <c r="B776" s="5" t="s">
        <v>125</v>
      </c>
      <c r="C776" s="5">
        <v>-6480</v>
      </c>
      <c r="D776" s="5" t="str">
        <f>_xlfn.XLOOKUP(fRealizado5[[#This Row],[Conta]],'Plano de Contas'!A:A,'Plano de Contas'!C:C)</f>
        <v>(-) Deduções da Receita</v>
      </c>
      <c r="E776" s="5" t="str">
        <f>_xlfn.XLOOKUP(fRealizado5[[#This Row],[Conta]],'Plano de Contas'!A:A,'Plano de Contas'!D:D)</f>
        <v>03 - Devoluções de Produtos</v>
      </c>
    </row>
    <row r="777" spans="1:5" hidden="1" x14ac:dyDescent="0.25">
      <c r="A777" s="23">
        <f t="shared" si="9"/>
        <v>43617</v>
      </c>
      <c r="B777" s="5" t="s">
        <v>126</v>
      </c>
      <c r="C777" s="5">
        <v>-2742</v>
      </c>
      <c r="D777" s="5" t="str">
        <f>_xlfn.XLOOKUP(fRealizado5[[#This Row],[Conta]],'Plano de Contas'!A:A,'Plano de Contas'!C:C)</f>
        <v>(-) Deduções da Receita</v>
      </c>
      <c r="E777" s="5" t="str">
        <f>_xlfn.XLOOKUP(fRealizado5[[#This Row],[Conta]],'Plano de Contas'!A:A,'Plano de Contas'!D:D)</f>
        <v>03 - Devoluções de Produtos</v>
      </c>
    </row>
    <row r="778" spans="1:5" hidden="1" x14ac:dyDescent="0.25">
      <c r="A778" s="23">
        <f t="shared" si="9"/>
        <v>43617</v>
      </c>
      <c r="B778" s="5" t="s">
        <v>127</v>
      </c>
      <c r="C778" s="5">
        <v>-5956</v>
      </c>
      <c r="D778" s="5" t="str">
        <f>_xlfn.XLOOKUP(fRealizado5[[#This Row],[Conta]],'Plano de Contas'!A:A,'Plano de Contas'!C:C)</f>
        <v>(-) Deduções da Receita</v>
      </c>
      <c r="E778" s="5" t="str">
        <f>_xlfn.XLOOKUP(fRealizado5[[#This Row],[Conta]],'Plano de Contas'!A:A,'Plano de Contas'!D:D)</f>
        <v>03 - Devoluções de Produtos</v>
      </c>
    </row>
    <row r="779" spans="1:5" hidden="1" x14ac:dyDescent="0.25">
      <c r="A779" s="23">
        <f t="shared" si="9"/>
        <v>43617</v>
      </c>
      <c r="B779" s="5" t="s">
        <v>128</v>
      </c>
      <c r="C779" s="5">
        <v>-6585</v>
      </c>
      <c r="D779" s="5" t="str">
        <f>_xlfn.XLOOKUP(fRealizado5[[#This Row],[Conta]],'Plano de Contas'!A:A,'Plano de Contas'!C:C)</f>
        <v>(-) Deduções da Receita</v>
      </c>
      <c r="E779" s="5" t="str">
        <f>_xlfn.XLOOKUP(fRealizado5[[#This Row],[Conta]],'Plano de Contas'!A:A,'Plano de Contas'!D:D)</f>
        <v>03 - Devoluções de Produtos</v>
      </c>
    </row>
    <row r="780" spans="1:5" hidden="1" x14ac:dyDescent="0.25">
      <c r="A780" s="23">
        <f t="shared" si="9"/>
        <v>43617</v>
      </c>
      <c r="B780" s="5" t="s">
        <v>129</v>
      </c>
      <c r="C780" s="5">
        <v>-8170</v>
      </c>
      <c r="D780" s="5" t="str">
        <f>_xlfn.XLOOKUP(fRealizado5[[#This Row],[Conta]],'Plano de Contas'!A:A,'Plano de Contas'!C:C)</f>
        <v>(-) Deduções da Receita</v>
      </c>
      <c r="E780" s="5" t="str">
        <f>_xlfn.XLOOKUP(fRealizado5[[#This Row],[Conta]],'Plano de Contas'!A:A,'Plano de Contas'!D:D)</f>
        <v>03 - Devoluções de Produtos</v>
      </c>
    </row>
    <row r="781" spans="1:5" hidden="1" x14ac:dyDescent="0.25">
      <c r="A781" s="23">
        <f t="shared" si="9"/>
        <v>43617</v>
      </c>
      <c r="B781" s="5" t="s">
        <v>130</v>
      </c>
      <c r="C781" s="5">
        <v>-8243</v>
      </c>
      <c r="D781" s="5" t="str">
        <f>_xlfn.XLOOKUP(fRealizado5[[#This Row],[Conta]],'Plano de Contas'!A:A,'Plano de Contas'!C:C)</f>
        <v>(-) Deduções da Receita</v>
      </c>
      <c r="E781" s="5" t="str">
        <f>_xlfn.XLOOKUP(fRealizado5[[#This Row],[Conta]],'Plano de Contas'!A:A,'Plano de Contas'!D:D)</f>
        <v>03 - Devoluções de Produtos</v>
      </c>
    </row>
    <row r="782" spans="1:5" hidden="1" x14ac:dyDescent="0.25">
      <c r="A782" s="23">
        <f t="shared" si="9"/>
        <v>43617</v>
      </c>
      <c r="B782" s="5" t="s">
        <v>131</v>
      </c>
      <c r="C782" s="5">
        <v>-1309</v>
      </c>
      <c r="D782" s="5" t="str">
        <f>_xlfn.XLOOKUP(fRealizado5[[#This Row],[Conta]],'Plano de Contas'!A:A,'Plano de Contas'!C:C)</f>
        <v>(-) Deduções da Receita</v>
      </c>
      <c r="E782" s="5" t="str">
        <f>_xlfn.XLOOKUP(fRealizado5[[#This Row],[Conta]],'Plano de Contas'!A:A,'Plano de Contas'!D:D)</f>
        <v>03 - Devoluções de Produtos</v>
      </c>
    </row>
    <row r="783" spans="1:5" hidden="1" x14ac:dyDescent="0.25">
      <c r="A783" s="23">
        <f t="shared" ref="A783:A846" si="10">EDATE(A643,1)</f>
        <v>43617</v>
      </c>
      <c r="B783" s="5" t="s">
        <v>132</v>
      </c>
      <c r="C783" s="5">
        <v>-2521</v>
      </c>
      <c r="D783" s="5" t="str">
        <f>_xlfn.XLOOKUP(fRealizado5[[#This Row],[Conta]],'Plano de Contas'!A:A,'Plano de Contas'!C:C)</f>
        <v>(-) Deduções da Receita</v>
      </c>
      <c r="E783" s="5" t="str">
        <f>_xlfn.XLOOKUP(fRealizado5[[#This Row],[Conta]],'Plano de Contas'!A:A,'Plano de Contas'!D:D)</f>
        <v>03 - Devoluções de Produtos</v>
      </c>
    </row>
    <row r="784" spans="1:5" hidden="1" x14ac:dyDescent="0.25">
      <c r="A784" s="23">
        <f t="shared" si="10"/>
        <v>43617</v>
      </c>
      <c r="B784" s="5" t="s">
        <v>133</v>
      </c>
      <c r="C784" s="5">
        <v>-4377</v>
      </c>
      <c r="D784" s="5" t="str">
        <f>_xlfn.XLOOKUP(fRealizado5[[#This Row],[Conta]],'Plano de Contas'!A:A,'Plano de Contas'!C:C)</f>
        <v>(-) Deduções da Receita</v>
      </c>
      <c r="E784" s="5" t="str">
        <f>_xlfn.XLOOKUP(fRealizado5[[#This Row],[Conta]],'Plano de Contas'!A:A,'Plano de Contas'!D:D)</f>
        <v>03 - Devoluções de Produtos</v>
      </c>
    </row>
    <row r="785" spans="1:5" hidden="1" x14ac:dyDescent="0.25">
      <c r="A785" s="23">
        <f t="shared" si="10"/>
        <v>43617</v>
      </c>
      <c r="B785" s="5" t="s">
        <v>134</v>
      </c>
      <c r="C785" s="5">
        <v>-9151</v>
      </c>
      <c r="D785" s="5" t="str">
        <f>_xlfn.XLOOKUP(fRealizado5[[#This Row],[Conta]],'Plano de Contas'!A:A,'Plano de Contas'!C:C)</f>
        <v>(-) Deduções da Receita</v>
      </c>
      <c r="E785" s="5" t="str">
        <f>_xlfn.XLOOKUP(fRealizado5[[#This Row],[Conta]],'Plano de Contas'!A:A,'Plano de Contas'!D:D)</f>
        <v>03 - Devoluções de Produtos</v>
      </c>
    </row>
    <row r="786" spans="1:5" hidden="1" x14ac:dyDescent="0.25">
      <c r="A786" s="23">
        <f t="shared" si="10"/>
        <v>43617</v>
      </c>
      <c r="B786" s="5" t="s">
        <v>135</v>
      </c>
      <c r="C786" s="5">
        <v>-6223</v>
      </c>
      <c r="D786" s="5" t="str">
        <f>_xlfn.XLOOKUP(fRealizado5[[#This Row],[Conta]],'Plano de Contas'!A:A,'Plano de Contas'!C:C)</f>
        <v>(-) Deduções da Receita</v>
      </c>
      <c r="E786" s="5" t="str">
        <f>_xlfn.XLOOKUP(fRealizado5[[#This Row],[Conta]],'Plano de Contas'!A:A,'Plano de Contas'!D:D)</f>
        <v>03 - Devoluções de Produtos</v>
      </c>
    </row>
    <row r="787" spans="1:5" hidden="1" x14ac:dyDescent="0.25">
      <c r="A787" s="23">
        <f t="shared" si="10"/>
        <v>43617</v>
      </c>
      <c r="B787" s="5" t="s">
        <v>136</v>
      </c>
      <c r="C787" s="5">
        <v>-6756</v>
      </c>
      <c r="D787" s="5" t="str">
        <f>_xlfn.XLOOKUP(fRealizado5[[#This Row],[Conta]],'Plano de Contas'!A:A,'Plano de Contas'!C:C)</f>
        <v>(-) Deduções da Receita</v>
      </c>
      <c r="E787" s="5" t="str">
        <f>_xlfn.XLOOKUP(fRealizado5[[#This Row],[Conta]],'Plano de Contas'!A:A,'Plano de Contas'!D:D)</f>
        <v>04 - Taxas de Serviço</v>
      </c>
    </row>
    <row r="788" spans="1:5" hidden="1" x14ac:dyDescent="0.25">
      <c r="A788" s="23">
        <f t="shared" si="10"/>
        <v>43617</v>
      </c>
      <c r="B788" s="5" t="s">
        <v>137</v>
      </c>
      <c r="C788" s="5">
        <v>-8389</v>
      </c>
      <c r="D788" s="5" t="str">
        <f>_xlfn.XLOOKUP(fRealizado5[[#This Row],[Conta]],'Plano de Contas'!A:A,'Plano de Contas'!C:C)</f>
        <v>(-) Deduções da Receita</v>
      </c>
      <c r="E788" s="5" t="str">
        <f>_xlfn.XLOOKUP(fRealizado5[[#This Row],[Conta]],'Plano de Contas'!A:A,'Plano de Contas'!D:D)</f>
        <v>04 - Taxas de Serviço</v>
      </c>
    </row>
    <row r="789" spans="1:5" hidden="1" x14ac:dyDescent="0.25">
      <c r="A789" s="23">
        <f t="shared" si="10"/>
        <v>43617</v>
      </c>
      <c r="B789" s="5" t="s">
        <v>138</v>
      </c>
      <c r="C789" s="5">
        <v>-5666</v>
      </c>
      <c r="D789" s="5" t="str">
        <f>_xlfn.XLOOKUP(fRealizado5[[#This Row],[Conta]],'Plano de Contas'!A:A,'Plano de Contas'!C:C)</f>
        <v>(-) Deduções da Receita</v>
      </c>
      <c r="E789" s="5" t="str">
        <f>_xlfn.XLOOKUP(fRealizado5[[#This Row],[Conta]],'Plano de Contas'!A:A,'Plano de Contas'!D:D)</f>
        <v>04 - Taxas de Serviço</v>
      </c>
    </row>
    <row r="790" spans="1:5" hidden="1" x14ac:dyDescent="0.25">
      <c r="A790" s="23">
        <f t="shared" si="10"/>
        <v>43617</v>
      </c>
      <c r="B790" s="5" t="s">
        <v>139</v>
      </c>
      <c r="C790" s="5">
        <v>-5676</v>
      </c>
      <c r="D790" s="5" t="str">
        <f>_xlfn.XLOOKUP(fRealizado5[[#This Row],[Conta]],'Plano de Contas'!A:A,'Plano de Contas'!C:C)</f>
        <v>(-) Deduções da Receita</v>
      </c>
      <c r="E790" s="5" t="str">
        <f>_xlfn.XLOOKUP(fRealizado5[[#This Row],[Conta]],'Plano de Contas'!A:A,'Plano de Contas'!D:D)</f>
        <v>04 - Taxas de Serviço</v>
      </c>
    </row>
    <row r="791" spans="1:5" hidden="1" x14ac:dyDescent="0.25">
      <c r="A791" s="23">
        <f t="shared" si="10"/>
        <v>43617</v>
      </c>
      <c r="B791" s="5" t="s">
        <v>140</v>
      </c>
      <c r="C791" s="5">
        <v>-238385</v>
      </c>
      <c r="D791" s="5" t="str">
        <f>_xlfn.XLOOKUP(fRealizado5[[#This Row],[Conta]],'Plano de Contas'!A:A,'Plano de Contas'!C:C)</f>
        <v>(-) Custos de Vendas</v>
      </c>
      <c r="E791" s="5" t="str">
        <f>_xlfn.XLOOKUP(fRealizado5[[#This Row],[Conta]],'Plano de Contas'!A:A,'Plano de Contas'!D:D)</f>
        <v>05 - Custo do Produto</v>
      </c>
    </row>
    <row r="792" spans="1:5" hidden="1" x14ac:dyDescent="0.25">
      <c r="A792" s="23">
        <f t="shared" si="10"/>
        <v>43617</v>
      </c>
      <c r="B792" s="5" t="s">
        <v>141</v>
      </c>
      <c r="C792" s="5">
        <v>-262641</v>
      </c>
      <c r="D792" s="5" t="str">
        <f>_xlfn.XLOOKUP(fRealizado5[[#This Row],[Conta]],'Plano de Contas'!A:A,'Plano de Contas'!C:C)</f>
        <v>(-) Custos de Vendas</v>
      </c>
      <c r="E792" s="5" t="str">
        <f>_xlfn.XLOOKUP(fRealizado5[[#This Row],[Conta]],'Plano de Contas'!A:A,'Plano de Contas'!D:D)</f>
        <v>05 - Custo do Produto</v>
      </c>
    </row>
    <row r="793" spans="1:5" hidden="1" x14ac:dyDescent="0.25">
      <c r="A793" s="23">
        <f t="shared" si="10"/>
        <v>43617</v>
      </c>
      <c r="B793" s="5" t="s">
        <v>142</v>
      </c>
      <c r="C793" s="5">
        <v>-270515</v>
      </c>
      <c r="D793" s="5" t="str">
        <f>_xlfn.XLOOKUP(fRealizado5[[#This Row],[Conta]],'Plano de Contas'!A:A,'Plano de Contas'!C:C)</f>
        <v>(-) Custos de Vendas</v>
      </c>
      <c r="E793" s="5" t="str">
        <f>_xlfn.XLOOKUP(fRealizado5[[#This Row],[Conta]],'Plano de Contas'!A:A,'Plano de Contas'!D:D)</f>
        <v>05 - Custo do Produto</v>
      </c>
    </row>
    <row r="794" spans="1:5" hidden="1" x14ac:dyDescent="0.25">
      <c r="A794" s="23">
        <f t="shared" si="10"/>
        <v>43617</v>
      </c>
      <c r="B794" s="5" t="s">
        <v>143</v>
      </c>
      <c r="C794" s="5">
        <v>-138605</v>
      </c>
      <c r="D794" s="5" t="str">
        <f>_xlfn.XLOOKUP(fRealizado5[[#This Row],[Conta]],'Plano de Contas'!A:A,'Plano de Contas'!C:C)</f>
        <v>(-) Custos de Vendas</v>
      </c>
      <c r="E794" s="5" t="str">
        <f>_xlfn.XLOOKUP(fRealizado5[[#This Row],[Conta]],'Plano de Contas'!A:A,'Plano de Contas'!D:D)</f>
        <v>05 - Custo do Produto</v>
      </c>
    </row>
    <row r="795" spans="1:5" hidden="1" x14ac:dyDescent="0.25">
      <c r="A795" s="23">
        <f t="shared" si="10"/>
        <v>43617</v>
      </c>
      <c r="B795" s="5" t="s">
        <v>144</v>
      </c>
      <c r="C795" s="5">
        <v>-299558</v>
      </c>
      <c r="D795" s="5" t="str">
        <f>_xlfn.XLOOKUP(fRealizado5[[#This Row],[Conta]],'Plano de Contas'!A:A,'Plano de Contas'!C:C)</f>
        <v>(-) Custos de Vendas</v>
      </c>
      <c r="E795" s="5" t="str">
        <f>_xlfn.XLOOKUP(fRealizado5[[#This Row],[Conta]],'Plano de Contas'!A:A,'Plano de Contas'!D:D)</f>
        <v>05 - Custo do Produto</v>
      </c>
    </row>
    <row r="796" spans="1:5" hidden="1" x14ac:dyDescent="0.25">
      <c r="A796" s="23">
        <f t="shared" si="10"/>
        <v>43617</v>
      </c>
      <c r="B796" s="5" t="s">
        <v>145</v>
      </c>
      <c r="C796" s="5">
        <v>-113717</v>
      </c>
      <c r="D796" s="5" t="str">
        <f>_xlfn.XLOOKUP(fRealizado5[[#This Row],[Conta]],'Plano de Contas'!A:A,'Plano de Contas'!C:C)</f>
        <v>(-) Custos de Vendas</v>
      </c>
      <c r="E796" s="5" t="str">
        <f>_xlfn.XLOOKUP(fRealizado5[[#This Row],[Conta]],'Plano de Contas'!A:A,'Plano de Contas'!D:D)</f>
        <v>05 - Custo do Produto</v>
      </c>
    </row>
    <row r="797" spans="1:5" hidden="1" x14ac:dyDescent="0.25">
      <c r="A797" s="23">
        <f t="shared" si="10"/>
        <v>43617</v>
      </c>
      <c r="B797" s="5" t="s">
        <v>146</v>
      </c>
      <c r="C797" s="5">
        <v>-173924</v>
      </c>
      <c r="D797" s="5" t="str">
        <f>_xlfn.XLOOKUP(fRealizado5[[#This Row],[Conta]],'Plano de Contas'!A:A,'Plano de Contas'!C:C)</f>
        <v>(-) Custos de Vendas</v>
      </c>
      <c r="E797" s="5" t="str">
        <f>_xlfn.XLOOKUP(fRealizado5[[#This Row],[Conta]],'Plano de Contas'!A:A,'Plano de Contas'!D:D)</f>
        <v>05 - Custo do Produto</v>
      </c>
    </row>
    <row r="798" spans="1:5" hidden="1" x14ac:dyDescent="0.25">
      <c r="A798" s="23">
        <f t="shared" si="10"/>
        <v>43617</v>
      </c>
      <c r="B798" s="5" t="s">
        <v>147</v>
      </c>
      <c r="C798" s="5">
        <v>-257586</v>
      </c>
      <c r="D798" s="5" t="str">
        <f>_xlfn.XLOOKUP(fRealizado5[[#This Row],[Conta]],'Plano de Contas'!A:A,'Plano de Contas'!C:C)</f>
        <v>(-) Custos de Vendas</v>
      </c>
      <c r="E798" s="5" t="str">
        <f>_xlfn.XLOOKUP(fRealizado5[[#This Row],[Conta]],'Plano de Contas'!A:A,'Plano de Contas'!D:D)</f>
        <v>05 - Custo do Produto</v>
      </c>
    </row>
    <row r="799" spans="1:5" hidden="1" x14ac:dyDescent="0.25">
      <c r="A799" s="23">
        <f t="shared" si="10"/>
        <v>43617</v>
      </c>
      <c r="B799" s="5" t="s">
        <v>148</v>
      </c>
      <c r="C799" s="5">
        <v>-232424</v>
      </c>
      <c r="D799" s="5" t="str">
        <f>_xlfn.XLOOKUP(fRealizado5[[#This Row],[Conta]],'Plano de Contas'!A:A,'Plano de Contas'!C:C)</f>
        <v>(-) Custos de Vendas</v>
      </c>
      <c r="E799" s="5" t="str">
        <f>_xlfn.XLOOKUP(fRealizado5[[#This Row],[Conta]],'Plano de Contas'!A:A,'Plano de Contas'!D:D)</f>
        <v>05 - Custo do Produto</v>
      </c>
    </row>
    <row r="800" spans="1:5" hidden="1" x14ac:dyDescent="0.25">
      <c r="A800" s="23">
        <f t="shared" si="10"/>
        <v>43617</v>
      </c>
      <c r="B800" s="5" t="s">
        <v>149</v>
      </c>
      <c r="C800" s="5">
        <v>-282636</v>
      </c>
      <c r="D800" s="5" t="str">
        <f>_xlfn.XLOOKUP(fRealizado5[[#This Row],[Conta]],'Plano de Contas'!A:A,'Plano de Contas'!C:C)</f>
        <v>(-) Custos de Vendas</v>
      </c>
      <c r="E800" s="5" t="str">
        <f>_xlfn.XLOOKUP(fRealizado5[[#This Row],[Conta]],'Plano de Contas'!A:A,'Plano de Contas'!D:D)</f>
        <v>05 - Custo do Produto</v>
      </c>
    </row>
    <row r="801" spans="1:5" hidden="1" x14ac:dyDescent="0.25">
      <c r="A801" s="23">
        <f t="shared" si="10"/>
        <v>43617</v>
      </c>
      <c r="B801" s="5" t="s">
        <v>150</v>
      </c>
      <c r="C801" s="5">
        <v>-198576</v>
      </c>
      <c r="D801" s="5" t="str">
        <f>_xlfn.XLOOKUP(fRealizado5[[#This Row],[Conta]],'Plano de Contas'!A:A,'Plano de Contas'!C:C)</f>
        <v>(-) Custos de Vendas</v>
      </c>
      <c r="E801" s="5" t="str">
        <f>_xlfn.XLOOKUP(fRealizado5[[#This Row],[Conta]],'Plano de Contas'!A:A,'Plano de Contas'!D:D)</f>
        <v>05 - Custo do Produto</v>
      </c>
    </row>
    <row r="802" spans="1:5" hidden="1" x14ac:dyDescent="0.25">
      <c r="A802" s="23">
        <f t="shared" si="10"/>
        <v>43617</v>
      </c>
      <c r="B802" s="5" t="s">
        <v>151</v>
      </c>
      <c r="C802" s="5">
        <v>-123594</v>
      </c>
      <c r="D802" s="5" t="str">
        <f>_xlfn.XLOOKUP(fRealizado5[[#This Row],[Conta]],'Plano de Contas'!A:A,'Plano de Contas'!C:C)</f>
        <v>(-) Custos de Vendas</v>
      </c>
      <c r="E802" s="5" t="str">
        <f>_xlfn.XLOOKUP(fRealizado5[[#This Row],[Conta]],'Plano de Contas'!A:A,'Plano de Contas'!D:D)</f>
        <v>05 - Custo do Produto</v>
      </c>
    </row>
    <row r="803" spans="1:5" hidden="1" x14ac:dyDescent="0.25">
      <c r="A803" s="23">
        <f t="shared" si="10"/>
        <v>43617</v>
      </c>
      <c r="B803" s="5" t="s">
        <v>152</v>
      </c>
      <c r="C803" s="5">
        <v>-122456</v>
      </c>
      <c r="D803" s="5" t="str">
        <f>_xlfn.XLOOKUP(fRealizado5[[#This Row],[Conta]],'Plano de Contas'!A:A,'Plano de Contas'!C:C)</f>
        <v>(-) Custos de Vendas</v>
      </c>
      <c r="E803" s="5" t="str">
        <f>_xlfn.XLOOKUP(fRealizado5[[#This Row],[Conta]],'Plano de Contas'!A:A,'Plano de Contas'!D:D)</f>
        <v>05 - Custo do Produto</v>
      </c>
    </row>
    <row r="804" spans="1:5" hidden="1" x14ac:dyDescent="0.25">
      <c r="A804" s="23">
        <f t="shared" si="10"/>
        <v>43617</v>
      </c>
      <c r="B804" s="5" t="s">
        <v>153</v>
      </c>
      <c r="C804" s="5">
        <v>-152617</v>
      </c>
      <c r="D804" s="5" t="str">
        <f>_xlfn.XLOOKUP(fRealizado5[[#This Row],[Conta]],'Plano de Contas'!A:A,'Plano de Contas'!C:C)</f>
        <v>(-) Custos de Vendas</v>
      </c>
      <c r="E804" s="5" t="str">
        <f>_xlfn.XLOOKUP(fRealizado5[[#This Row],[Conta]],'Plano de Contas'!A:A,'Plano de Contas'!D:D)</f>
        <v>05 - Custo do Produto</v>
      </c>
    </row>
    <row r="805" spans="1:5" hidden="1" x14ac:dyDescent="0.25">
      <c r="A805" s="23">
        <f t="shared" si="10"/>
        <v>43617</v>
      </c>
      <c r="B805" s="5" t="s">
        <v>154</v>
      </c>
      <c r="C805" s="5">
        <v>-192767</v>
      </c>
      <c r="D805" s="5" t="str">
        <f>_xlfn.XLOOKUP(fRealizado5[[#This Row],[Conta]],'Plano de Contas'!A:A,'Plano de Contas'!C:C)</f>
        <v>(-) Custos de Vendas</v>
      </c>
      <c r="E805" s="5" t="str">
        <f>_xlfn.XLOOKUP(fRealizado5[[#This Row],[Conta]],'Plano de Contas'!A:A,'Plano de Contas'!D:D)</f>
        <v>05 - Custo do Produto</v>
      </c>
    </row>
    <row r="806" spans="1:5" hidden="1" x14ac:dyDescent="0.25">
      <c r="A806" s="23">
        <f t="shared" si="10"/>
        <v>43617</v>
      </c>
      <c r="B806" s="5" t="s">
        <v>155</v>
      </c>
      <c r="C806" s="5">
        <v>-145948</v>
      </c>
      <c r="D806" s="5" t="str">
        <f>_xlfn.XLOOKUP(fRealizado5[[#This Row],[Conta]],'Plano de Contas'!A:A,'Plano de Contas'!C:C)</f>
        <v>(-) Custos de Vendas</v>
      </c>
      <c r="E806" s="5" t="str">
        <f>_xlfn.XLOOKUP(fRealizado5[[#This Row],[Conta]],'Plano de Contas'!A:A,'Plano de Contas'!D:D)</f>
        <v>05 - Custo do Produto</v>
      </c>
    </row>
    <row r="807" spans="1:5" hidden="1" x14ac:dyDescent="0.25">
      <c r="A807" s="23">
        <f t="shared" si="10"/>
        <v>43617</v>
      </c>
      <c r="B807" s="5" t="s">
        <v>156</v>
      </c>
      <c r="C807" s="5">
        <v>-157881</v>
      </c>
      <c r="D807" s="5" t="str">
        <f>_xlfn.XLOOKUP(fRealizado5[[#This Row],[Conta]],'Plano de Contas'!A:A,'Plano de Contas'!C:C)</f>
        <v>(-) Custos de Vendas</v>
      </c>
      <c r="E807" s="5" t="str">
        <f>_xlfn.XLOOKUP(fRealizado5[[#This Row],[Conta]],'Plano de Contas'!A:A,'Plano de Contas'!D:D)</f>
        <v>05 - Custo do Produto</v>
      </c>
    </row>
    <row r="808" spans="1:5" hidden="1" x14ac:dyDescent="0.25">
      <c r="A808" s="23">
        <f t="shared" si="10"/>
        <v>43617</v>
      </c>
      <c r="B808" s="5" t="s">
        <v>157</v>
      </c>
      <c r="C808" s="5">
        <v>-75953</v>
      </c>
      <c r="D808" s="5" t="str">
        <f>_xlfn.XLOOKUP(fRealizado5[[#This Row],[Conta]],'Plano de Contas'!A:A,'Plano de Contas'!C:C)</f>
        <v>(-) Custos de Vendas</v>
      </c>
      <c r="E808" s="5" t="str">
        <f>_xlfn.XLOOKUP(fRealizado5[[#This Row],[Conta]],'Plano de Contas'!A:A,'Plano de Contas'!D:D)</f>
        <v>05 - Custo do Produto</v>
      </c>
    </row>
    <row r="809" spans="1:5" hidden="1" x14ac:dyDescent="0.25">
      <c r="A809" s="23">
        <f t="shared" si="10"/>
        <v>43617</v>
      </c>
      <c r="B809" s="5" t="s">
        <v>158</v>
      </c>
      <c r="C809" s="5">
        <v>-97831</v>
      </c>
      <c r="D809" s="5" t="str">
        <f>_xlfn.XLOOKUP(fRealizado5[[#This Row],[Conta]],'Plano de Contas'!A:A,'Plano de Contas'!C:C)</f>
        <v>(-) Custos de Vendas</v>
      </c>
      <c r="E809" s="5" t="str">
        <f>_xlfn.XLOOKUP(fRealizado5[[#This Row],[Conta]],'Plano de Contas'!A:A,'Plano de Contas'!D:D)</f>
        <v>05 - Custo do Produto</v>
      </c>
    </row>
    <row r="810" spans="1:5" hidden="1" x14ac:dyDescent="0.25">
      <c r="A810" s="23">
        <f t="shared" si="10"/>
        <v>43617</v>
      </c>
      <c r="B810" s="5" t="s">
        <v>159</v>
      </c>
      <c r="C810" s="5">
        <v>-289631</v>
      </c>
      <c r="D810" s="5" t="str">
        <f>_xlfn.XLOOKUP(fRealizado5[[#This Row],[Conta]],'Plano de Contas'!A:A,'Plano de Contas'!C:C)</f>
        <v>(-) Custos de Vendas</v>
      </c>
      <c r="E810" s="5" t="str">
        <f>_xlfn.XLOOKUP(fRealizado5[[#This Row],[Conta]],'Plano de Contas'!A:A,'Plano de Contas'!D:D)</f>
        <v>05 - Custo do Produto</v>
      </c>
    </row>
    <row r="811" spans="1:5" hidden="1" x14ac:dyDescent="0.25">
      <c r="A811" s="23">
        <f t="shared" si="10"/>
        <v>43617</v>
      </c>
      <c r="B811" s="5" t="s">
        <v>160</v>
      </c>
      <c r="C811" s="5">
        <v>-281814</v>
      </c>
      <c r="D811" s="5" t="str">
        <f>_xlfn.XLOOKUP(fRealizado5[[#This Row],[Conta]],'Plano de Contas'!A:A,'Plano de Contas'!C:C)</f>
        <v>(-) Custos de Vendas</v>
      </c>
      <c r="E811" s="5" t="str">
        <f>_xlfn.XLOOKUP(fRealizado5[[#This Row],[Conta]],'Plano de Contas'!A:A,'Plano de Contas'!D:D)</f>
        <v>05 - Custo do Produto</v>
      </c>
    </row>
    <row r="812" spans="1:5" hidden="1" x14ac:dyDescent="0.25">
      <c r="A812" s="23">
        <f t="shared" si="10"/>
        <v>43617</v>
      </c>
      <c r="B812" s="5" t="s">
        <v>161</v>
      </c>
      <c r="C812" s="5">
        <v>-148560</v>
      </c>
      <c r="D812" s="5" t="str">
        <f>_xlfn.XLOOKUP(fRealizado5[[#This Row],[Conta]],'Plano de Contas'!A:A,'Plano de Contas'!C:C)</f>
        <v>(-) Custos de Vendas</v>
      </c>
      <c r="E812" s="5" t="str">
        <f>_xlfn.XLOOKUP(fRealizado5[[#This Row],[Conta]],'Plano de Contas'!A:A,'Plano de Contas'!D:D)</f>
        <v>05 - Custo do Produto</v>
      </c>
    </row>
    <row r="813" spans="1:5" hidden="1" x14ac:dyDescent="0.25">
      <c r="A813" s="23">
        <f t="shared" si="10"/>
        <v>43617</v>
      </c>
      <c r="B813" s="5" t="s">
        <v>162</v>
      </c>
      <c r="C813" s="5">
        <v>-280010</v>
      </c>
      <c r="D813" s="5" t="str">
        <f>_xlfn.XLOOKUP(fRealizado5[[#This Row],[Conta]],'Plano de Contas'!A:A,'Plano de Contas'!C:C)</f>
        <v>(-) Custos de Vendas</v>
      </c>
      <c r="E813" s="5" t="str">
        <f>_xlfn.XLOOKUP(fRealizado5[[#This Row],[Conta]],'Plano de Contas'!A:A,'Plano de Contas'!D:D)</f>
        <v>05 - Custo do Produto</v>
      </c>
    </row>
    <row r="814" spans="1:5" hidden="1" x14ac:dyDescent="0.25">
      <c r="A814" s="23">
        <f t="shared" si="10"/>
        <v>43617</v>
      </c>
      <c r="B814" s="5" t="s">
        <v>163</v>
      </c>
      <c r="C814" s="5">
        <v>-137039</v>
      </c>
      <c r="D814" s="5" t="str">
        <f>_xlfn.XLOOKUP(fRealizado5[[#This Row],[Conta]],'Plano de Contas'!A:A,'Plano de Contas'!C:C)</f>
        <v>(-) Custos de Vendas</v>
      </c>
      <c r="E814" s="5" t="str">
        <f>_xlfn.XLOOKUP(fRealizado5[[#This Row],[Conta]],'Plano de Contas'!A:A,'Plano de Contas'!D:D)</f>
        <v>05 - Custo do Produto</v>
      </c>
    </row>
    <row r="815" spans="1:5" hidden="1" x14ac:dyDescent="0.25">
      <c r="A815" s="23">
        <f t="shared" si="10"/>
        <v>43617</v>
      </c>
      <c r="B815" s="5" t="s">
        <v>164</v>
      </c>
      <c r="C815" s="5">
        <v>-79682</v>
      </c>
      <c r="D815" s="5" t="str">
        <f>_xlfn.XLOOKUP(fRealizado5[[#This Row],[Conta]],'Plano de Contas'!A:A,'Plano de Contas'!C:C)</f>
        <v>(-) Custos de Vendas</v>
      </c>
      <c r="E815" s="5" t="str">
        <f>_xlfn.XLOOKUP(fRealizado5[[#This Row],[Conta]],'Plano de Contas'!A:A,'Plano de Contas'!D:D)</f>
        <v>06 - Outros Custos</v>
      </c>
    </row>
    <row r="816" spans="1:5" hidden="1" x14ac:dyDescent="0.25">
      <c r="A816" s="23">
        <f t="shared" si="10"/>
        <v>43617</v>
      </c>
      <c r="B816" s="5" t="s">
        <v>165</v>
      </c>
      <c r="C816" s="5">
        <v>-75285</v>
      </c>
      <c r="D816" s="5" t="str">
        <f>_xlfn.XLOOKUP(fRealizado5[[#This Row],[Conta]],'Plano de Contas'!A:A,'Plano de Contas'!C:C)</f>
        <v>(-) Custos de Vendas</v>
      </c>
      <c r="E816" s="5" t="str">
        <f>_xlfn.XLOOKUP(fRealizado5[[#This Row],[Conta]],'Plano de Contas'!A:A,'Plano de Contas'!D:D)</f>
        <v>06 - Outros Custos</v>
      </c>
    </row>
    <row r="817" spans="1:5" hidden="1" x14ac:dyDescent="0.25">
      <c r="A817" s="23">
        <f t="shared" si="10"/>
        <v>43617</v>
      </c>
      <c r="B817" s="5" t="s">
        <v>166</v>
      </c>
      <c r="C817" s="5">
        <v>-59908</v>
      </c>
      <c r="D817" s="5" t="str">
        <f>_xlfn.XLOOKUP(fRealizado5[[#This Row],[Conta]],'Plano de Contas'!A:A,'Plano de Contas'!C:C)</f>
        <v>(-) Custos de Vendas</v>
      </c>
      <c r="E817" s="5" t="str">
        <f>_xlfn.XLOOKUP(fRealizado5[[#This Row],[Conta]],'Plano de Contas'!A:A,'Plano de Contas'!D:D)</f>
        <v>06 - Outros Custos</v>
      </c>
    </row>
    <row r="818" spans="1:5" hidden="1" x14ac:dyDescent="0.25">
      <c r="A818" s="23">
        <f t="shared" si="10"/>
        <v>43617</v>
      </c>
      <c r="B818" s="5" t="s">
        <v>167</v>
      </c>
      <c r="C818" s="5">
        <v>-245430</v>
      </c>
      <c r="D818" s="5" t="str">
        <f>_xlfn.XLOOKUP(fRealizado5[[#This Row],[Conta]],'Plano de Contas'!A:A,'Plano de Contas'!C:C)</f>
        <v>(-) Despesas Gerais</v>
      </c>
      <c r="E818" s="5" t="str">
        <f>_xlfn.XLOOKUP(fRealizado5[[#This Row],[Conta]],'Plano de Contas'!A:A,'Plano de Contas'!D:D)</f>
        <v>07 - Despesas Administrativas</v>
      </c>
    </row>
    <row r="819" spans="1:5" hidden="1" x14ac:dyDescent="0.25">
      <c r="A819" s="23">
        <f t="shared" si="10"/>
        <v>43617</v>
      </c>
      <c r="B819" s="5" t="s">
        <v>168</v>
      </c>
      <c r="C819" s="5">
        <v>-111344</v>
      </c>
      <c r="D819" s="5" t="str">
        <f>_xlfn.XLOOKUP(fRealizado5[[#This Row],[Conta]],'Plano de Contas'!A:A,'Plano de Contas'!C:C)</f>
        <v>(-) Despesas Gerais</v>
      </c>
      <c r="E819" s="5" t="str">
        <f>_xlfn.XLOOKUP(fRealizado5[[#This Row],[Conta]],'Plano de Contas'!A:A,'Plano de Contas'!D:D)</f>
        <v>07 - Despesas Administrativas</v>
      </c>
    </row>
    <row r="820" spans="1:5" hidden="1" x14ac:dyDescent="0.25">
      <c r="A820" s="23">
        <f t="shared" si="10"/>
        <v>43617</v>
      </c>
      <c r="B820" s="5" t="s">
        <v>169</v>
      </c>
      <c r="C820" s="5">
        <v>-221996</v>
      </c>
      <c r="D820" s="5" t="str">
        <f>_xlfn.XLOOKUP(fRealizado5[[#This Row],[Conta]],'Plano de Contas'!A:A,'Plano de Contas'!C:C)</f>
        <v>(-) Despesas Gerais</v>
      </c>
      <c r="E820" s="5" t="str">
        <f>_xlfn.XLOOKUP(fRealizado5[[#This Row],[Conta]],'Plano de Contas'!A:A,'Plano de Contas'!D:D)</f>
        <v>07 - Despesas Administrativas</v>
      </c>
    </row>
    <row r="821" spans="1:5" hidden="1" x14ac:dyDescent="0.25">
      <c r="A821" s="23">
        <f t="shared" si="10"/>
        <v>43617</v>
      </c>
      <c r="B821" s="5" t="s">
        <v>170</v>
      </c>
      <c r="C821" s="5">
        <v>-319692</v>
      </c>
      <c r="D821" s="5" t="str">
        <f>_xlfn.XLOOKUP(fRealizado5[[#This Row],[Conta]],'Plano de Contas'!A:A,'Plano de Contas'!C:C)</f>
        <v>(-) Despesas Gerais</v>
      </c>
      <c r="E821" s="5" t="str">
        <f>_xlfn.XLOOKUP(fRealizado5[[#This Row],[Conta]],'Plano de Contas'!A:A,'Plano de Contas'!D:D)</f>
        <v>07 - Despesas Administrativas</v>
      </c>
    </row>
    <row r="822" spans="1:5" hidden="1" x14ac:dyDescent="0.25">
      <c r="A822" s="23">
        <f t="shared" si="10"/>
        <v>43617</v>
      </c>
      <c r="B822" s="5" t="s">
        <v>171</v>
      </c>
      <c r="C822" s="5">
        <v>-373860</v>
      </c>
      <c r="D822" s="5" t="str">
        <f>_xlfn.XLOOKUP(fRealizado5[[#This Row],[Conta]],'Plano de Contas'!A:A,'Plano de Contas'!C:C)</f>
        <v>(-) Despesas Gerais</v>
      </c>
      <c r="E822" s="5" t="str">
        <f>_xlfn.XLOOKUP(fRealizado5[[#This Row],[Conta]],'Plano de Contas'!A:A,'Plano de Contas'!D:D)</f>
        <v>07 - Despesas Administrativas</v>
      </c>
    </row>
    <row r="823" spans="1:5" hidden="1" x14ac:dyDescent="0.25">
      <c r="A823" s="23">
        <f t="shared" si="10"/>
        <v>43617</v>
      </c>
      <c r="B823" s="5" t="s">
        <v>172</v>
      </c>
      <c r="C823" s="5">
        <v>-362395</v>
      </c>
      <c r="D823" s="5" t="str">
        <f>_xlfn.XLOOKUP(fRealizado5[[#This Row],[Conta]],'Plano de Contas'!A:A,'Plano de Contas'!C:C)</f>
        <v>(-) Despesas Gerais</v>
      </c>
      <c r="E823" s="5" t="str">
        <f>_xlfn.XLOOKUP(fRealizado5[[#This Row],[Conta]],'Plano de Contas'!A:A,'Plano de Contas'!D:D)</f>
        <v>07 - Despesas Administrativas</v>
      </c>
    </row>
    <row r="824" spans="1:5" hidden="1" x14ac:dyDescent="0.25">
      <c r="A824" s="23">
        <f t="shared" si="10"/>
        <v>43617</v>
      </c>
      <c r="B824" s="5" t="s">
        <v>173</v>
      </c>
      <c r="C824" s="5">
        <v>-58427</v>
      </c>
      <c r="D824" s="5" t="str">
        <f>_xlfn.XLOOKUP(fRealizado5[[#This Row],[Conta]],'Plano de Contas'!A:A,'Plano de Contas'!C:C)</f>
        <v>(-) Despesas Gerais</v>
      </c>
      <c r="E824" s="5" t="str">
        <f>_xlfn.XLOOKUP(fRealizado5[[#This Row],[Conta]],'Plano de Contas'!A:A,'Plano de Contas'!D:D)</f>
        <v>08 - Despesas Financeiras</v>
      </c>
    </row>
    <row r="825" spans="1:5" hidden="1" x14ac:dyDescent="0.25">
      <c r="A825" s="23">
        <f t="shared" si="10"/>
        <v>43617</v>
      </c>
      <c r="B825" s="5" t="s">
        <v>174</v>
      </c>
      <c r="C825" s="5">
        <v>-47933</v>
      </c>
      <c r="D825" s="5" t="str">
        <f>_xlfn.XLOOKUP(fRealizado5[[#This Row],[Conta]],'Plano de Contas'!A:A,'Plano de Contas'!C:C)</f>
        <v>(-) Despesas Gerais</v>
      </c>
      <c r="E825" s="5" t="str">
        <f>_xlfn.XLOOKUP(fRealizado5[[#This Row],[Conta]],'Plano de Contas'!A:A,'Plano de Contas'!D:D)</f>
        <v>08 - Despesas Financeiras</v>
      </c>
    </row>
    <row r="826" spans="1:5" hidden="1" x14ac:dyDescent="0.25">
      <c r="A826" s="23">
        <f t="shared" si="10"/>
        <v>43617</v>
      </c>
      <c r="B826" s="5" t="s">
        <v>175</v>
      </c>
      <c r="C826" s="5">
        <v>-46518</v>
      </c>
      <c r="D826" s="5" t="str">
        <f>_xlfn.XLOOKUP(fRealizado5[[#This Row],[Conta]],'Plano de Contas'!A:A,'Plano de Contas'!C:C)</f>
        <v>(-) Despesas Gerais</v>
      </c>
      <c r="E826" s="5" t="str">
        <f>_xlfn.XLOOKUP(fRealizado5[[#This Row],[Conta]],'Plano de Contas'!A:A,'Plano de Contas'!D:D)</f>
        <v>08 - Despesas Financeiras</v>
      </c>
    </row>
    <row r="827" spans="1:5" hidden="1" x14ac:dyDescent="0.25">
      <c r="A827" s="23">
        <f t="shared" si="10"/>
        <v>43617</v>
      </c>
      <c r="B827" s="5" t="s">
        <v>176</v>
      </c>
      <c r="C827" s="5">
        <v>-51509</v>
      </c>
      <c r="D827" s="5" t="str">
        <f>_xlfn.XLOOKUP(fRealizado5[[#This Row],[Conta]],'Plano de Contas'!A:A,'Plano de Contas'!C:C)</f>
        <v>(-) Despesas Gerais</v>
      </c>
      <c r="E827" s="5" t="str">
        <f>_xlfn.XLOOKUP(fRealizado5[[#This Row],[Conta]],'Plano de Contas'!A:A,'Plano de Contas'!D:D)</f>
        <v>08 - Despesas Financeiras</v>
      </c>
    </row>
    <row r="828" spans="1:5" hidden="1" x14ac:dyDescent="0.25">
      <c r="A828" s="23">
        <f t="shared" si="10"/>
        <v>43617</v>
      </c>
      <c r="B828" s="5" t="s">
        <v>177</v>
      </c>
      <c r="C828" s="5">
        <v>-42984</v>
      </c>
      <c r="D828" s="5" t="str">
        <f>_xlfn.XLOOKUP(fRealizado5[[#This Row],[Conta]],'Plano de Contas'!A:A,'Plano de Contas'!C:C)</f>
        <v>(-) Despesas Gerais</v>
      </c>
      <c r="E828" s="5" t="str">
        <f>_xlfn.XLOOKUP(fRealizado5[[#This Row],[Conta]],'Plano de Contas'!A:A,'Plano de Contas'!D:D)</f>
        <v>08 - Despesas Financeiras</v>
      </c>
    </row>
    <row r="829" spans="1:5" hidden="1" x14ac:dyDescent="0.25">
      <c r="A829" s="23">
        <f t="shared" si="10"/>
        <v>43617</v>
      </c>
      <c r="B829" s="5" t="s">
        <v>178</v>
      </c>
      <c r="C829" s="5">
        <v>-195371</v>
      </c>
      <c r="D829" s="5" t="str">
        <f>_xlfn.XLOOKUP(fRealizado5[[#This Row],[Conta]],'Plano de Contas'!A:A,'Plano de Contas'!C:C)</f>
        <v>(-) Despesas Gerais</v>
      </c>
      <c r="E829" s="5" t="str">
        <f>_xlfn.XLOOKUP(fRealizado5[[#This Row],[Conta]],'Plano de Contas'!A:A,'Plano de Contas'!D:D)</f>
        <v>09 - Tecnologia da Informação</v>
      </c>
    </row>
    <row r="830" spans="1:5" hidden="1" x14ac:dyDescent="0.25">
      <c r="A830" s="23">
        <f t="shared" si="10"/>
        <v>43617</v>
      </c>
      <c r="B830" s="5" t="s">
        <v>179</v>
      </c>
      <c r="C830" s="5">
        <v>-163286</v>
      </c>
      <c r="D830" s="5" t="str">
        <f>_xlfn.XLOOKUP(fRealizado5[[#This Row],[Conta]],'Plano de Contas'!A:A,'Plano de Contas'!C:C)</f>
        <v>(-) Despesas Gerais</v>
      </c>
      <c r="E830" s="5" t="str">
        <f>_xlfn.XLOOKUP(fRealizado5[[#This Row],[Conta]],'Plano de Contas'!A:A,'Plano de Contas'!D:D)</f>
        <v>09 - Tecnologia da Informação</v>
      </c>
    </row>
    <row r="831" spans="1:5" hidden="1" x14ac:dyDescent="0.25">
      <c r="A831" s="23">
        <f t="shared" si="10"/>
        <v>43617</v>
      </c>
      <c r="B831" s="5" t="s">
        <v>180</v>
      </c>
      <c r="C831" s="5">
        <v>-146633</v>
      </c>
      <c r="D831" s="5" t="str">
        <f>_xlfn.XLOOKUP(fRealizado5[[#This Row],[Conta]],'Plano de Contas'!A:A,'Plano de Contas'!C:C)</f>
        <v>(-) Despesas Gerais</v>
      </c>
      <c r="E831" s="5" t="str">
        <f>_xlfn.XLOOKUP(fRealizado5[[#This Row],[Conta]],'Plano de Contas'!A:A,'Plano de Contas'!D:D)</f>
        <v>09 - Tecnologia da Informação</v>
      </c>
    </row>
    <row r="832" spans="1:5" hidden="1" x14ac:dyDescent="0.25">
      <c r="A832" s="23">
        <f t="shared" si="10"/>
        <v>43617</v>
      </c>
      <c r="B832" s="5" t="s">
        <v>181</v>
      </c>
      <c r="C832" s="5">
        <v>-75818</v>
      </c>
      <c r="D832" s="5" t="str">
        <f>_xlfn.XLOOKUP(fRealizado5[[#This Row],[Conta]],'Plano de Contas'!A:A,'Plano de Contas'!C:C)</f>
        <v>(-) Despesas Gerais</v>
      </c>
      <c r="E832" s="5" t="str">
        <f>_xlfn.XLOOKUP(fRealizado5[[#This Row],[Conta]],'Plano de Contas'!A:A,'Plano de Contas'!D:D)</f>
        <v>10 - Recursos Humanos</v>
      </c>
    </row>
    <row r="833" spans="1:5" hidden="1" x14ac:dyDescent="0.25">
      <c r="A833" s="23">
        <f t="shared" si="10"/>
        <v>43617</v>
      </c>
      <c r="B833" s="5" t="s">
        <v>182</v>
      </c>
      <c r="C833" s="5">
        <v>-82712</v>
      </c>
      <c r="D833" s="5" t="str">
        <f>_xlfn.XLOOKUP(fRealizado5[[#This Row],[Conta]],'Plano de Contas'!A:A,'Plano de Contas'!C:C)</f>
        <v>(-) Despesas Gerais</v>
      </c>
      <c r="E833" s="5" t="str">
        <f>_xlfn.XLOOKUP(fRealizado5[[#This Row],[Conta]],'Plano de Contas'!A:A,'Plano de Contas'!D:D)</f>
        <v>10 - Recursos Humanos</v>
      </c>
    </row>
    <row r="834" spans="1:5" hidden="1" x14ac:dyDescent="0.25">
      <c r="A834" s="23">
        <f t="shared" si="10"/>
        <v>43617</v>
      </c>
      <c r="B834" s="5" t="s">
        <v>183</v>
      </c>
      <c r="C834" s="5">
        <v>-56516</v>
      </c>
      <c r="D834" s="5" t="str">
        <f>_xlfn.XLOOKUP(fRealizado5[[#This Row],[Conta]],'Plano de Contas'!A:A,'Plano de Contas'!C:C)</f>
        <v>(-) Despesas Gerais</v>
      </c>
      <c r="E834" s="5" t="str">
        <f>_xlfn.XLOOKUP(fRealizado5[[#This Row],[Conta]],'Plano de Contas'!A:A,'Plano de Contas'!D:D)</f>
        <v>10 - Recursos Humanos</v>
      </c>
    </row>
    <row r="835" spans="1:5" hidden="1" x14ac:dyDescent="0.25">
      <c r="A835" s="23">
        <f t="shared" si="10"/>
        <v>43617</v>
      </c>
      <c r="B835" s="5" t="s">
        <v>184</v>
      </c>
      <c r="C835" s="5">
        <v>-59688</v>
      </c>
      <c r="D835" s="5" t="str">
        <f>_xlfn.XLOOKUP(fRealizado5[[#This Row],[Conta]],'Plano de Contas'!A:A,'Plano de Contas'!C:C)</f>
        <v>(-) Despesas Gerais</v>
      </c>
      <c r="E835" s="5" t="str">
        <f>_xlfn.XLOOKUP(fRealizado5[[#This Row],[Conta]],'Plano de Contas'!A:A,'Plano de Contas'!D:D)</f>
        <v>10 - Recursos Humanos</v>
      </c>
    </row>
    <row r="836" spans="1:5" hidden="1" x14ac:dyDescent="0.25">
      <c r="A836" s="23">
        <f t="shared" si="10"/>
        <v>43617</v>
      </c>
      <c r="B836" s="5" t="s">
        <v>185</v>
      </c>
      <c r="C836" s="5">
        <v>-114383</v>
      </c>
      <c r="D836" s="5" t="str">
        <f>_xlfn.XLOOKUP(fRealizado5[[#This Row],[Conta]],'Plano de Contas'!A:A,'Plano de Contas'!C:C)</f>
        <v>(-) Despesas Gerais</v>
      </c>
      <c r="E836" s="5" t="str">
        <f>_xlfn.XLOOKUP(fRealizado5[[#This Row],[Conta]],'Plano de Contas'!A:A,'Plano de Contas'!D:D)</f>
        <v>11 - Relacionamento com Cliente</v>
      </c>
    </row>
    <row r="837" spans="1:5" hidden="1" x14ac:dyDescent="0.25">
      <c r="A837" s="23">
        <f t="shared" si="10"/>
        <v>43617</v>
      </c>
      <c r="B837" s="5" t="s">
        <v>186</v>
      </c>
      <c r="C837" s="5">
        <v>-98544</v>
      </c>
      <c r="D837" s="5" t="str">
        <f>_xlfn.XLOOKUP(fRealizado5[[#This Row],[Conta]],'Plano de Contas'!A:A,'Plano de Contas'!C:C)</f>
        <v>(-) Despesas Gerais</v>
      </c>
      <c r="E837" s="5" t="str">
        <f>_xlfn.XLOOKUP(fRealizado5[[#This Row],[Conta]],'Plano de Contas'!A:A,'Plano de Contas'!D:D)</f>
        <v>11 - Relacionamento com Cliente</v>
      </c>
    </row>
    <row r="838" spans="1:5" hidden="1" x14ac:dyDescent="0.25">
      <c r="A838" s="23">
        <f t="shared" si="10"/>
        <v>43617</v>
      </c>
      <c r="B838" s="5" t="s">
        <v>187</v>
      </c>
      <c r="C838" s="5">
        <v>-154650</v>
      </c>
      <c r="D838" s="5" t="str">
        <f>_xlfn.XLOOKUP(fRealizado5[[#This Row],[Conta]],'Plano de Contas'!A:A,'Plano de Contas'!C:C)</f>
        <v>(-) Despesas Gerais</v>
      </c>
      <c r="E838" s="5" t="str">
        <f>_xlfn.XLOOKUP(fRealizado5[[#This Row],[Conta]],'Plano de Contas'!A:A,'Plano de Contas'!D:D)</f>
        <v>12 - Marketing e Divulgação</v>
      </c>
    </row>
    <row r="839" spans="1:5" hidden="1" x14ac:dyDescent="0.25">
      <c r="A839" s="23">
        <f t="shared" si="10"/>
        <v>43617</v>
      </c>
      <c r="B839" s="5" t="s">
        <v>188</v>
      </c>
      <c r="C839" s="5">
        <v>-120860</v>
      </c>
      <c r="D839" s="5" t="str">
        <f>_xlfn.XLOOKUP(fRealizado5[[#This Row],[Conta]],'Plano de Contas'!A:A,'Plano de Contas'!C:C)</f>
        <v>(-) Despesas Gerais</v>
      </c>
      <c r="E839" s="5" t="str">
        <f>_xlfn.XLOOKUP(fRealizado5[[#This Row],[Conta]],'Plano de Contas'!A:A,'Plano de Contas'!D:D)</f>
        <v>12 - Marketing e Divulgação</v>
      </c>
    </row>
    <row r="840" spans="1:5" hidden="1" x14ac:dyDescent="0.25">
      <c r="A840" s="23">
        <f t="shared" si="10"/>
        <v>43617</v>
      </c>
      <c r="B840" s="5" t="s">
        <v>189</v>
      </c>
      <c r="C840" s="5">
        <v>-11196</v>
      </c>
      <c r="D840" s="5" t="str">
        <f>_xlfn.XLOOKUP(fRealizado5[[#This Row],[Conta]],'Plano de Contas'!A:A,'Plano de Contas'!C:C)</f>
        <v>(-) Impostos</v>
      </c>
      <c r="E840" s="5" t="str">
        <f>_xlfn.XLOOKUP(fRealizado5[[#This Row],[Conta]],'Plano de Contas'!A:A,'Plano de Contas'!D:D)</f>
        <v>13 - Impostos Estaduais</v>
      </c>
    </row>
    <row r="841" spans="1:5" hidden="1" x14ac:dyDescent="0.25">
      <c r="A841" s="23">
        <f t="shared" si="10"/>
        <v>43617</v>
      </c>
      <c r="B841" s="5" t="s">
        <v>190</v>
      </c>
      <c r="C841" s="5">
        <v>-28482</v>
      </c>
      <c r="D841" s="5" t="str">
        <f>_xlfn.XLOOKUP(fRealizado5[[#This Row],[Conta]],'Plano de Contas'!A:A,'Plano de Contas'!C:C)</f>
        <v>(-) Impostos</v>
      </c>
      <c r="E841" s="5" t="str">
        <f>_xlfn.XLOOKUP(fRealizado5[[#This Row],[Conta]],'Plano de Contas'!A:A,'Plano de Contas'!D:D)</f>
        <v>14 - Impostos Federais</v>
      </c>
    </row>
    <row r="842" spans="1:5" hidden="1" x14ac:dyDescent="0.25">
      <c r="A842" s="23">
        <f t="shared" si="10"/>
        <v>43647</v>
      </c>
      <c r="B842" s="5" t="s">
        <v>51</v>
      </c>
      <c r="C842" s="5">
        <v>545194</v>
      </c>
      <c r="D842" s="5" t="str">
        <f>_xlfn.XLOOKUP(fRealizado5[[#This Row],[Conta]],'Plano de Contas'!A:A,'Plano de Contas'!C:C)</f>
        <v>(+) RECEITA BRUTA</v>
      </c>
      <c r="E842" s="5" t="str">
        <f>_xlfn.XLOOKUP(fRealizado5[[#This Row],[Conta]],'Plano de Contas'!A:A,'Plano de Contas'!D:D)</f>
        <v>01 - Vendas de Produtos</v>
      </c>
    </row>
    <row r="843" spans="1:5" hidden="1" x14ac:dyDescent="0.25">
      <c r="A843" s="23">
        <f t="shared" si="10"/>
        <v>43647</v>
      </c>
      <c r="B843" s="5" t="s">
        <v>52</v>
      </c>
      <c r="C843" s="5">
        <v>877033</v>
      </c>
      <c r="D843" s="5" t="str">
        <f>_xlfn.XLOOKUP(fRealizado5[[#This Row],[Conta]],'Plano de Contas'!A:A,'Plano de Contas'!C:C)</f>
        <v>(+) RECEITA BRUTA</v>
      </c>
      <c r="E843" s="5" t="str">
        <f>_xlfn.XLOOKUP(fRealizado5[[#This Row],[Conta]],'Plano de Contas'!A:A,'Plano de Contas'!D:D)</f>
        <v>01 - Vendas de Produtos</v>
      </c>
    </row>
    <row r="844" spans="1:5" hidden="1" x14ac:dyDescent="0.25">
      <c r="A844" s="23">
        <f t="shared" si="10"/>
        <v>43647</v>
      </c>
      <c r="B844" s="5" t="s">
        <v>53</v>
      </c>
      <c r="C844" s="5">
        <v>387147</v>
      </c>
      <c r="D844" s="5" t="str">
        <f>_xlfn.XLOOKUP(fRealizado5[[#This Row],[Conta]],'Plano de Contas'!A:A,'Plano de Contas'!C:C)</f>
        <v>(+) RECEITA BRUTA</v>
      </c>
      <c r="E844" s="5" t="str">
        <f>_xlfn.XLOOKUP(fRealizado5[[#This Row],[Conta]],'Plano de Contas'!A:A,'Plano de Contas'!D:D)</f>
        <v>01 - Vendas de Produtos</v>
      </c>
    </row>
    <row r="845" spans="1:5" hidden="1" x14ac:dyDescent="0.25">
      <c r="A845" s="23">
        <f t="shared" si="10"/>
        <v>43647</v>
      </c>
      <c r="B845" s="5" t="s">
        <v>54</v>
      </c>
      <c r="C845" s="5">
        <v>850419</v>
      </c>
      <c r="D845" s="5" t="str">
        <f>_xlfn.XLOOKUP(fRealizado5[[#This Row],[Conta]],'Plano de Contas'!A:A,'Plano de Contas'!C:C)</f>
        <v>(+) RECEITA BRUTA</v>
      </c>
      <c r="E845" s="5" t="str">
        <f>_xlfn.XLOOKUP(fRealizado5[[#This Row],[Conta]],'Plano de Contas'!A:A,'Plano de Contas'!D:D)</f>
        <v>01 - Vendas de Produtos</v>
      </c>
    </row>
    <row r="846" spans="1:5" hidden="1" x14ac:dyDescent="0.25">
      <c r="A846" s="23">
        <f t="shared" si="10"/>
        <v>43647</v>
      </c>
      <c r="B846" s="5" t="s">
        <v>55</v>
      </c>
      <c r="C846" s="5">
        <v>434314</v>
      </c>
      <c r="D846" s="5" t="str">
        <f>_xlfn.XLOOKUP(fRealizado5[[#This Row],[Conta]],'Plano de Contas'!A:A,'Plano de Contas'!C:C)</f>
        <v>(+) RECEITA BRUTA</v>
      </c>
      <c r="E846" s="5" t="str">
        <f>_xlfn.XLOOKUP(fRealizado5[[#This Row],[Conta]],'Plano de Contas'!A:A,'Plano de Contas'!D:D)</f>
        <v>01 - Vendas de Produtos</v>
      </c>
    </row>
    <row r="847" spans="1:5" hidden="1" x14ac:dyDescent="0.25">
      <c r="A847" s="23">
        <f t="shared" ref="A847:A910" si="11">EDATE(A707,1)</f>
        <v>43647</v>
      </c>
      <c r="B847" s="5" t="s">
        <v>56</v>
      </c>
      <c r="C847" s="5">
        <v>202490</v>
      </c>
      <c r="D847" s="5" t="str">
        <f>_xlfn.XLOOKUP(fRealizado5[[#This Row],[Conta]],'Plano de Contas'!A:A,'Plano de Contas'!C:C)</f>
        <v>(+) RECEITA BRUTA</v>
      </c>
      <c r="E847" s="5" t="str">
        <f>_xlfn.XLOOKUP(fRealizado5[[#This Row],[Conta]],'Plano de Contas'!A:A,'Plano de Contas'!D:D)</f>
        <v>01 - Vendas de Produtos</v>
      </c>
    </row>
    <row r="848" spans="1:5" hidden="1" x14ac:dyDescent="0.25">
      <c r="A848" s="23">
        <f t="shared" si="11"/>
        <v>43647</v>
      </c>
      <c r="B848" s="5" t="s">
        <v>57</v>
      </c>
      <c r="C848" s="5">
        <v>905899</v>
      </c>
      <c r="D848" s="5" t="str">
        <f>_xlfn.XLOOKUP(fRealizado5[[#This Row],[Conta]],'Plano de Contas'!A:A,'Plano de Contas'!C:C)</f>
        <v>(+) RECEITA BRUTA</v>
      </c>
      <c r="E848" s="5" t="str">
        <f>_xlfn.XLOOKUP(fRealizado5[[#This Row],[Conta]],'Plano de Contas'!A:A,'Plano de Contas'!D:D)</f>
        <v>01 - Vendas de Produtos</v>
      </c>
    </row>
    <row r="849" spans="1:5" hidden="1" x14ac:dyDescent="0.25">
      <c r="A849" s="23">
        <f t="shared" si="11"/>
        <v>43647</v>
      </c>
      <c r="B849" s="5" t="s">
        <v>58</v>
      </c>
      <c r="C849" s="5">
        <v>673775</v>
      </c>
      <c r="D849" s="5" t="str">
        <f>_xlfn.XLOOKUP(fRealizado5[[#This Row],[Conta]],'Plano de Contas'!A:A,'Plano de Contas'!C:C)</f>
        <v>(+) RECEITA BRUTA</v>
      </c>
      <c r="E849" s="5" t="str">
        <f>_xlfn.XLOOKUP(fRealizado5[[#This Row],[Conta]],'Plano de Contas'!A:A,'Plano de Contas'!D:D)</f>
        <v>01 - Vendas de Produtos</v>
      </c>
    </row>
    <row r="850" spans="1:5" hidden="1" x14ac:dyDescent="0.25">
      <c r="A850" s="23">
        <f t="shared" si="11"/>
        <v>43647</v>
      </c>
      <c r="B850" s="5" t="s">
        <v>59</v>
      </c>
      <c r="C850" s="5">
        <v>756174</v>
      </c>
      <c r="D850" s="5" t="str">
        <f>_xlfn.XLOOKUP(fRealizado5[[#This Row],[Conta]],'Plano de Contas'!A:A,'Plano de Contas'!C:C)</f>
        <v>(+) RECEITA BRUTA</v>
      </c>
      <c r="E850" s="5" t="str">
        <f>_xlfn.XLOOKUP(fRealizado5[[#This Row],[Conta]],'Plano de Contas'!A:A,'Plano de Contas'!D:D)</f>
        <v>01 - Vendas de Produtos</v>
      </c>
    </row>
    <row r="851" spans="1:5" hidden="1" x14ac:dyDescent="0.25">
      <c r="A851" s="23">
        <f t="shared" si="11"/>
        <v>43647</v>
      </c>
      <c r="B851" s="5" t="s">
        <v>60</v>
      </c>
      <c r="C851" s="5">
        <v>688566</v>
      </c>
      <c r="D851" s="5" t="str">
        <f>_xlfn.XLOOKUP(fRealizado5[[#This Row],[Conta]],'Plano de Contas'!A:A,'Plano de Contas'!C:C)</f>
        <v>(+) RECEITA BRUTA</v>
      </c>
      <c r="E851" s="5" t="str">
        <f>_xlfn.XLOOKUP(fRealizado5[[#This Row],[Conta]],'Plano de Contas'!A:A,'Plano de Contas'!D:D)</f>
        <v>01 - Vendas de Produtos</v>
      </c>
    </row>
    <row r="852" spans="1:5" hidden="1" x14ac:dyDescent="0.25">
      <c r="A852" s="23">
        <f t="shared" si="11"/>
        <v>43647</v>
      </c>
      <c r="B852" s="5" t="s">
        <v>61</v>
      </c>
      <c r="C852" s="5">
        <v>972613</v>
      </c>
      <c r="D852" s="5" t="str">
        <f>_xlfn.XLOOKUP(fRealizado5[[#This Row],[Conta]],'Plano de Contas'!A:A,'Plano de Contas'!C:C)</f>
        <v>(+) RECEITA BRUTA</v>
      </c>
      <c r="E852" s="5" t="str">
        <f>_xlfn.XLOOKUP(fRealizado5[[#This Row],[Conta]],'Plano de Contas'!A:A,'Plano de Contas'!D:D)</f>
        <v>01 - Vendas de Produtos</v>
      </c>
    </row>
    <row r="853" spans="1:5" hidden="1" x14ac:dyDescent="0.25">
      <c r="A853" s="23">
        <f t="shared" si="11"/>
        <v>43647</v>
      </c>
      <c r="B853" s="5" t="s">
        <v>62</v>
      </c>
      <c r="C853" s="5">
        <v>878572</v>
      </c>
      <c r="D853" s="5" t="str">
        <f>_xlfn.XLOOKUP(fRealizado5[[#This Row],[Conta]],'Plano de Contas'!A:A,'Plano de Contas'!C:C)</f>
        <v>(+) RECEITA BRUTA</v>
      </c>
      <c r="E853" s="5" t="str">
        <f>_xlfn.XLOOKUP(fRealizado5[[#This Row],[Conta]],'Plano de Contas'!A:A,'Plano de Contas'!D:D)</f>
        <v>01 - Vendas de Produtos</v>
      </c>
    </row>
    <row r="854" spans="1:5" hidden="1" x14ac:dyDescent="0.25">
      <c r="A854" s="23">
        <f t="shared" si="11"/>
        <v>43647</v>
      </c>
      <c r="B854" s="5" t="s">
        <v>63</v>
      </c>
      <c r="C854" s="5">
        <v>542432</v>
      </c>
      <c r="D854" s="5" t="str">
        <f>_xlfn.XLOOKUP(fRealizado5[[#This Row],[Conta]],'Plano de Contas'!A:A,'Plano de Contas'!C:C)</f>
        <v>(+) RECEITA BRUTA</v>
      </c>
      <c r="E854" s="5" t="str">
        <f>_xlfn.XLOOKUP(fRealizado5[[#This Row],[Conta]],'Plano de Contas'!A:A,'Plano de Contas'!D:D)</f>
        <v>01 - Vendas de Produtos</v>
      </c>
    </row>
    <row r="855" spans="1:5" hidden="1" x14ac:dyDescent="0.25">
      <c r="A855" s="23">
        <f t="shared" si="11"/>
        <v>43647</v>
      </c>
      <c r="B855" s="5" t="s">
        <v>64</v>
      </c>
      <c r="C855" s="5">
        <v>457594</v>
      </c>
      <c r="D855" s="5" t="str">
        <f>_xlfn.XLOOKUP(fRealizado5[[#This Row],[Conta]],'Plano de Contas'!A:A,'Plano de Contas'!C:C)</f>
        <v>(+) RECEITA BRUTA</v>
      </c>
      <c r="E855" s="5" t="str">
        <f>_xlfn.XLOOKUP(fRealizado5[[#This Row],[Conta]],'Plano de Contas'!A:A,'Plano de Contas'!D:D)</f>
        <v>01 - Vendas de Produtos</v>
      </c>
    </row>
    <row r="856" spans="1:5" hidden="1" x14ac:dyDescent="0.25">
      <c r="A856" s="23">
        <f t="shared" si="11"/>
        <v>43647</v>
      </c>
      <c r="B856" s="5" t="s">
        <v>65</v>
      </c>
      <c r="C856" s="5">
        <v>914315</v>
      </c>
      <c r="D856" s="5" t="str">
        <f>_xlfn.XLOOKUP(fRealizado5[[#This Row],[Conta]],'Plano de Contas'!A:A,'Plano de Contas'!C:C)</f>
        <v>(+) RECEITA BRUTA</v>
      </c>
      <c r="E856" s="5" t="str">
        <f>_xlfn.XLOOKUP(fRealizado5[[#This Row],[Conta]],'Plano de Contas'!A:A,'Plano de Contas'!D:D)</f>
        <v>01 - Vendas de Produtos</v>
      </c>
    </row>
    <row r="857" spans="1:5" hidden="1" x14ac:dyDescent="0.25">
      <c r="A857" s="23">
        <f t="shared" si="11"/>
        <v>43647</v>
      </c>
      <c r="B857" s="5" t="s">
        <v>66</v>
      </c>
      <c r="C857" s="5">
        <v>643055</v>
      </c>
      <c r="D857" s="5" t="str">
        <f>_xlfn.XLOOKUP(fRealizado5[[#This Row],[Conta]],'Plano de Contas'!A:A,'Plano de Contas'!C:C)</f>
        <v>(+) RECEITA BRUTA</v>
      </c>
      <c r="E857" s="5" t="str">
        <f>_xlfn.XLOOKUP(fRealizado5[[#This Row],[Conta]],'Plano de Contas'!A:A,'Plano de Contas'!D:D)</f>
        <v>01 - Vendas de Produtos</v>
      </c>
    </row>
    <row r="858" spans="1:5" hidden="1" x14ac:dyDescent="0.25">
      <c r="A858" s="23">
        <f t="shared" si="11"/>
        <v>43647</v>
      </c>
      <c r="B858" s="5" t="s">
        <v>67</v>
      </c>
      <c r="C858" s="5">
        <v>778160</v>
      </c>
      <c r="D858" s="5" t="str">
        <f>_xlfn.XLOOKUP(fRealizado5[[#This Row],[Conta]],'Plano de Contas'!A:A,'Plano de Contas'!C:C)</f>
        <v>(+) RECEITA BRUTA</v>
      </c>
      <c r="E858" s="5" t="str">
        <f>_xlfn.XLOOKUP(fRealizado5[[#This Row],[Conta]],'Plano de Contas'!A:A,'Plano de Contas'!D:D)</f>
        <v>01 - Vendas de Produtos</v>
      </c>
    </row>
    <row r="859" spans="1:5" hidden="1" x14ac:dyDescent="0.25">
      <c r="A859" s="23">
        <f t="shared" si="11"/>
        <v>43647</v>
      </c>
      <c r="B859" s="5" t="s">
        <v>68</v>
      </c>
      <c r="C859" s="5">
        <v>715369</v>
      </c>
      <c r="D859" s="5" t="str">
        <f>_xlfn.XLOOKUP(fRealizado5[[#This Row],[Conta]],'Plano de Contas'!A:A,'Plano de Contas'!C:C)</f>
        <v>(+) RECEITA BRUTA</v>
      </c>
      <c r="E859" s="5" t="str">
        <f>_xlfn.XLOOKUP(fRealizado5[[#This Row],[Conta]],'Plano de Contas'!A:A,'Plano de Contas'!D:D)</f>
        <v>01 - Vendas de Produtos</v>
      </c>
    </row>
    <row r="860" spans="1:5" hidden="1" x14ac:dyDescent="0.25">
      <c r="A860" s="23">
        <f t="shared" si="11"/>
        <v>43647</v>
      </c>
      <c r="B860" s="5" t="s">
        <v>69</v>
      </c>
      <c r="C860" s="5">
        <v>507345</v>
      </c>
      <c r="D860" s="5" t="str">
        <f>_xlfn.XLOOKUP(fRealizado5[[#This Row],[Conta]],'Plano de Contas'!A:A,'Plano de Contas'!C:C)</f>
        <v>(+) RECEITA BRUTA</v>
      </c>
      <c r="E860" s="5" t="str">
        <f>_xlfn.XLOOKUP(fRealizado5[[#This Row],[Conta]],'Plano de Contas'!A:A,'Plano de Contas'!D:D)</f>
        <v>01 - Vendas de Produtos</v>
      </c>
    </row>
    <row r="861" spans="1:5" hidden="1" x14ac:dyDescent="0.25">
      <c r="A861" s="23">
        <f t="shared" si="11"/>
        <v>43647</v>
      </c>
      <c r="B861" s="5" t="s">
        <v>70</v>
      </c>
      <c r="C861" s="5">
        <v>688497</v>
      </c>
      <c r="D861" s="5" t="str">
        <f>_xlfn.XLOOKUP(fRealizado5[[#This Row],[Conta]],'Plano de Contas'!A:A,'Plano de Contas'!C:C)</f>
        <v>(+) RECEITA BRUTA</v>
      </c>
      <c r="E861" s="5" t="str">
        <f>_xlfn.XLOOKUP(fRealizado5[[#This Row],[Conta]],'Plano de Contas'!A:A,'Plano de Contas'!D:D)</f>
        <v>01 - Vendas de Produtos</v>
      </c>
    </row>
    <row r="862" spans="1:5" hidden="1" x14ac:dyDescent="0.25">
      <c r="A862" s="23">
        <f t="shared" si="11"/>
        <v>43647</v>
      </c>
      <c r="B862" s="5" t="s">
        <v>71</v>
      </c>
      <c r="C862" s="5">
        <v>465646</v>
      </c>
      <c r="D862" s="5" t="str">
        <f>_xlfn.XLOOKUP(fRealizado5[[#This Row],[Conta]],'Plano de Contas'!A:A,'Plano de Contas'!C:C)</f>
        <v>(+) RECEITA BRUTA</v>
      </c>
      <c r="E862" s="5" t="str">
        <f>_xlfn.XLOOKUP(fRealizado5[[#This Row],[Conta]],'Plano de Contas'!A:A,'Plano de Contas'!D:D)</f>
        <v>01 - Vendas de Produtos</v>
      </c>
    </row>
    <row r="863" spans="1:5" hidden="1" x14ac:dyDescent="0.25">
      <c r="A863" s="23">
        <f t="shared" si="11"/>
        <v>43647</v>
      </c>
      <c r="B863" s="5" t="s">
        <v>72</v>
      </c>
      <c r="C863" s="5">
        <v>469446</v>
      </c>
      <c r="D863" s="5" t="str">
        <f>_xlfn.XLOOKUP(fRealizado5[[#This Row],[Conta]],'Plano de Contas'!A:A,'Plano de Contas'!C:C)</f>
        <v>(+) RECEITA BRUTA</v>
      </c>
      <c r="E863" s="5" t="str">
        <f>_xlfn.XLOOKUP(fRealizado5[[#This Row],[Conta]],'Plano de Contas'!A:A,'Plano de Contas'!D:D)</f>
        <v>01 - Vendas de Produtos</v>
      </c>
    </row>
    <row r="864" spans="1:5" hidden="1" x14ac:dyDescent="0.25">
      <c r="A864" s="23">
        <f t="shared" si="11"/>
        <v>43647</v>
      </c>
      <c r="B864" s="5" t="s">
        <v>73</v>
      </c>
      <c r="C864" s="5">
        <v>109567</v>
      </c>
      <c r="D864" s="5" t="str">
        <f>_xlfn.XLOOKUP(fRealizado5[[#This Row],[Conta]],'Plano de Contas'!A:A,'Plano de Contas'!C:C)</f>
        <v>(+) RECEITA BRUTA</v>
      </c>
      <c r="E864" s="5" t="str">
        <f>_xlfn.XLOOKUP(fRealizado5[[#This Row],[Conta]],'Plano de Contas'!A:A,'Plano de Contas'!D:D)</f>
        <v>01 - Vendas de Produtos</v>
      </c>
    </row>
    <row r="865" spans="1:5" hidden="1" x14ac:dyDescent="0.25">
      <c r="A865" s="23">
        <f t="shared" si="11"/>
        <v>43647</v>
      </c>
      <c r="B865" s="5" t="s">
        <v>74</v>
      </c>
      <c r="C865" s="5">
        <v>210717</v>
      </c>
      <c r="D865" s="5" t="str">
        <f>_xlfn.XLOOKUP(fRealizado5[[#This Row],[Conta]],'Plano de Contas'!A:A,'Plano de Contas'!C:C)</f>
        <v>(+) RECEITA BRUTA</v>
      </c>
      <c r="E865" s="5" t="str">
        <f>_xlfn.XLOOKUP(fRealizado5[[#This Row],[Conta]],'Plano de Contas'!A:A,'Plano de Contas'!D:D)</f>
        <v>01 - Vendas de Produtos</v>
      </c>
    </row>
    <row r="866" spans="1:5" hidden="1" x14ac:dyDescent="0.25">
      <c r="A866" s="23">
        <f t="shared" si="11"/>
        <v>43647</v>
      </c>
      <c r="B866" s="5" t="s">
        <v>75</v>
      </c>
      <c r="C866" s="5">
        <v>255725</v>
      </c>
      <c r="D866" s="5" t="str">
        <f>_xlfn.XLOOKUP(fRealizado5[[#This Row],[Conta]],'Plano de Contas'!A:A,'Plano de Contas'!C:C)</f>
        <v>(+) RECEITA BRUTA</v>
      </c>
      <c r="E866" s="5" t="str">
        <f>_xlfn.XLOOKUP(fRealizado5[[#This Row],[Conta]],'Plano de Contas'!A:A,'Plano de Contas'!D:D)</f>
        <v>02 - Outras Receitas</v>
      </c>
    </row>
    <row r="867" spans="1:5" hidden="1" x14ac:dyDescent="0.25">
      <c r="A867" s="23">
        <f t="shared" si="11"/>
        <v>43647</v>
      </c>
      <c r="B867" s="5" t="s">
        <v>76</v>
      </c>
      <c r="C867" s="5">
        <v>181437</v>
      </c>
      <c r="D867" s="5" t="str">
        <f>_xlfn.XLOOKUP(fRealizado5[[#This Row],[Conta]],'Plano de Contas'!A:A,'Plano de Contas'!C:C)</f>
        <v>(+) RECEITA BRUTA</v>
      </c>
      <c r="E867" s="5" t="str">
        <f>_xlfn.XLOOKUP(fRealizado5[[#This Row],[Conta]],'Plano de Contas'!A:A,'Plano de Contas'!D:D)</f>
        <v>02 - Outras Receitas</v>
      </c>
    </row>
    <row r="868" spans="1:5" hidden="1" x14ac:dyDescent="0.25">
      <c r="A868" s="23">
        <f t="shared" si="11"/>
        <v>43647</v>
      </c>
      <c r="B868" s="5" t="s">
        <v>77</v>
      </c>
      <c r="C868" s="5">
        <v>261204</v>
      </c>
      <c r="D868" s="5" t="str">
        <f>_xlfn.XLOOKUP(fRealizado5[[#This Row],[Conta]],'Plano de Contas'!A:A,'Plano de Contas'!C:C)</f>
        <v>(+) RECEITA BRUTA</v>
      </c>
      <c r="E868" s="5" t="str">
        <f>_xlfn.XLOOKUP(fRealizado5[[#This Row],[Conta]],'Plano de Contas'!A:A,'Plano de Contas'!D:D)</f>
        <v>02 - Outras Receitas</v>
      </c>
    </row>
    <row r="869" spans="1:5" hidden="1" x14ac:dyDescent="0.25">
      <c r="A869" s="23">
        <f t="shared" si="11"/>
        <v>43647</v>
      </c>
      <c r="B869" s="5" t="s">
        <v>78</v>
      </c>
      <c r="C869" s="5">
        <v>164799</v>
      </c>
      <c r="D869" s="5" t="str">
        <f>_xlfn.XLOOKUP(fRealizado5[[#This Row],[Conta]],'Plano de Contas'!A:A,'Plano de Contas'!C:C)</f>
        <v>(+) RECEITA BRUTA</v>
      </c>
      <c r="E869" s="5" t="str">
        <f>_xlfn.XLOOKUP(fRealizado5[[#This Row],[Conta]],'Plano de Contas'!A:A,'Plano de Contas'!D:D)</f>
        <v>02 - Outras Receitas</v>
      </c>
    </row>
    <row r="870" spans="1:5" hidden="1" x14ac:dyDescent="0.25">
      <c r="A870" s="23">
        <f t="shared" si="11"/>
        <v>43647</v>
      </c>
      <c r="B870" s="5" t="s">
        <v>79</v>
      </c>
      <c r="C870" s="5">
        <v>101642</v>
      </c>
      <c r="D870" s="5" t="str">
        <f>_xlfn.XLOOKUP(fRealizado5[[#This Row],[Conta]],'Plano de Contas'!A:A,'Plano de Contas'!C:C)</f>
        <v>(+) RECEITA BRUTA</v>
      </c>
      <c r="E870" s="5" t="str">
        <f>_xlfn.XLOOKUP(fRealizado5[[#This Row],[Conta]],'Plano de Contas'!A:A,'Plano de Contas'!D:D)</f>
        <v>02 - Outras Receitas</v>
      </c>
    </row>
    <row r="871" spans="1:5" hidden="1" x14ac:dyDescent="0.25">
      <c r="A871" s="23">
        <f t="shared" si="11"/>
        <v>43647</v>
      </c>
      <c r="B871" s="5" t="s">
        <v>80</v>
      </c>
      <c r="C871" s="5">
        <v>102432</v>
      </c>
      <c r="D871" s="5" t="str">
        <f>_xlfn.XLOOKUP(fRealizado5[[#This Row],[Conta]],'Plano de Contas'!A:A,'Plano de Contas'!C:C)</f>
        <v>(+) RECEITA BRUTA</v>
      </c>
      <c r="E871" s="5" t="str">
        <f>_xlfn.XLOOKUP(fRealizado5[[#This Row],[Conta]],'Plano de Contas'!A:A,'Plano de Contas'!D:D)</f>
        <v>02 - Outras Receitas</v>
      </c>
    </row>
    <row r="872" spans="1:5" hidden="1" x14ac:dyDescent="0.25">
      <c r="A872" s="23">
        <f t="shared" si="11"/>
        <v>43647</v>
      </c>
      <c r="B872" s="5" t="s">
        <v>81</v>
      </c>
      <c r="C872" s="5">
        <v>236387</v>
      </c>
      <c r="D872" s="5" t="str">
        <f>_xlfn.XLOOKUP(fRealizado5[[#This Row],[Conta]],'Plano de Contas'!A:A,'Plano de Contas'!C:C)</f>
        <v>(+) RECEITA BRUTA</v>
      </c>
      <c r="E872" s="5" t="str">
        <f>_xlfn.XLOOKUP(fRealizado5[[#This Row],[Conta]],'Plano de Contas'!A:A,'Plano de Contas'!D:D)</f>
        <v>02 - Outras Receitas</v>
      </c>
    </row>
    <row r="873" spans="1:5" hidden="1" x14ac:dyDescent="0.25">
      <c r="A873" s="23">
        <f t="shared" si="11"/>
        <v>43647</v>
      </c>
      <c r="B873" s="5" t="s">
        <v>82</v>
      </c>
      <c r="C873" s="5">
        <v>118087</v>
      </c>
      <c r="D873" s="5" t="str">
        <f>_xlfn.XLOOKUP(fRealizado5[[#This Row],[Conta]],'Plano de Contas'!A:A,'Plano de Contas'!C:C)</f>
        <v>(+) RECEITA BRUTA</v>
      </c>
      <c r="E873" s="5" t="str">
        <f>_xlfn.XLOOKUP(fRealizado5[[#This Row],[Conta]],'Plano de Contas'!A:A,'Plano de Contas'!D:D)</f>
        <v>02 - Outras Receitas</v>
      </c>
    </row>
    <row r="874" spans="1:5" hidden="1" x14ac:dyDescent="0.25">
      <c r="A874" s="23">
        <f t="shared" si="11"/>
        <v>43647</v>
      </c>
      <c r="B874" s="5" t="s">
        <v>83</v>
      </c>
      <c r="C874" s="5">
        <v>240926</v>
      </c>
      <c r="D874" s="5" t="str">
        <f>_xlfn.XLOOKUP(fRealizado5[[#This Row],[Conta]],'Plano de Contas'!A:A,'Plano de Contas'!C:C)</f>
        <v>(+) RECEITA BRUTA</v>
      </c>
      <c r="E874" s="5" t="str">
        <f>_xlfn.XLOOKUP(fRealizado5[[#This Row],[Conta]],'Plano de Contas'!A:A,'Plano de Contas'!D:D)</f>
        <v>02 - Outras Receitas</v>
      </c>
    </row>
    <row r="875" spans="1:5" hidden="1" x14ac:dyDescent="0.25">
      <c r="A875" s="23">
        <f t="shared" si="11"/>
        <v>43647</v>
      </c>
      <c r="B875" s="5" t="s">
        <v>84</v>
      </c>
      <c r="C875" s="5">
        <v>81393</v>
      </c>
      <c r="D875" s="5" t="str">
        <f>_xlfn.XLOOKUP(fRealizado5[[#This Row],[Conta]],'Plano de Contas'!A:A,'Plano de Contas'!C:C)</f>
        <v>(+) RECEITA BRUTA</v>
      </c>
      <c r="E875" s="5" t="str">
        <f>_xlfn.XLOOKUP(fRealizado5[[#This Row],[Conta]],'Plano de Contas'!A:A,'Plano de Contas'!D:D)</f>
        <v>02 - Outras Receitas</v>
      </c>
    </row>
    <row r="876" spans="1:5" hidden="1" x14ac:dyDescent="0.25">
      <c r="A876" s="23">
        <f t="shared" si="11"/>
        <v>43647</v>
      </c>
      <c r="B876" s="5" t="s">
        <v>85</v>
      </c>
      <c r="C876" s="5">
        <v>75182</v>
      </c>
      <c r="D876" s="5" t="str">
        <f>_xlfn.XLOOKUP(fRealizado5[[#This Row],[Conta]],'Plano de Contas'!A:A,'Plano de Contas'!C:C)</f>
        <v>(+) RECEITA BRUTA</v>
      </c>
      <c r="E876" s="5" t="str">
        <f>_xlfn.XLOOKUP(fRealizado5[[#This Row],[Conta]],'Plano de Contas'!A:A,'Plano de Contas'!D:D)</f>
        <v>02 - Outras Receitas</v>
      </c>
    </row>
    <row r="877" spans="1:5" hidden="1" x14ac:dyDescent="0.25">
      <c r="A877" s="23">
        <f t="shared" si="11"/>
        <v>43647</v>
      </c>
      <c r="B877" s="5" t="s">
        <v>86</v>
      </c>
      <c r="C877" s="5">
        <v>162476</v>
      </c>
      <c r="D877" s="5" t="str">
        <f>_xlfn.XLOOKUP(fRealizado5[[#This Row],[Conta]],'Plano de Contas'!A:A,'Plano de Contas'!C:C)</f>
        <v>(+) RECEITA BRUTA</v>
      </c>
      <c r="E877" s="5" t="str">
        <f>_xlfn.XLOOKUP(fRealizado5[[#This Row],[Conta]],'Plano de Contas'!A:A,'Plano de Contas'!D:D)</f>
        <v>02 - Outras Receitas</v>
      </c>
    </row>
    <row r="878" spans="1:5" hidden="1" x14ac:dyDescent="0.25">
      <c r="A878" s="23">
        <f t="shared" si="11"/>
        <v>43647</v>
      </c>
      <c r="B878" s="5" t="s">
        <v>87</v>
      </c>
      <c r="C878" s="5">
        <v>255529</v>
      </c>
      <c r="D878" s="5" t="str">
        <f>_xlfn.XLOOKUP(fRealizado5[[#This Row],[Conta]],'Plano de Contas'!A:A,'Plano de Contas'!C:C)</f>
        <v>(+) RECEITA BRUTA</v>
      </c>
      <c r="E878" s="5" t="str">
        <f>_xlfn.XLOOKUP(fRealizado5[[#This Row],[Conta]],'Plano de Contas'!A:A,'Plano de Contas'!D:D)</f>
        <v>02 - Outras Receitas</v>
      </c>
    </row>
    <row r="879" spans="1:5" hidden="1" x14ac:dyDescent="0.25">
      <c r="A879" s="23">
        <f t="shared" si="11"/>
        <v>43647</v>
      </c>
      <c r="B879" s="5" t="s">
        <v>88</v>
      </c>
      <c r="C879" s="5">
        <v>94297</v>
      </c>
      <c r="D879" s="5" t="str">
        <f>_xlfn.XLOOKUP(fRealizado5[[#This Row],[Conta]],'Plano de Contas'!A:A,'Plano de Contas'!C:C)</f>
        <v>(+) RECEITA BRUTA</v>
      </c>
      <c r="E879" s="5" t="str">
        <f>_xlfn.XLOOKUP(fRealizado5[[#This Row],[Conta]],'Plano de Contas'!A:A,'Plano de Contas'!D:D)</f>
        <v>02 - Outras Receitas</v>
      </c>
    </row>
    <row r="880" spans="1:5" hidden="1" x14ac:dyDescent="0.25">
      <c r="A880" s="23">
        <f t="shared" si="11"/>
        <v>43647</v>
      </c>
      <c r="B880" s="5" t="s">
        <v>89</v>
      </c>
      <c r="C880" s="5">
        <v>135280</v>
      </c>
      <c r="D880" s="5" t="str">
        <f>_xlfn.XLOOKUP(fRealizado5[[#This Row],[Conta]],'Plano de Contas'!A:A,'Plano de Contas'!C:C)</f>
        <v>(+) RECEITA BRUTA</v>
      </c>
      <c r="E880" s="5" t="str">
        <f>_xlfn.XLOOKUP(fRealizado5[[#This Row],[Conta]],'Plano de Contas'!A:A,'Plano de Contas'!D:D)</f>
        <v>02 - Outras Receitas</v>
      </c>
    </row>
    <row r="881" spans="1:5" hidden="1" x14ac:dyDescent="0.25">
      <c r="A881" s="23">
        <f t="shared" si="11"/>
        <v>43647</v>
      </c>
      <c r="B881" s="5" t="s">
        <v>90</v>
      </c>
      <c r="C881" s="5">
        <v>230187</v>
      </c>
      <c r="D881" s="5" t="str">
        <f>_xlfn.XLOOKUP(fRealizado5[[#This Row],[Conta]],'Plano de Contas'!A:A,'Plano de Contas'!C:C)</f>
        <v>(+) RECEITA BRUTA</v>
      </c>
      <c r="E881" s="5" t="str">
        <f>_xlfn.XLOOKUP(fRealizado5[[#This Row],[Conta]],'Plano de Contas'!A:A,'Plano de Contas'!D:D)</f>
        <v>02 - Outras Receitas</v>
      </c>
    </row>
    <row r="882" spans="1:5" hidden="1" x14ac:dyDescent="0.25">
      <c r="A882" s="23">
        <f t="shared" si="11"/>
        <v>43647</v>
      </c>
      <c r="B882" s="5" t="s">
        <v>91</v>
      </c>
      <c r="C882" s="5">
        <v>157100</v>
      </c>
      <c r="D882" s="5" t="str">
        <f>_xlfn.XLOOKUP(fRealizado5[[#This Row],[Conta]],'Plano de Contas'!A:A,'Plano de Contas'!C:C)</f>
        <v>(+) RECEITA BRUTA</v>
      </c>
      <c r="E882" s="5" t="str">
        <f>_xlfn.XLOOKUP(fRealizado5[[#This Row],[Conta]],'Plano de Contas'!A:A,'Plano de Contas'!D:D)</f>
        <v>02 - Outras Receitas</v>
      </c>
    </row>
    <row r="883" spans="1:5" hidden="1" x14ac:dyDescent="0.25">
      <c r="A883" s="23">
        <f t="shared" si="11"/>
        <v>43647</v>
      </c>
      <c r="B883" s="5" t="s">
        <v>92</v>
      </c>
      <c r="C883" s="5">
        <v>169230</v>
      </c>
      <c r="D883" s="5" t="str">
        <f>_xlfn.XLOOKUP(fRealizado5[[#This Row],[Conta]],'Plano de Contas'!A:A,'Plano de Contas'!C:C)</f>
        <v>(+) RECEITA BRUTA</v>
      </c>
      <c r="E883" s="5" t="str">
        <f>_xlfn.XLOOKUP(fRealizado5[[#This Row],[Conta]],'Plano de Contas'!A:A,'Plano de Contas'!D:D)</f>
        <v>02 - Outras Receitas</v>
      </c>
    </row>
    <row r="884" spans="1:5" hidden="1" x14ac:dyDescent="0.25">
      <c r="A884" s="23">
        <f t="shared" si="11"/>
        <v>43647</v>
      </c>
      <c r="B884" s="5" t="s">
        <v>93</v>
      </c>
      <c r="C884" s="5">
        <v>230429</v>
      </c>
      <c r="D884" s="5" t="str">
        <f>_xlfn.XLOOKUP(fRealizado5[[#This Row],[Conta]],'Plano de Contas'!A:A,'Plano de Contas'!C:C)</f>
        <v>(+) RECEITA BRUTA</v>
      </c>
      <c r="E884" s="5" t="str">
        <f>_xlfn.XLOOKUP(fRealizado5[[#This Row],[Conta]],'Plano de Contas'!A:A,'Plano de Contas'!D:D)</f>
        <v>02 - Outras Receitas</v>
      </c>
    </row>
    <row r="885" spans="1:5" hidden="1" x14ac:dyDescent="0.25">
      <c r="A885" s="23">
        <f t="shared" si="11"/>
        <v>43647</v>
      </c>
      <c r="B885" s="5" t="s">
        <v>94</v>
      </c>
      <c r="C885" s="5">
        <v>120288</v>
      </c>
      <c r="D885" s="5" t="str">
        <f>_xlfn.XLOOKUP(fRealizado5[[#This Row],[Conta]],'Plano de Contas'!A:A,'Plano de Contas'!C:C)</f>
        <v>(+) RECEITA BRUTA</v>
      </c>
      <c r="E885" s="5" t="str">
        <f>_xlfn.XLOOKUP(fRealizado5[[#This Row],[Conta]],'Plano de Contas'!A:A,'Plano de Contas'!D:D)</f>
        <v>02 - Outras Receitas</v>
      </c>
    </row>
    <row r="886" spans="1:5" hidden="1" x14ac:dyDescent="0.25">
      <c r="A886" s="23">
        <f t="shared" si="11"/>
        <v>43647</v>
      </c>
      <c r="B886" s="5" t="s">
        <v>95</v>
      </c>
      <c r="C886" s="5">
        <v>257672</v>
      </c>
      <c r="D886" s="5" t="str">
        <f>_xlfn.XLOOKUP(fRealizado5[[#This Row],[Conta]],'Plano de Contas'!A:A,'Plano de Contas'!C:C)</f>
        <v>(+) RECEITA BRUTA</v>
      </c>
      <c r="E886" s="5" t="str">
        <f>_xlfn.XLOOKUP(fRealizado5[[#This Row],[Conta]],'Plano de Contas'!A:A,'Plano de Contas'!D:D)</f>
        <v>02 - Outras Receitas</v>
      </c>
    </row>
    <row r="887" spans="1:5" hidden="1" x14ac:dyDescent="0.25">
      <c r="A887" s="23">
        <f t="shared" si="11"/>
        <v>43647</v>
      </c>
      <c r="B887" s="5" t="s">
        <v>96</v>
      </c>
      <c r="C887" s="5">
        <v>228664</v>
      </c>
      <c r="D887" s="5" t="str">
        <f>_xlfn.XLOOKUP(fRealizado5[[#This Row],[Conta]],'Plano de Contas'!A:A,'Plano de Contas'!C:C)</f>
        <v>(+) RECEITA BRUTA</v>
      </c>
      <c r="E887" s="5" t="str">
        <f>_xlfn.XLOOKUP(fRealizado5[[#This Row],[Conta]],'Plano de Contas'!A:A,'Plano de Contas'!D:D)</f>
        <v>02 - Outras Receitas</v>
      </c>
    </row>
    <row r="888" spans="1:5" hidden="1" x14ac:dyDescent="0.25">
      <c r="A888" s="23">
        <f t="shared" si="11"/>
        <v>43647</v>
      </c>
      <c r="B888" s="5" t="s">
        <v>97</v>
      </c>
      <c r="C888" s="5">
        <v>271418</v>
      </c>
      <c r="D888" s="5" t="str">
        <f>_xlfn.XLOOKUP(fRealizado5[[#This Row],[Conta]],'Plano de Contas'!A:A,'Plano de Contas'!C:C)</f>
        <v>(+) RECEITA BRUTA</v>
      </c>
      <c r="E888" s="5" t="str">
        <f>_xlfn.XLOOKUP(fRealizado5[[#This Row],[Conta]],'Plano de Contas'!A:A,'Plano de Contas'!D:D)</f>
        <v>02 - Outras Receitas</v>
      </c>
    </row>
    <row r="889" spans="1:5" hidden="1" x14ac:dyDescent="0.25">
      <c r="A889" s="23">
        <f t="shared" si="11"/>
        <v>43647</v>
      </c>
      <c r="B889" s="5" t="s">
        <v>98</v>
      </c>
      <c r="C889" s="5">
        <v>228218</v>
      </c>
      <c r="D889" s="5" t="str">
        <f>_xlfn.XLOOKUP(fRealizado5[[#This Row],[Conta]],'Plano de Contas'!A:A,'Plano de Contas'!C:C)</f>
        <v>(+) RECEITA BRUTA</v>
      </c>
      <c r="E889" s="5" t="str">
        <f>_xlfn.XLOOKUP(fRealizado5[[#This Row],[Conta]],'Plano de Contas'!A:A,'Plano de Contas'!D:D)</f>
        <v>02 - Outras Receitas</v>
      </c>
    </row>
    <row r="890" spans="1:5" hidden="1" x14ac:dyDescent="0.25">
      <c r="A890" s="23">
        <f t="shared" si="11"/>
        <v>43647</v>
      </c>
      <c r="B890" s="5" t="s">
        <v>99</v>
      </c>
      <c r="C890" s="5">
        <v>96442</v>
      </c>
      <c r="D890" s="5" t="str">
        <f>_xlfn.XLOOKUP(fRealizado5[[#This Row],[Conta]],'Plano de Contas'!A:A,'Plano de Contas'!C:C)</f>
        <v>(+) RECEITA BRUTA</v>
      </c>
      <c r="E890" s="5" t="str">
        <f>_xlfn.XLOOKUP(fRealizado5[[#This Row],[Conta]],'Plano de Contas'!A:A,'Plano de Contas'!D:D)</f>
        <v>02 - Outras Receitas</v>
      </c>
    </row>
    <row r="891" spans="1:5" hidden="1" x14ac:dyDescent="0.25">
      <c r="A891" s="23">
        <f t="shared" si="11"/>
        <v>43647</v>
      </c>
      <c r="B891" s="5" t="s">
        <v>100</v>
      </c>
      <c r="C891" s="5">
        <v>160328</v>
      </c>
      <c r="D891" s="5" t="str">
        <f>_xlfn.XLOOKUP(fRealizado5[[#This Row],[Conta]],'Plano de Contas'!A:A,'Plano de Contas'!C:C)</f>
        <v>(+) RECEITA BRUTA</v>
      </c>
      <c r="E891" s="5" t="str">
        <f>_xlfn.XLOOKUP(fRealizado5[[#This Row],[Conta]],'Plano de Contas'!A:A,'Plano de Contas'!D:D)</f>
        <v>02 - Outras Receitas</v>
      </c>
    </row>
    <row r="892" spans="1:5" hidden="1" x14ac:dyDescent="0.25">
      <c r="A892" s="23">
        <f t="shared" si="11"/>
        <v>43647</v>
      </c>
      <c r="B892" s="5" t="s">
        <v>101</v>
      </c>
      <c r="C892" s="5">
        <v>68978</v>
      </c>
      <c r="D892" s="5" t="str">
        <f>_xlfn.XLOOKUP(fRealizado5[[#This Row],[Conta]],'Plano de Contas'!A:A,'Plano de Contas'!C:C)</f>
        <v>(+) RECEITA BRUTA</v>
      </c>
      <c r="E892" s="5" t="str">
        <f>_xlfn.XLOOKUP(fRealizado5[[#This Row],[Conta]],'Plano de Contas'!A:A,'Plano de Contas'!D:D)</f>
        <v>02 - Outras Receitas</v>
      </c>
    </row>
    <row r="893" spans="1:5" hidden="1" x14ac:dyDescent="0.25">
      <c r="A893" s="23">
        <f t="shared" si="11"/>
        <v>43647</v>
      </c>
      <c r="B893" s="5" t="s">
        <v>102</v>
      </c>
      <c r="C893" s="5">
        <v>295477</v>
      </c>
      <c r="D893" s="5" t="str">
        <f>_xlfn.XLOOKUP(fRealizado5[[#This Row],[Conta]],'Plano de Contas'!A:A,'Plano de Contas'!C:C)</f>
        <v>(+) RECEITA BRUTA</v>
      </c>
      <c r="E893" s="5" t="str">
        <f>_xlfn.XLOOKUP(fRealizado5[[#This Row],[Conta]],'Plano de Contas'!A:A,'Plano de Contas'!D:D)</f>
        <v>02 - Outras Receitas</v>
      </c>
    </row>
    <row r="894" spans="1:5" hidden="1" x14ac:dyDescent="0.25">
      <c r="A894" s="23">
        <f t="shared" si="11"/>
        <v>43647</v>
      </c>
      <c r="B894" s="5" t="s">
        <v>103</v>
      </c>
      <c r="C894" s="5">
        <v>109037</v>
      </c>
      <c r="D894" s="5" t="str">
        <f>_xlfn.XLOOKUP(fRealizado5[[#This Row],[Conta]],'Plano de Contas'!A:A,'Plano de Contas'!C:C)</f>
        <v>(+) RECEITA BRUTA</v>
      </c>
      <c r="E894" s="5" t="str">
        <f>_xlfn.XLOOKUP(fRealizado5[[#This Row],[Conta]],'Plano de Contas'!A:A,'Plano de Contas'!D:D)</f>
        <v>02 - Outras Receitas</v>
      </c>
    </row>
    <row r="895" spans="1:5" hidden="1" x14ac:dyDescent="0.25">
      <c r="A895" s="23">
        <f t="shared" si="11"/>
        <v>43647</v>
      </c>
      <c r="B895" s="5" t="s">
        <v>104</v>
      </c>
      <c r="C895" s="5">
        <v>184672</v>
      </c>
      <c r="D895" s="5" t="str">
        <f>_xlfn.XLOOKUP(fRealizado5[[#This Row],[Conta]],'Plano de Contas'!A:A,'Plano de Contas'!C:C)</f>
        <v>(+) RECEITA BRUTA</v>
      </c>
      <c r="E895" s="5" t="str">
        <f>_xlfn.XLOOKUP(fRealizado5[[#This Row],[Conta]],'Plano de Contas'!A:A,'Plano de Contas'!D:D)</f>
        <v>02 - Outras Receitas</v>
      </c>
    </row>
    <row r="896" spans="1:5" hidden="1" x14ac:dyDescent="0.25">
      <c r="A896" s="23">
        <f t="shared" si="11"/>
        <v>43647</v>
      </c>
      <c r="B896" s="5" t="s">
        <v>105</v>
      </c>
      <c r="C896" s="5">
        <v>122866</v>
      </c>
      <c r="D896" s="5" t="str">
        <f>_xlfn.XLOOKUP(fRealizado5[[#This Row],[Conta]],'Plano de Contas'!A:A,'Plano de Contas'!C:C)</f>
        <v>(+) RECEITA BRUTA</v>
      </c>
      <c r="E896" s="5" t="str">
        <f>_xlfn.XLOOKUP(fRealizado5[[#This Row],[Conta]],'Plano de Contas'!A:A,'Plano de Contas'!D:D)</f>
        <v>02 - Outras Receitas</v>
      </c>
    </row>
    <row r="897" spans="1:5" hidden="1" x14ac:dyDescent="0.25">
      <c r="A897" s="23">
        <f t="shared" si="11"/>
        <v>43647</v>
      </c>
      <c r="B897" s="5" t="s">
        <v>106</v>
      </c>
      <c r="C897" s="5">
        <v>241015</v>
      </c>
      <c r="D897" s="5" t="str">
        <f>_xlfn.XLOOKUP(fRealizado5[[#This Row],[Conta]],'Plano de Contas'!A:A,'Plano de Contas'!C:C)</f>
        <v>(+) RECEITA BRUTA</v>
      </c>
      <c r="E897" s="5" t="str">
        <f>_xlfn.XLOOKUP(fRealizado5[[#This Row],[Conta]],'Plano de Contas'!A:A,'Plano de Contas'!D:D)</f>
        <v>02 - Outras Receitas</v>
      </c>
    </row>
    <row r="898" spans="1:5" hidden="1" x14ac:dyDescent="0.25">
      <c r="A898" s="23">
        <f t="shared" si="11"/>
        <v>43647</v>
      </c>
      <c r="B898" s="5" t="s">
        <v>107</v>
      </c>
      <c r="C898" s="5">
        <v>168724</v>
      </c>
      <c r="D898" s="5" t="str">
        <f>_xlfn.XLOOKUP(fRealizado5[[#This Row],[Conta]],'Plano de Contas'!A:A,'Plano de Contas'!C:C)</f>
        <v>(+) RECEITA BRUTA</v>
      </c>
      <c r="E898" s="5" t="str">
        <f>_xlfn.XLOOKUP(fRealizado5[[#This Row],[Conta]],'Plano de Contas'!A:A,'Plano de Contas'!D:D)</f>
        <v>02 - Outras Receitas</v>
      </c>
    </row>
    <row r="899" spans="1:5" hidden="1" x14ac:dyDescent="0.25">
      <c r="A899" s="23">
        <f t="shared" si="11"/>
        <v>43647</v>
      </c>
      <c r="B899" s="5" t="s">
        <v>108</v>
      </c>
      <c r="C899" s="5">
        <v>86960</v>
      </c>
      <c r="D899" s="5" t="str">
        <f>_xlfn.XLOOKUP(fRealizado5[[#This Row],[Conta]],'Plano de Contas'!A:A,'Plano de Contas'!C:C)</f>
        <v>(+) RECEITA BRUTA</v>
      </c>
      <c r="E899" s="5" t="str">
        <f>_xlfn.XLOOKUP(fRealizado5[[#This Row],[Conta]],'Plano de Contas'!A:A,'Plano de Contas'!D:D)</f>
        <v>02 - Outras Receitas</v>
      </c>
    </row>
    <row r="900" spans="1:5" hidden="1" x14ac:dyDescent="0.25">
      <c r="A900" s="23">
        <f t="shared" si="11"/>
        <v>43647</v>
      </c>
      <c r="B900" s="5" t="s">
        <v>109</v>
      </c>
      <c r="C900" s="5">
        <v>159486</v>
      </c>
      <c r="D900" s="5" t="str">
        <f>_xlfn.XLOOKUP(fRealizado5[[#This Row],[Conta]],'Plano de Contas'!A:A,'Plano de Contas'!C:C)</f>
        <v>(+) RECEITA BRUTA</v>
      </c>
      <c r="E900" s="5" t="str">
        <f>_xlfn.XLOOKUP(fRealizado5[[#This Row],[Conta]],'Plano de Contas'!A:A,'Plano de Contas'!D:D)</f>
        <v>02 - Outras Receitas</v>
      </c>
    </row>
    <row r="901" spans="1:5" hidden="1" x14ac:dyDescent="0.25">
      <c r="A901" s="23">
        <f t="shared" si="11"/>
        <v>43647</v>
      </c>
      <c r="B901" s="5" t="s">
        <v>110</v>
      </c>
      <c r="C901" s="5">
        <v>-1272</v>
      </c>
      <c r="D901" s="5" t="str">
        <f>_xlfn.XLOOKUP(fRealizado5[[#This Row],[Conta]],'Plano de Contas'!A:A,'Plano de Contas'!C:C)</f>
        <v>(-) Deduções da Receita</v>
      </c>
      <c r="E901" s="5" t="str">
        <f>_xlfn.XLOOKUP(fRealizado5[[#This Row],[Conta]],'Plano de Contas'!A:A,'Plano de Contas'!D:D)</f>
        <v>03 - Devoluções de Produtos</v>
      </c>
    </row>
    <row r="902" spans="1:5" hidden="1" x14ac:dyDescent="0.25">
      <c r="A902" s="23">
        <f t="shared" si="11"/>
        <v>43647</v>
      </c>
      <c r="B902" s="5" t="s">
        <v>111</v>
      </c>
      <c r="C902" s="5">
        <v>-8580</v>
      </c>
      <c r="D902" s="5" t="str">
        <f>_xlfn.XLOOKUP(fRealizado5[[#This Row],[Conta]],'Plano de Contas'!A:A,'Plano de Contas'!C:C)</f>
        <v>(-) Deduções da Receita</v>
      </c>
      <c r="E902" s="5" t="str">
        <f>_xlfn.XLOOKUP(fRealizado5[[#This Row],[Conta]],'Plano de Contas'!A:A,'Plano de Contas'!D:D)</f>
        <v>03 - Devoluções de Produtos</v>
      </c>
    </row>
    <row r="903" spans="1:5" hidden="1" x14ac:dyDescent="0.25">
      <c r="A903" s="23">
        <f t="shared" si="11"/>
        <v>43647</v>
      </c>
      <c r="B903" s="5" t="s">
        <v>112</v>
      </c>
      <c r="C903" s="5">
        <v>-1573</v>
      </c>
      <c r="D903" s="5" t="str">
        <f>_xlfn.XLOOKUP(fRealizado5[[#This Row],[Conta]],'Plano de Contas'!A:A,'Plano de Contas'!C:C)</f>
        <v>(-) Deduções da Receita</v>
      </c>
      <c r="E903" s="5" t="str">
        <f>_xlfn.XLOOKUP(fRealizado5[[#This Row],[Conta]],'Plano de Contas'!A:A,'Plano de Contas'!D:D)</f>
        <v>03 - Devoluções de Produtos</v>
      </c>
    </row>
    <row r="904" spans="1:5" hidden="1" x14ac:dyDescent="0.25">
      <c r="A904" s="23">
        <f t="shared" si="11"/>
        <v>43647</v>
      </c>
      <c r="B904" s="5" t="s">
        <v>113</v>
      </c>
      <c r="C904" s="5">
        <v>-1233</v>
      </c>
      <c r="D904" s="5" t="str">
        <f>_xlfn.XLOOKUP(fRealizado5[[#This Row],[Conta]],'Plano de Contas'!A:A,'Plano de Contas'!C:C)</f>
        <v>(-) Deduções da Receita</v>
      </c>
      <c r="E904" s="5" t="str">
        <f>_xlfn.XLOOKUP(fRealizado5[[#This Row],[Conta]],'Plano de Contas'!A:A,'Plano de Contas'!D:D)</f>
        <v>03 - Devoluções de Produtos</v>
      </c>
    </row>
    <row r="905" spans="1:5" hidden="1" x14ac:dyDescent="0.25">
      <c r="A905" s="23">
        <f t="shared" si="11"/>
        <v>43647</v>
      </c>
      <c r="B905" s="5" t="s">
        <v>114</v>
      </c>
      <c r="C905" s="5">
        <v>-7908</v>
      </c>
      <c r="D905" s="5" t="str">
        <f>_xlfn.XLOOKUP(fRealizado5[[#This Row],[Conta]],'Plano de Contas'!A:A,'Plano de Contas'!C:C)</f>
        <v>(-) Deduções da Receita</v>
      </c>
      <c r="E905" s="5" t="str">
        <f>_xlfn.XLOOKUP(fRealizado5[[#This Row],[Conta]],'Plano de Contas'!A:A,'Plano de Contas'!D:D)</f>
        <v>03 - Devoluções de Produtos</v>
      </c>
    </row>
    <row r="906" spans="1:5" hidden="1" x14ac:dyDescent="0.25">
      <c r="A906" s="23">
        <f t="shared" si="11"/>
        <v>43647</v>
      </c>
      <c r="B906" s="5" t="s">
        <v>115</v>
      </c>
      <c r="C906" s="5">
        <v>-7314</v>
      </c>
      <c r="D906" s="5" t="str">
        <f>_xlfn.XLOOKUP(fRealizado5[[#This Row],[Conta]],'Plano de Contas'!A:A,'Plano de Contas'!C:C)</f>
        <v>(-) Deduções da Receita</v>
      </c>
      <c r="E906" s="5" t="str">
        <f>_xlfn.XLOOKUP(fRealizado5[[#This Row],[Conta]],'Plano de Contas'!A:A,'Plano de Contas'!D:D)</f>
        <v>03 - Devoluções de Produtos</v>
      </c>
    </row>
    <row r="907" spans="1:5" hidden="1" x14ac:dyDescent="0.25">
      <c r="A907" s="23">
        <f t="shared" si="11"/>
        <v>43647</v>
      </c>
      <c r="B907" s="5" t="s">
        <v>116</v>
      </c>
      <c r="C907" s="5">
        <v>-1433</v>
      </c>
      <c r="D907" s="5" t="str">
        <f>_xlfn.XLOOKUP(fRealizado5[[#This Row],[Conta]],'Plano de Contas'!A:A,'Plano de Contas'!C:C)</f>
        <v>(-) Deduções da Receita</v>
      </c>
      <c r="E907" s="5" t="str">
        <f>_xlfn.XLOOKUP(fRealizado5[[#This Row],[Conta]],'Plano de Contas'!A:A,'Plano de Contas'!D:D)</f>
        <v>03 - Devoluções de Produtos</v>
      </c>
    </row>
    <row r="908" spans="1:5" hidden="1" x14ac:dyDescent="0.25">
      <c r="A908" s="23">
        <f t="shared" si="11"/>
        <v>43647</v>
      </c>
      <c r="B908" s="5" t="s">
        <v>117</v>
      </c>
      <c r="C908" s="5">
        <v>-3524</v>
      </c>
      <c r="D908" s="5" t="str">
        <f>_xlfn.XLOOKUP(fRealizado5[[#This Row],[Conta]],'Plano de Contas'!A:A,'Plano de Contas'!C:C)</f>
        <v>(-) Deduções da Receita</v>
      </c>
      <c r="E908" s="5" t="str">
        <f>_xlfn.XLOOKUP(fRealizado5[[#This Row],[Conta]],'Plano de Contas'!A:A,'Plano de Contas'!D:D)</f>
        <v>03 - Devoluções de Produtos</v>
      </c>
    </row>
    <row r="909" spans="1:5" hidden="1" x14ac:dyDescent="0.25">
      <c r="A909" s="23">
        <f t="shared" si="11"/>
        <v>43647</v>
      </c>
      <c r="B909" s="5" t="s">
        <v>118</v>
      </c>
      <c r="C909" s="5">
        <v>-1550</v>
      </c>
      <c r="D909" s="5" t="str">
        <f>_xlfn.XLOOKUP(fRealizado5[[#This Row],[Conta]],'Plano de Contas'!A:A,'Plano de Contas'!C:C)</f>
        <v>(-) Deduções da Receita</v>
      </c>
      <c r="E909" s="5" t="str">
        <f>_xlfn.XLOOKUP(fRealizado5[[#This Row],[Conta]],'Plano de Contas'!A:A,'Plano de Contas'!D:D)</f>
        <v>03 - Devoluções de Produtos</v>
      </c>
    </row>
    <row r="910" spans="1:5" hidden="1" x14ac:dyDescent="0.25">
      <c r="A910" s="23">
        <f t="shared" si="11"/>
        <v>43647</v>
      </c>
      <c r="B910" s="5" t="s">
        <v>119</v>
      </c>
      <c r="C910" s="5">
        <v>-6338</v>
      </c>
      <c r="D910" s="5" t="str">
        <f>_xlfn.XLOOKUP(fRealizado5[[#This Row],[Conta]],'Plano de Contas'!A:A,'Plano de Contas'!C:C)</f>
        <v>(-) Deduções da Receita</v>
      </c>
      <c r="E910" s="5" t="str">
        <f>_xlfn.XLOOKUP(fRealizado5[[#This Row],[Conta]],'Plano de Contas'!A:A,'Plano de Contas'!D:D)</f>
        <v>03 - Devoluções de Produtos</v>
      </c>
    </row>
    <row r="911" spans="1:5" hidden="1" x14ac:dyDescent="0.25">
      <c r="A911" s="23">
        <f t="shared" ref="A911:A974" si="12">EDATE(A771,1)</f>
        <v>43647</v>
      </c>
      <c r="B911" s="5" t="s">
        <v>120</v>
      </c>
      <c r="C911" s="5">
        <v>-2592</v>
      </c>
      <c r="D911" s="5" t="str">
        <f>_xlfn.XLOOKUP(fRealizado5[[#This Row],[Conta]],'Plano de Contas'!A:A,'Plano de Contas'!C:C)</f>
        <v>(-) Deduções da Receita</v>
      </c>
      <c r="E911" s="5" t="str">
        <f>_xlfn.XLOOKUP(fRealizado5[[#This Row],[Conta]],'Plano de Contas'!A:A,'Plano de Contas'!D:D)</f>
        <v>03 - Devoluções de Produtos</v>
      </c>
    </row>
    <row r="912" spans="1:5" hidden="1" x14ac:dyDescent="0.25">
      <c r="A912" s="23">
        <f t="shared" si="12"/>
        <v>43647</v>
      </c>
      <c r="B912" s="5" t="s">
        <v>121</v>
      </c>
      <c r="C912" s="5">
        <v>-9505</v>
      </c>
      <c r="D912" s="5" t="str">
        <f>_xlfn.XLOOKUP(fRealizado5[[#This Row],[Conta]],'Plano de Contas'!A:A,'Plano de Contas'!C:C)</f>
        <v>(-) Deduções da Receita</v>
      </c>
      <c r="E912" s="5" t="str">
        <f>_xlfn.XLOOKUP(fRealizado5[[#This Row],[Conta]],'Plano de Contas'!A:A,'Plano de Contas'!D:D)</f>
        <v>03 - Devoluções de Produtos</v>
      </c>
    </row>
    <row r="913" spans="1:5" hidden="1" x14ac:dyDescent="0.25">
      <c r="A913" s="23">
        <f t="shared" si="12"/>
        <v>43647</v>
      </c>
      <c r="B913" s="5" t="s">
        <v>122</v>
      </c>
      <c r="C913" s="5">
        <v>-1130</v>
      </c>
      <c r="D913" s="5" t="str">
        <f>_xlfn.XLOOKUP(fRealizado5[[#This Row],[Conta]],'Plano de Contas'!A:A,'Plano de Contas'!C:C)</f>
        <v>(-) Deduções da Receita</v>
      </c>
      <c r="E913" s="5" t="str">
        <f>_xlfn.XLOOKUP(fRealizado5[[#This Row],[Conta]],'Plano de Contas'!A:A,'Plano de Contas'!D:D)</f>
        <v>03 - Devoluções de Produtos</v>
      </c>
    </row>
    <row r="914" spans="1:5" hidden="1" x14ac:dyDescent="0.25">
      <c r="A914" s="23">
        <f t="shared" si="12"/>
        <v>43647</v>
      </c>
      <c r="B914" s="5" t="s">
        <v>123</v>
      </c>
      <c r="C914" s="5">
        <v>-2146</v>
      </c>
      <c r="D914" s="5" t="str">
        <f>_xlfn.XLOOKUP(fRealizado5[[#This Row],[Conta]],'Plano de Contas'!A:A,'Plano de Contas'!C:C)</f>
        <v>(-) Deduções da Receita</v>
      </c>
      <c r="E914" s="5" t="str">
        <f>_xlfn.XLOOKUP(fRealizado5[[#This Row],[Conta]],'Plano de Contas'!A:A,'Plano de Contas'!D:D)</f>
        <v>03 - Devoluções de Produtos</v>
      </c>
    </row>
    <row r="915" spans="1:5" hidden="1" x14ac:dyDescent="0.25">
      <c r="A915" s="23">
        <f t="shared" si="12"/>
        <v>43647</v>
      </c>
      <c r="B915" s="5" t="s">
        <v>124</v>
      </c>
      <c r="C915" s="5">
        <v>-3959</v>
      </c>
      <c r="D915" s="5" t="str">
        <f>_xlfn.XLOOKUP(fRealizado5[[#This Row],[Conta]],'Plano de Contas'!A:A,'Plano de Contas'!C:C)</f>
        <v>(-) Deduções da Receita</v>
      </c>
      <c r="E915" s="5" t="str">
        <f>_xlfn.XLOOKUP(fRealizado5[[#This Row],[Conta]],'Plano de Contas'!A:A,'Plano de Contas'!D:D)</f>
        <v>03 - Devoluções de Produtos</v>
      </c>
    </row>
    <row r="916" spans="1:5" hidden="1" x14ac:dyDescent="0.25">
      <c r="A916" s="23">
        <f t="shared" si="12"/>
        <v>43647</v>
      </c>
      <c r="B916" s="5" t="s">
        <v>125</v>
      </c>
      <c r="C916" s="5">
        <v>-9815</v>
      </c>
      <c r="D916" s="5" t="str">
        <f>_xlfn.XLOOKUP(fRealizado5[[#This Row],[Conta]],'Plano de Contas'!A:A,'Plano de Contas'!C:C)</f>
        <v>(-) Deduções da Receita</v>
      </c>
      <c r="E916" s="5" t="str">
        <f>_xlfn.XLOOKUP(fRealizado5[[#This Row],[Conta]],'Plano de Contas'!A:A,'Plano de Contas'!D:D)</f>
        <v>03 - Devoluções de Produtos</v>
      </c>
    </row>
    <row r="917" spans="1:5" hidden="1" x14ac:dyDescent="0.25">
      <c r="A917" s="23">
        <f t="shared" si="12"/>
        <v>43647</v>
      </c>
      <c r="B917" s="5" t="s">
        <v>126</v>
      </c>
      <c r="C917" s="5">
        <v>-3694</v>
      </c>
      <c r="D917" s="5" t="str">
        <f>_xlfn.XLOOKUP(fRealizado5[[#This Row],[Conta]],'Plano de Contas'!A:A,'Plano de Contas'!C:C)</f>
        <v>(-) Deduções da Receita</v>
      </c>
      <c r="E917" s="5" t="str">
        <f>_xlfn.XLOOKUP(fRealizado5[[#This Row],[Conta]],'Plano de Contas'!A:A,'Plano de Contas'!D:D)</f>
        <v>03 - Devoluções de Produtos</v>
      </c>
    </row>
    <row r="918" spans="1:5" hidden="1" x14ac:dyDescent="0.25">
      <c r="A918" s="23">
        <f t="shared" si="12"/>
        <v>43647</v>
      </c>
      <c r="B918" s="5" t="s">
        <v>127</v>
      </c>
      <c r="C918" s="5">
        <v>-7245</v>
      </c>
      <c r="D918" s="5" t="str">
        <f>_xlfn.XLOOKUP(fRealizado5[[#This Row],[Conta]],'Plano de Contas'!A:A,'Plano de Contas'!C:C)</f>
        <v>(-) Deduções da Receita</v>
      </c>
      <c r="E918" s="5" t="str">
        <f>_xlfn.XLOOKUP(fRealizado5[[#This Row],[Conta]],'Plano de Contas'!A:A,'Plano de Contas'!D:D)</f>
        <v>03 - Devoluções de Produtos</v>
      </c>
    </row>
    <row r="919" spans="1:5" hidden="1" x14ac:dyDescent="0.25">
      <c r="A919" s="23">
        <f t="shared" si="12"/>
        <v>43647</v>
      </c>
      <c r="B919" s="5" t="s">
        <v>128</v>
      </c>
      <c r="C919" s="5">
        <v>-2321</v>
      </c>
      <c r="D919" s="5" t="str">
        <f>_xlfn.XLOOKUP(fRealizado5[[#This Row],[Conta]],'Plano de Contas'!A:A,'Plano de Contas'!C:C)</f>
        <v>(-) Deduções da Receita</v>
      </c>
      <c r="E919" s="5" t="str">
        <f>_xlfn.XLOOKUP(fRealizado5[[#This Row],[Conta]],'Plano de Contas'!A:A,'Plano de Contas'!D:D)</f>
        <v>03 - Devoluções de Produtos</v>
      </c>
    </row>
    <row r="920" spans="1:5" hidden="1" x14ac:dyDescent="0.25">
      <c r="A920" s="23">
        <f t="shared" si="12"/>
        <v>43647</v>
      </c>
      <c r="B920" s="5" t="s">
        <v>129</v>
      </c>
      <c r="C920" s="5">
        <v>-4408</v>
      </c>
      <c r="D920" s="5" t="str">
        <f>_xlfn.XLOOKUP(fRealizado5[[#This Row],[Conta]],'Plano de Contas'!A:A,'Plano de Contas'!C:C)</f>
        <v>(-) Deduções da Receita</v>
      </c>
      <c r="E920" s="5" t="str">
        <f>_xlfn.XLOOKUP(fRealizado5[[#This Row],[Conta]],'Plano de Contas'!A:A,'Plano de Contas'!D:D)</f>
        <v>03 - Devoluções de Produtos</v>
      </c>
    </row>
    <row r="921" spans="1:5" hidden="1" x14ac:dyDescent="0.25">
      <c r="A921" s="23">
        <f t="shared" si="12"/>
        <v>43647</v>
      </c>
      <c r="B921" s="5" t="s">
        <v>130</v>
      </c>
      <c r="C921" s="5">
        <v>-4225</v>
      </c>
      <c r="D921" s="5" t="str">
        <f>_xlfn.XLOOKUP(fRealizado5[[#This Row],[Conta]],'Plano de Contas'!A:A,'Plano de Contas'!C:C)</f>
        <v>(-) Deduções da Receita</v>
      </c>
      <c r="E921" s="5" t="str">
        <f>_xlfn.XLOOKUP(fRealizado5[[#This Row],[Conta]],'Plano de Contas'!A:A,'Plano de Contas'!D:D)</f>
        <v>03 - Devoluções de Produtos</v>
      </c>
    </row>
    <row r="922" spans="1:5" hidden="1" x14ac:dyDescent="0.25">
      <c r="A922" s="23">
        <f t="shared" si="12"/>
        <v>43647</v>
      </c>
      <c r="B922" s="5" t="s">
        <v>131</v>
      </c>
      <c r="C922" s="5">
        <v>-9956</v>
      </c>
      <c r="D922" s="5" t="str">
        <f>_xlfn.XLOOKUP(fRealizado5[[#This Row],[Conta]],'Plano de Contas'!A:A,'Plano de Contas'!C:C)</f>
        <v>(-) Deduções da Receita</v>
      </c>
      <c r="E922" s="5" t="str">
        <f>_xlfn.XLOOKUP(fRealizado5[[#This Row],[Conta]],'Plano de Contas'!A:A,'Plano de Contas'!D:D)</f>
        <v>03 - Devoluções de Produtos</v>
      </c>
    </row>
    <row r="923" spans="1:5" hidden="1" x14ac:dyDescent="0.25">
      <c r="A923" s="23">
        <f t="shared" si="12"/>
        <v>43647</v>
      </c>
      <c r="B923" s="5" t="s">
        <v>132</v>
      </c>
      <c r="C923" s="5">
        <v>-5908</v>
      </c>
      <c r="D923" s="5" t="str">
        <f>_xlfn.XLOOKUP(fRealizado5[[#This Row],[Conta]],'Plano de Contas'!A:A,'Plano de Contas'!C:C)</f>
        <v>(-) Deduções da Receita</v>
      </c>
      <c r="E923" s="5" t="str">
        <f>_xlfn.XLOOKUP(fRealizado5[[#This Row],[Conta]],'Plano de Contas'!A:A,'Plano de Contas'!D:D)</f>
        <v>03 - Devoluções de Produtos</v>
      </c>
    </row>
    <row r="924" spans="1:5" hidden="1" x14ac:dyDescent="0.25">
      <c r="A924" s="23">
        <f t="shared" si="12"/>
        <v>43647</v>
      </c>
      <c r="B924" s="5" t="s">
        <v>133</v>
      </c>
      <c r="C924" s="5">
        <v>-9324</v>
      </c>
      <c r="D924" s="5" t="str">
        <f>_xlfn.XLOOKUP(fRealizado5[[#This Row],[Conta]],'Plano de Contas'!A:A,'Plano de Contas'!C:C)</f>
        <v>(-) Deduções da Receita</v>
      </c>
      <c r="E924" s="5" t="str">
        <f>_xlfn.XLOOKUP(fRealizado5[[#This Row],[Conta]],'Plano de Contas'!A:A,'Plano de Contas'!D:D)</f>
        <v>03 - Devoluções de Produtos</v>
      </c>
    </row>
    <row r="925" spans="1:5" hidden="1" x14ac:dyDescent="0.25">
      <c r="A925" s="23">
        <f t="shared" si="12"/>
        <v>43647</v>
      </c>
      <c r="B925" s="5" t="s">
        <v>134</v>
      </c>
      <c r="C925" s="5">
        <v>-9947</v>
      </c>
      <c r="D925" s="5" t="str">
        <f>_xlfn.XLOOKUP(fRealizado5[[#This Row],[Conta]],'Plano de Contas'!A:A,'Plano de Contas'!C:C)</f>
        <v>(-) Deduções da Receita</v>
      </c>
      <c r="E925" s="5" t="str">
        <f>_xlfn.XLOOKUP(fRealizado5[[#This Row],[Conta]],'Plano de Contas'!A:A,'Plano de Contas'!D:D)</f>
        <v>03 - Devoluções de Produtos</v>
      </c>
    </row>
    <row r="926" spans="1:5" hidden="1" x14ac:dyDescent="0.25">
      <c r="A926" s="23">
        <f t="shared" si="12"/>
        <v>43647</v>
      </c>
      <c r="B926" s="5" t="s">
        <v>135</v>
      </c>
      <c r="C926" s="5">
        <v>-4196</v>
      </c>
      <c r="D926" s="5" t="str">
        <f>_xlfn.XLOOKUP(fRealizado5[[#This Row],[Conta]],'Plano de Contas'!A:A,'Plano de Contas'!C:C)</f>
        <v>(-) Deduções da Receita</v>
      </c>
      <c r="E926" s="5" t="str">
        <f>_xlfn.XLOOKUP(fRealizado5[[#This Row],[Conta]],'Plano de Contas'!A:A,'Plano de Contas'!D:D)</f>
        <v>03 - Devoluções de Produtos</v>
      </c>
    </row>
    <row r="927" spans="1:5" hidden="1" x14ac:dyDescent="0.25">
      <c r="A927" s="23">
        <f t="shared" si="12"/>
        <v>43647</v>
      </c>
      <c r="B927" s="5" t="s">
        <v>136</v>
      </c>
      <c r="C927" s="5">
        <v>-5572</v>
      </c>
      <c r="D927" s="5" t="str">
        <f>_xlfn.XLOOKUP(fRealizado5[[#This Row],[Conta]],'Plano de Contas'!A:A,'Plano de Contas'!C:C)</f>
        <v>(-) Deduções da Receita</v>
      </c>
      <c r="E927" s="5" t="str">
        <f>_xlfn.XLOOKUP(fRealizado5[[#This Row],[Conta]],'Plano de Contas'!A:A,'Plano de Contas'!D:D)</f>
        <v>04 - Taxas de Serviço</v>
      </c>
    </row>
    <row r="928" spans="1:5" hidden="1" x14ac:dyDescent="0.25">
      <c r="A928" s="23">
        <f t="shared" si="12"/>
        <v>43647</v>
      </c>
      <c r="B928" s="5" t="s">
        <v>137</v>
      </c>
      <c r="C928" s="5">
        <v>-8484</v>
      </c>
      <c r="D928" s="5" t="str">
        <f>_xlfn.XLOOKUP(fRealizado5[[#This Row],[Conta]],'Plano de Contas'!A:A,'Plano de Contas'!C:C)</f>
        <v>(-) Deduções da Receita</v>
      </c>
      <c r="E928" s="5" t="str">
        <f>_xlfn.XLOOKUP(fRealizado5[[#This Row],[Conta]],'Plano de Contas'!A:A,'Plano de Contas'!D:D)</f>
        <v>04 - Taxas de Serviço</v>
      </c>
    </row>
    <row r="929" spans="1:5" hidden="1" x14ac:dyDescent="0.25">
      <c r="A929" s="23">
        <f t="shared" si="12"/>
        <v>43647</v>
      </c>
      <c r="B929" s="5" t="s">
        <v>138</v>
      </c>
      <c r="C929" s="5">
        <v>-8377</v>
      </c>
      <c r="D929" s="5" t="str">
        <f>_xlfn.XLOOKUP(fRealizado5[[#This Row],[Conta]],'Plano de Contas'!A:A,'Plano de Contas'!C:C)</f>
        <v>(-) Deduções da Receita</v>
      </c>
      <c r="E929" s="5" t="str">
        <f>_xlfn.XLOOKUP(fRealizado5[[#This Row],[Conta]],'Plano de Contas'!A:A,'Plano de Contas'!D:D)</f>
        <v>04 - Taxas de Serviço</v>
      </c>
    </row>
    <row r="930" spans="1:5" hidden="1" x14ac:dyDescent="0.25">
      <c r="A930" s="23">
        <f t="shared" si="12"/>
        <v>43647</v>
      </c>
      <c r="B930" s="5" t="s">
        <v>139</v>
      </c>
      <c r="C930" s="5">
        <v>-6419</v>
      </c>
      <c r="D930" s="5" t="str">
        <f>_xlfn.XLOOKUP(fRealizado5[[#This Row],[Conta]],'Plano de Contas'!A:A,'Plano de Contas'!C:C)</f>
        <v>(-) Deduções da Receita</v>
      </c>
      <c r="E930" s="5" t="str">
        <f>_xlfn.XLOOKUP(fRealizado5[[#This Row],[Conta]],'Plano de Contas'!A:A,'Plano de Contas'!D:D)</f>
        <v>04 - Taxas de Serviço</v>
      </c>
    </row>
    <row r="931" spans="1:5" hidden="1" x14ac:dyDescent="0.25">
      <c r="A931" s="23">
        <f t="shared" si="12"/>
        <v>43647</v>
      </c>
      <c r="B931" s="5" t="s">
        <v>140</v>
      </c>
      <c r="C931" s="5">
        <v>-128409</v>
      </c>
      <c r="D931" s="5" t="str">
        <f>_xlfn.XLOOKUP(fRealizado5[[#This Row],[Conta]],'Plano de Contas'!A:A,'Plano de Contas'!C:C)</f>
        <v>(-) Custos de Vendas</v>
      </c>
      <c r="E931" s="5" t="str">
        <f>_xlfn.XLOOKUP(fRealizado5[[#This Row],[Conta]],'Plano de Contas'!A:A,'Plano de Contas'!D:D)</f>
        <v>05 - Custo do Produto</v>
      </c>
    </row>
    <row r="932" spans="1:5" hidden="1" x14ac:dyDescent="0.25">
      <c r="A932" s="23">
        <f t="shared" si="12"/>
        <v>43647</v>
      </c>
      <c r="B932" s="5" t="s">
        <v>141</v>
      </c>
      <c r="C932" s="5">
        <v>-174699</v>
      </c>
      <c r="D932" s="5" t="str">
        <f>_xlfn.XLOOKUP(fRealizado5[[#This Row],[Conta]],'Plano de Contas'!A:A,'Plano de Contas'!C:C)</f>
        <v>(-) Custos de Vendas</v>
      </c>
      <c r="E932" s="5" t="str">
        <f>_xlfn.XLOOKUP(fRealizado5[[#This Row],[Conta]],'Plano de Contas'!A:A,'Plano de Contas'!D:D)</f>
        <v>05 - Custo do Produto</v>
      </c>
    </row>
    <row r="933" spans="1:5" hidden="1" x14ac:dyDescent="0.25">
      <c r="A933" s="23">
        <f t="shared" si="12"/>
        <v>43647</v>
      </c>
      <c r="B933" s="5" t="s">
        <v>142</v>
      </c>
      <c r="C933" s="5">
        <v>-76508</v>
      </c>
      <c r="D933" s="5" t="str">
        <f>_xlfn.XLOOKUP(fRealizado5[[#This Row],[Conta]],'Plano de Contas'!A:A,'Plano de Contas'!C:C)</f>
        <v>(-) Custos de Vendas</v>
      </c>
      <c r="E933" s="5" t="str">
        <f>_xlfn.XLOOKUP(fRealizado5[[#This Row],[Conta]],'Plano de Contas'!A:A,'Plano de Contas'!D:D)</f>
        <v>05 - Custo do Produto</v>
      </c>
    </row>
    <row r="934" spans="1:5" hidden="1" x14ac:dyDescent="0.25">
      <c r="A934" s="23">
        <f t="shared" si="12"/>
        <v>43647</v>
      </c>
      <c r="B934" s="5" t="s">
        <v>143</v>
      </c>
      <c r="C934" s="5">
        <v>-195029</v>
      </c>
      <c r="D934" s="5" t="str">
        <f>_xlfn.XLOOKUP(fRealizado5[[#This Row],[Conta]],'Plano de Contas'!A:A,'Plano de Contas'!C:C)</f>
        <v>(-) Custos de Vendas</v>
      </c>
      <c r="E934" s="5" t="str">
        <f>_xlfn.XLOOKUP(fRealizado5[[#This Row],[Conta]],'Plano de Contas'!A:A,'Plano de Contas'!D:D)</f>
        <v>05 - Custo do Produto</v>
      </c>
    </row>
    <row r="935" spans="1:5" hidden="1" x14ac:dyDescent="0.25">
      <c r="A935" s="23">
        <f t="shared" si="12"/>
        <v>43647</v>
      </c>
      <c r="B935" s="5" t="s">
        <v>144</v>
      </c>
      <c r="C935" s="5">
        <v>-89138</v>
      </c>
      <c r="D935" s="5" t="str">
        <f>_xlfn.XLOOKUP(fRealizado5[[#This Row],[Conta]],'Plano de Contas'!A:A,'Plano de Contas'!C:C)</f>
        <v>(-) Custos de Vendas</v>
      </c>
      <c r="E935" s="5" t="str">
        <f>_xlfn.XLOOKUP(fRealizado5[[#This Row],[Conta]],'Plano de Contas'!A:A,'Plano de Contas'!D:D)</f>
        <v>05 - Custo do Produto</v>
      </c>
    </row>
    <row r="936" spans="1:5" hidden="1" x14ac:dyDescent="0.25">
      <c r="A936" s="23">
        <f t="shared" si="12"/>
        <v>43647</v>
      </c>
      <c r="B936" s="5" t="s">
        <v>145</v>
      </c>
      <c r="C936" s="5">
        <v>-198026</v>
      </c>
      <c r="D936" s="5" t="str">
        <f>_xlfn.XLOOKUP(fRealizado5[[#This Row],[Conta]],'Plano de Contas'!A:A,'Plano de Contas'!C:C)</f>
        <v>(-) Custos de Vendas</v>
      </c>
      <c r="E936" s="5" t="str">
        <f>_xlfn.XLOOKUP(fRealizado5[[#This Row],[Conta]],'Plano de Contas'!A:A,'Plano de Contas'!D:D)</f>
        <v>05 - Custo do Produto</v>
      </c>
    </row>
    <row r="937" spans="1:5" hidden="1" x14ac:dyDescent="0.25">
      <c r="A937" s="23">
        <f t="shared" si="12"/>
        <v>43647</v>
      </c>
      <c r="B937" s="5" t="s">
        <v>146</v>
      </c>
      <c r="C937" s="5">
        <v>-188091</v>
      </c>
      <c r="D937" s="5" t="str">
        <f>_xlfn.XLOOKUP(fRealizado5[[#This Row],[Conta]],'Plano de Contas'!A:A,'Plano de Contas'!C:C)</f>
        <v>(-) Custos de Vendas</v>
      </c>
      <c r="E937" s="5" t="str">
        <f>_xlfn.XLOOKUP(fRealizado5[[#This Row],[Conta]],'Plano de Contas'!A:A,'Plano de Contas'!D:D)</f>
        <v>05 - Custo do Produto</v>
      </c>
    </row>
    <row r="938" spans="1:5" hidden="1" x14ac:dyDescent="0.25">
      <c r="A938" s="23">
        <f t="shared" si="12"/>
        <v>43647</v>
      </c>
      <c r="B938" s="5" t="s">
        <v>147</v>
      </c>
      <c r="C938" s="5">
        <v>-193850</v>
      </c>
      <c r="D938" s="5" t="str">
        <f>_xlfn.XLOOKUP(fRealizado5[[#This Row],[Conta]],'Plano de Contas'!A:A,'Plano de Contas'!C:C)</f>
        <v>(-) Custos de Vendas</v>
      </c>
      <c r="E938" s="5" t="str">
        <f>_xlfn.XLOOKUP(fRealizado5[[#This Row],[Conta]],'Plano de Contas'!A:A,'Plano de Contas'!D:D)</f>
        <v>05 - Custo do Produto</v>
      </c>
    </row>
    <row r="939" spans="1:5" hidden="1" x14ac:dyDescent="0.25">
      <c r="A939" s="23">
        <f t="shared" si="12"/>
        <v>43647</v>
      </c>
      <c r="B939" s="5" t="s">
        <v>148</v>
      </c>
      <c r="C939" s="5">
        <v>-231117</v>
      </c>
      <c r="D939" s="5" t="str">
        <f>_xlfn.XLOOKUP(fRealizado5[[#This Row],[Conta]],'Plano de Contas'!A:A,'Plano de Contas'!C:C)</f>
        <v>(-) Custos de Vendas</v>
      </c>
      <c r="E939" s="5" t="str">
        <f>_xlfn.XLOOKUP(fRealizado5[[#This Row],[Conta]],'Plano de Contas'!A:A,'Plano de Contas'!D:D)</f>
        <v>05 - Custo do Produto</v>
      </c>
    </row>
    <row r="940" spans="1:5" hidden="1" x14ac:dyDescent="0.25">
      <c r="A940" s="23">
        <f t="shared" si="12"/>
        <v>43647</v>
      </c>
      <c r="B940" s="5" t="s">
        <v>149</v>
      </c>
      <c r="C940" s="5">
        <v>-256686</v>
      </c>
      <c r="D940" s="5" t="str">
        <f>_xlfn.XLOOKUP(fRealizado5[[#This Row],[Conta]],'Plano de Contas'!A:A,'Plano de Contas'!C:C)</f>
        <v>(-) Custos de Vendas</v>
      </c>
      <c r="E940" s="5" t="str">
        <f>_xlfn.XLOOKUP(fRealizado5[[#This Row],[Conta]],'Plano de Contas'!A:A,'Plano de Contas'!D:D)</f>
        <v>05 - Custo do Produto</v>
      </c>
    </row>
    <row r="941" spans="1:5" hidden="1" x14ac:dyDescent="0.25">
      <c r="A941" s="23">
        <f t="shared" si="12"/>
        <v>43647</v>
      </c>
      <c r="B941" s="5" t="s">
        <v>150</v>
      </c>
      <c r="C941" s="5">
        <v>-82092</v>
      </c>
      <c r="D941" s="5" t="str">
        <f>_xlfn.XLOOKUP(fRealizado5[[#This Row],[Conta]],'Plano de Contas'!A:A,'Plano de Contas'!C:C)</f>
        <v>(-) Custos de Vendas</v>
      </c>
      <c r="E941" s="5" t="str">
        <f>_xlfn.XLOOKUP(fRealizado5[[#This Row],[Conta]],'Plano de Contas'!A:A,'Plano de Contas'!D:D)</f>
        <v>05 - Custo do Produto</v>
      </c>
    </row>
    <row r="942" spans="1:5" hidden="1" x14ac:dyDescent="0.25">
      <c r="A942" s="23">
        <f t="shared" si="12"/>
        <v>43647</v>
      </c>
      <c r="B942" s="5" t="s">
        <v>151</v>
      </c>
      <c r="C942" s="5">
        <v>-130225</v>
      </c>
      <c r="D942" s="5" t="str">
        <f>_xlfn.XLOOKUP(fRealizado5[[#This Row],[Conta]],'Plano de Contas'!A:A,'Plano de Contas'!C:C)</f>
        <v>(-) Custos de Vendas</v>
      </c>
      <c r="E942" s="5" t="str">
        <f>_xlfn.XLOOKUP(fRealizado5[[#This Row],[Conta]],'Plano de Contas'!A:A,'Plano de Contas'!D:D)</f>
        <v>05 - Custo do Produto</v>
      </c>
    </row>
    <row r="943" spans="1:5" hidden="1" x14ac:dyDescent="0.25">
      <c r="A943" s="23">
        <f t="shared" si="12"/>
        <v>43647</v>
      </c>
      <c r="B943" s="5" t="s">
        <v>152</v>
      </c>
      <c r="C943" s="5">
        <v>-101034</v>
      </c>
      <c r="D943" s="5" t="str">
        <f>_xlfn.XLOOKUP(fRealizado5[[#This Row],[Conta]],'Plano de Contas'!A:A,'Plano de Contas'!C:C)</f>
        <v>(-) Custos de Vendas</v>
      </c>
      <c r="E943" s="5" t="str">
        <f>_xlfn.XLOOKUP(fRealizado5[[#This Row],[Conta]],'Plano de Contas'!A:A,'Plano de Contas'!D:D)</f>
        <v>05 - Custo do Produto</v>
      </c>
    </row>
    <row r="944" spans="1:5" hidden="1" x14ac:dyDescent="0.25">
      <c r="A944" s="23">
        <f t="shared" si="12"/>
        <v>43647</v>
      </c>
      <c r="B944" s="5" t="s">
        <v>153</v>
      </c>
      <c r="C944" s="5">
        <v>-100649</v>
      </c>
      <c r="D944" s="5" t="str">
        <f>_xlfn.XLOOKUP(fRealizado5[[#This Row],[Conta]],'Plano de Contas'!A:A,'Plano de Contas'!C:C)</f>
        <v>(-) Custos de Vendas</v>
      </c>
      <c r="E944" s="5" t="str">
        <f>_xlfn.XLOOKUP(fRealizado5[[#This Row],[Conta]],'Plano de Contas'!A:A,'Plano de Contas'!D:D)</f>
        <v>05 - Custo do Produto</v>
      </c>
    </row>
    <row r="945" spans="1:5" hidden="1" x14ac:dyDescent="0.25">
      <c r="A945" s="23">
        <f t="shared" si="12"/>
        <v>43647</v>
      </c>
      <c r="B945" s="5" t="s">
        <v>154</v>
      </c>
      <c r="C945" s="5">
        <v>-146918</v>
      </c>
      <c r="D945" s="5" t="str">
        <f>_xlfn.XLOOKUP(fRealizado5[[#This Row],[Conta]],'Plano de Contas'!A:A,'Plano de Contas'!C:C)</f>
        <v>(-) Custos de Vendas</v>
      </c>
      <c r="E945" s="5" t="str">
        <f>_xlfn.XLOOKUP(fRealizado5[[#This Row],[Conta]],'Plano de Contas'!A:A,'Plano de Contas'!D:D)</f>
        <v>05 - Custo do Produto</v>
      </c>
    </row>
    <row r="946" spans="1:5" hidden="1" x14ac:dyDescent="0.25">
      <c r="A946" s="23">
        <f t="shared" si="12"/>
        <v>43647</v>
      </c>
      <c r="B946" s="5" t="s">
        <v>155</v>
      </c>
      <c r="C946" s="5">
        <v>-228120</v>
      </c>
      <c r="D946" s="5" t="str">
        <f>_xlfn.XLOOKUP(fRealizado5[[#This Row],[Conta]],'Plano de Contas'!A:A,'Plano de Contas'!C:C)</f>
        <v>(-) Custos de Vendas</v>
      </c>
      <c r="E946" s="5" t="str">
        <f>_xlfn.XLOOKUP(fRealizado5[[#This Row],[Conta]],'Plano de Contas'!A:A,'Plano de Contas'!D:D)</f>
        <v>05 - Custo do Produto</v>
      </c>
    </row>
    <row r="947" spans="1:5" hidden="1" x14ac:dyDescent="0.25">
      <c r="A947" s="23">
        <f t="shared" si="12"/>
        <v>43647</v>
      </c>
      <c r="B947" s="5" t="s">
        <v>156</v>
      </c>
      <c r="C947" s="5">
        <v>-100904</v>
      </c>
      <c r="D947" s="5" t="str">
        <f>_xlfn.XLOOKUP(fRealizado5[[#This Row],[Conta]],'Plano de Contas'!A:A,'Plano de Contas'!C:C)</f>
        <v>(-) Custos de Vendas</v>
      </c>
      <c r="E947" s="5" t="str">
        <f>_xlfn.XLOOKUP(fRealizado5[[#This Row],[Conta]],'Plano de Contas'!A:A,'Plano de Contas'!D:D)</f>
        <v>05 - Custo do Produto</v>
      </c>
    </row>
    <row r="948" spans="1:5" hidden="1" x14ac:dyDescent="0.25">
      <c r="A948" s="23">
        <f t="shared" si="12"/>
        <v>43647</v>
      </c>
      <c r="B948" s="5" t="s">
        <v>157</v>
      </c>
      <c r="C948" s="5">
        <v>-174745</v>
      </c>
      <c r="D948" s="5" t="str">
        <f>_xlfn.XLOOKUP(fRealizado5[[#This Row],[Conta]],'Plano de Contas'!A:A,'Plano de Contas'!C:C)</f>
        <v>(-) Custos de Vendas</v>
      </c>
      <c r="E948" s="5" t="str">
        <f>_xlfn.XLOOKUP(fRealizado5[[#This Row],[Conta]],'Plano de Contas'!A:A,'Plano de Contas'!D:D)</f>
        <v>05 - Custo do Produto</v>
      </c>
    </row>
    <row r="949" spans="1:5" hidden="1" x14ac:dyDescent="0.25">
      <c r="A949" s="23">
        <f t="shared" si="12"/>
        <v>43647</v>
      </c>
      <c r="B949" s="5" t="s">
        <v>158</v>
      </c>
      <c r="C949" s="5">
        <v>-293818</v>
      </c>
      <c r="D949" s="5" t="str">
        <f>_xlfn.XLOOKUP(fRealizado5[[#This Row],[Conta]],'Plano de Contas'!A:A,'Plano de Contas'!C:C)</f>
        <v>(-) Custos de Vendas</v>
      </c>
      <c r="E949" s="5" t="str">
        <f>_xlfn.XLOOKUP(fRealizado5[[#This Row],[Conta]],'Plano de Contas'!A:A,'Plano de Contas'!D:D)</f>
        <v>05 - Custo do Produto</v>
      </c>
    </row>
    <row r="950" spans="1:5" hidden="1" x14ac:dyDescent="0.25">
      <c r="A950" s="23">
        <f t="shared" si="12"/>
        <v>43647</v>
      </c>
      <c r="B950" s="5" t="s">
        <v>159</v>
      </c>
      <c r="C950" s="5">
        <v>-94330</v>
      </c>
      <c r="D950" s="5" t="str">
        <f>_xlfn.XLOOKUP(fRealizado5[[#This Row],[Conta]],'Plano de Contas'!A:A,'Plano de Contas'!C:C)</f>
        <v>(-) Custos de Vendas</v>
      </c>
      <c r="E950" s="5" t="str">
        <f>_xlfn.XLOOKUP(fRealizado5[[#This Row],[Conta]],'Plano de Contas'!A:A,'Plano de Contas'!D:D)</f>
        <v>05 - Custo do Produto</v>
      </c>
    </row>
    <row r="951" spans="1:5" hidden="1" x14ac:dyDescent="0.25">
      <c r="A951" s="23">
        <f t="shared" si="12"/>
        <v>43647</v>
      </c>
      <c r="B951" s="5" t="s">
        <v>160</v>
      </c>
      <c r="C951" s="5">
        <v>-161930</v>
      </c>
      <c r="D951" s="5" t="str">
        <f>_xlfn.XLOOKUP(fRealizado5[[#This Row],[Conta]],'Plano de Contas'!A:A,'Plano de Contas'!C:C)</f>
        <v>(-) Custos de Vendas</v>
      </c>
      <c r="E951" s="5" t="str">
        <f>_xlfn.XLOOKUP(fRealizado5[[#This Row],[Conta]],'Plano de Contas'!A:A,'Plano de Contas'!D:D)</f>
        <v>05 - Custo do Produto</v>
      </c>
    </row>
    <row r="952" spans="1:5" hidden="1" x14ac:dyDescent="0.25">
      <c r="A952" s="23">
        <f t="shared" si="12"/>
        <v>43647</v>
      </c>
      <c r="B952" s="5" t="s">
        <v>161</v>
      </c>
      <c r="C952" s="5">
        <v>-140462</v>
      </c>
      <c r="D952" s="5" t="str">
        <f>_xlfn.XLOOKUP(fRealizado5[[#This Row],[Conta]],'Plano de Contas'!A:A,'Plano de Contas'!C:C)</f>
        <v>(-) Custos de Vendas</v>
      </c>
      <c r="E952" s="5" t="str">
        <f>_xlfn.XLOOKUP(fRealizado5[[#This Row],[Conta]],'Plano de Contas'!A:A,'Plano de Contas'!D:D)</f>
        <v>05 - Custo do Produto</v>
      </c>
    </row>
    <row r="953" spans="1:5" hidden="1" x14ac:dyDescent="0.25">
      <c r="A953" s="23">
        <f t="shared" si="12"/>
        <v>43647</v>
      </c>
      <c r="B953" s="5" t="s">
        <v>162</v>
      </c>
      <c r="C953" s="5">
        <v>-184031</v>
      </c>
      <c r="D953" s="5" t="str">
        <f>_xlfn.XLOOKUP(fRealizado5[[#This Row],[Conta]],'Plano de Contas'!A:A,'Plano de Contas'!C:C)</f>
        <v>(-) Custos de Vendas</v>
      </c>
      <c r="E953" s="5" t="str">
        <f>_xlfn.XLOOKUP(fRealizado5[[#This Row],[Conta]],'Plano de Contas'!A:A,'Plano de Contas'!D:D)</f>
        <v>05 - Custo do Produto</v>
      </c>
    </row>
    <row r="954" spans="1:5" hidden="1" x14ac:dyDescent="0.25">
      <c r="A954" s="23">
        <f t="shared" si="12"/>
        <v>43647</v>
      </c>
      <c r="B954" s="5" t="s">
        <v>163</v>
      </c>
      <c r="C954" s="5">
        <v>-282492</v>
      </c>
      <c r="D954" s="5" t="str">
        <f>_xlfn.XLOOKUP(fRealizado5[[#This Row],[Conta]],'Plano de Contas'!A:A,'Plano de Contas'!C:C)</f>
        <v>(-) Custos de Vendas</v>
      </c>
      <c r="E954" s="5" t="str">
        <f>_xlfn.XLOOKUP(fRealizado5[[#This Row],[Conta]],'Plano de Contas'!A:A,'Plano de Contas'!D:D)</f>
        <v>05 - Custo do Produto</v>
      </c>
    </row>
    <row r="955" spans="1:5" hidden="1" x14ac:dyDescent="0.25">
      <c r="A955" s="23">
        <f t="shared" si="12"/>
        <v>43647</v>
      </c>
      <c r="B955" s="5" t="s">
        <v>164</v>
      </c>
      <c r="C955" s="5">
        <v>-81287</v>
      </c>
      <c r="D955" s="5" t="str">
        <f>_xlfn.XLOOKUP(fRealizado5[[#This Row],[Conta]],'Plano de Contas'!A:A,'Plano de Contas'!C:C)</f>
        <v>(-) Custos de Vendas</v>
      </c>
      <c r="E955" s="5" t="str">
        <f>_xlfn.XLOOKUP(fRealizado5[[#This Row],[Conta]],'Plano de Contas'!A:A,'Plano de Contas'!D:D)</f>
        <v>06 - Outros Custos</v>
      </c>
    </row>
    <row r="956" spans="1:5" hidden="1" x14ac:dyDescent="0.25">
      <c r="A956" s="23">
        <f t="shared" si="12"/>
        <v>43647</v>
      </c>
      <c r="B956" s="5" t="s">
        <v>165</v>
      </c>
      <c r="C956" s="5">
        <v>-52605</v>
      </c>
      <c r="D956" s="5" t="str">
        <f>_xlfn.XLOOKUP(fRealizado5[[#This Row],[Conta]],'Plano de Contas'!A:A,'Plano de Contas'!C:C)</f>
        <v>(-) Custos de Vendas</v>
      </c>
      <c r="E956" s="5" t="str">
        <f>_xlfn.XLOOKUP(fRealizado5[[#This Row],[Conta]],'Plano de Contas'!A:A,'Plano de Contas'!D:D)</f>
        <v>06 - Outros Custos</v>
      </c>
    </row>
    <row r="957" spans="1:5" hidden="1" x14ac:dyDescent="0.25">
      <c r="A957" s="23">
        <f t="shared" si="12"/>
        <v>43647</v>
      </c>
      <c r="B957" s="5" t="s">
        <v>166</v>
      </c>
      <c r="C957" s="5">
        <v>-93291</v>
      </c>
      <c r="D957" s="5" t="str">
        <f>_xlfn.XLOOKUP(fRealizado5[[#This Row],[Conta]],'Plano de Contas'!A:A,'Plano de Contas'!C:C)</f>
        <v>(-) Custos de Vendas</v>
      </c>
      <c r="E957" s="5" t="str">
        <f>_xlfn.XLOOKUP(fRealizado5[[#This Row],[Conta]],'Plano de Contas'!A:A,'Plano de Contas'!D:D)</f>
        <v>06 - Outros Custos</v>
      </c>
    </row>
    <row r="958" spans="1:5" hidden="1" x14ac:dyDescent="0.25">
      <c r="A958" s="23">
        <f t="shared" si="12"/>
        <v>43647</v>
      </c>
      <c r="B958" s="5" t="s">
        <v>167</v>
      </c>
      <c r="C958" s="5">
        <v>-272061</v>
      </c>
      <c r="D958" s="5" t="str">
        <f>_xlfn.XLOOKUP(fRealizado5[[#This Row],[Conta]],'Plano de Contas'!A:A,'Plano de Contas'!C:C)</f>
        <v>(-) Despesas Gerais</v>
      </c>
      <c r="E958" s="5" t="str">
        <f>_xlfn.XLOOKUP(fRealizado5[[#This Row],[Conta]],'Plano de Contas'!A:A,'Plano de Contas'!D:D)</f>
        <v>07 - Despesas Administrativas</v>
      </c>
    </row>
    <row r="959" spans="1:5" hidden="1" x14ac:dyDescent="0.25">
      <c r="A959" s="23">
        <f t="shared" si="12"/>
        <v>43647</v>
      </c>
      <c r="B959" s="5" t="s">
        <v>168</v>
      </c>
      <c r="C959" s="5">
        <v>-101379</v>
      </c>
      <c r="D959" s="5" t="str">
        <f>_xlfn.XLOOKUP(fRealizado5[[#This Row],[Conta]],'Plano de Contas'!A:A,'Plano de Contas'!C:C)</f>
        <v>(-) Despesas Gerais</v>
      </c>
      <c r="E959" s="5" t="str">
        <f>_xlfn.XLOOKUP(fRealizado5[[#This Row],[Conta]],'Plano de Contas'!A:A,'Plano de Contas'!D:D)</f>
        <v>07 - Despesas Administrativas</v>
      </c>
    </row>
    <row r="960" spans="1:5" hidden="1" x14ac:dyDescent="0.25">
      <c r="A960" s="23">
        <f t="shared" si="12"/>
        <v>43647</v>
      </c>
      <c r="B960" s="5" t="s">
        <v>169</v>
      </c>
      <c r="C960" s="5">
        <v>-317661</v>
      </c>
      <c r="D960" s="5" t="str">
        <f>_xlfn.XLOOKUP(fRealizado5[[#This Row],[Conta]],'Plano de Contas'!A:A,'Plano de Contas'!C:C)</f>
        <v>(-) Despesas Gerais</v>
      </c>
      <c r="E960" s="5" t="str">
        <f>_xlfn.XLOOKUP(fRealizado5[[#This Row],[Conta]],'Plano de Contas'!A:A,'Plano de Contas'!D:D)</f>
        <v>07 - Despesas Administrativas</v>
      </c>
    </row>
    <row r="961" spans="1:5" hidden="1" x14ac:dyDescent="0.25">
      <c r="A961" s="23">
        <f t="shared" si="12"/>
        <v>43647</v>
      </c>
      <c r="B961" s="5" t="s">
        <v>170</v>
      </c>
      <c r="C961" s="5">
        <v>-380867</v>
      </c>
      <c r="D961" s="5" t="str">
        <f>_xlfn.XLOOKUP(fRealizado5[[#This Row],[Conta]],'Plano de Contas'!A:A,'Plano de Contas'!C:C)</f>
        <v>(-) Despesas Gerais</v>
      </c>
      <c r="E961" s="5" t="str">
        <f>_xlfn.XLOOKUP(fRealizado5[[#This Row],[Conta]],'Plano de Contas'!A:A,'Plano de Contas'!D:D)</f>
        <v>07 - Despesas Administrativas</v>
      </c>
    </row>
    <row r="962" spans="1:5" hidden="1" x14ac:dyDescent="0.25">
      <c r="A962" s="23">
        <f t="shared" si="12"/>
        <v>43647</v>
      </c>
      <c r="B962" s="5" t="s">
        <v>171</v>
      </c>
      <c r="C962" s="5">
        <v>-296786</v>
      </c>
      <c r="D962" s="5" t="str">
        <f>_xlfn.XLOOKUP(fRealizado5[[#This Row],[Conta]],'Plano de Contas'!A:A,'Plano de Contas'!C:C)</f>
        <v>(-) Despesas Gerais</v>
      </c>
      <c r="E962" s="5" t="str">
        <f>_xlfn.XLOOKUP(fRealizado5[[#This Row],[Conta]],'Plano de Contas'!A:A,'Plano de Contas'!D:D)</f>
        <v>07 - Despesas Administrativas</v>
      </c>
    </row>
    <row r="963" spans="1:5" hidden="1" x14ac:dyDescent="0.25">
      <c r="A963" s="23">
        <f t="shared" si="12"/>
        <v>43647</v>
      </c>
      <c r="B963" s="5" t="s">
        <v>172</v>
      </c>
      <c r="C963" s="5">
        <v>-313174</v>
      </c>
      <c r="D963" s="5" t="str">
        <f>_xlfn.XLOOKUP(fRealizado5[[#This Row],[Conta]],'Plano de Contas'!A:A,'Plano de Contas'!C:C)</f>
        <v>(-) Despesas Gerais</v>
      </c>
      <c r="E963" s="5" t="str">
        <f>_xlfn.XLOOKUP(fRealizado5[[#This Row],[Conta]],'Plano de Contas'!A:A,'Plano de Contas'!D:D)</f>
        <v>07 - Despesas Administrativas</v>
      </c>
    </row>
    <row r="964" spans="1:5" hidden="1" x14ac:dyDescent="0.25">
      <c r="A964" s="23">
        <f t="shared" si="12"/>
        <v>43647</v>
      </c>
      <c r="B964" s="5" t="s">
        <v>173</v>
      </c>
      <c r="C964" s="5">
        <v>-49243</v>
      </c>
      <c r="D964" s="5" t="str">
        <f>_xlfn.XLOOKUP(fRealizado5[[#This Row],[Conta]],'Plano de Contas'!A:A,'Plano de Contas'!C:C)</f>
        <v>(-) Despesas Gerais</v>
      </c>
      <c r="E964" s="5" t="str">
        <f>_xlfn.XLOOKUP(fRealizado5[[#This Row],[Conta]],'Plano de Contas'!A:A,'Plano de Contas'!D:D)</f>
        <v>08 - Despesas Financeiras</v>
      </c>
    </row>
    <row r="965" spans="1:5" hidden="1" x14ac:dyDescent="0.25">
      <c r="A965" s="23">
        <f t="shared" si="12"/>
        <v>43647</v>
      </c>
      <c r="B965" s="5" t="s">
        <v>174</v>
      </c>
      <c r="C965" s="5">
        <v>-43357</v>
      </c>
      <c r="D965" s="5" t="str">
        <f>_xlfn.XLOOKUP(fRealizado5[[#This Row],[Conta]],'Plano de Contas'!A:A,'Plano de Contas'!C:C)</f>
        <v>(-) Despesas Gerais</v>
      </c>
      <c r="E965" s="5" t="str">
        <f>_xlfn.XLOOKUP(fRealizado5[[#This Row],[Conta]],'Plano de Contas'!A:A,'Plano de Contas'!D:D)</f>
        <v>08 - Despesas Financeiras</v>
      </c>
    </row>
    <row r="966" spans="1:5" hidden="1" x14ac:dyDescent="0.25">
      <c r="A966" s="23">
        <f t="shared" si="12"/>
        <v>43647</v>
      </c>
      <c r="B966" s="5" t="s">
        <v>175</v>
      </c>
      <c r="C966" s="5">
        <v>-58587</v>
      </c>
      <c r="D966" s="5" t="str">
        <f>_xlfn.XLOOKUP(fRealizado5[[#This Row],[Conta]],'Plano de Contas'!A:A,'Plano de Contas'!C:C)</f>
        <v>(-) Despesas Gerais</v>
      </c>
      <c r="E966" s="5" t="str">
        <f>_xlfn.XLOOKUP(fRealizado5[[#This Row],[Conta]],'Plano de Contas'!A:A,'Plano de Contas'!D:D)</f>
        <v>08 - Despesas Financeiras</v>
      </c>
    </row>
    <row r="967" spans="1:5" hidden="1" x14ac:dyDescent="0.25">
      <c r="A967" s="23">
        <f t="shared" si="12"/>
        <v>43647</v>
      </c>
      <c r="B967" s="5" t="s">
        <v>176</v>
      </c>
      <c r="C967" s="5">
        <v>-52611</v>
      </c>
      <c r="D967" s="5" t="str">
        <f>_xlfn.XLOOKUP(fRealizado5[[#This Row],[Conta]],'Plano de Contas'!A:A,'Plano de Contas'!C:C)</f>
        <v>(-) Despesas Gerais</v>
      </c>
      <c r="E967" s="5" t="str">
        <f>_xlfn.XLOOKUP(fRealizado5[[#This Row],[Conta]],'Plano de Contas'!A:A,'Plano de Contas'!D:D)</f>
        <v>08 - Despesas Financeiras</v>
      </c>
    </row>
    <row r="968" spans="1:5" hidden="1" x14ac:dyDescent="0.25">
      <c r="A968" s="23">
        <f t="shared" si="12"/>
        <v>43647</v>
      </c>
      <c r="B968" s="5" t="s">
        <v>177</v>
      </c>
      <c r="C968" s="5">
        <v>-47449</v>
      </c>
      <c r="D968" s="5" t="str">
        <f>_xlfn.XLOOKUP(fRealizado5[[#This Row],[Conta]],'Plano de Contas'!A:A,'Plano de Contas'!C:C)</f>
        <v>(-) Despesas Gerais</v>
      </c>
      <c r="E968" s="5" t="str">
        <f>_xlfn.XLOOKUP(fRealizado5[[#This Row],[Conta]],'Plano de Contas'!A:A,'Plano de Contas'!D:D)</f>
        <v>08 - Despesas Financeiras</v>
      </c>
    </row>
    <row r="969" spans="1:5" hidden="1" x14ac:dyDescent="0.25">
      <c r="A969" s="23">
        <f t="shared" si="12"/>
        <v>43647</v>
      </c>
      <c r="B969" s="5" t="s">
        <v>178</v>
      </c>
      <c r="C969" s="5">
        <v>-128428</v>
      </c>
      <c r="D969" s="5" t="str">
        <f>_xlfn.XLOOKUP(fRealizado5[[#This Row],[Conta]],'Plano de Contas'!A:A,'Plano de Contas'!C:C)</f>
        <v>(-) Despesas Gerais</v>
      </c>
      <c r="E969" s="5" t="str">
        <f>_xlfn.XLOOKUP(fRealizado5[[#This Row],[Conta]],'Plano de Contas'!A:A,'Plano de Contas'!D:D)</f>
        <v>09 - Tecnologia da Informação</v>
      </c>
    </row>
    <row r="970" spans="1:5" hidden="1" x14ac:dyDescent="0.25">
      <c r="A970" s="23">
        <f t="shared" si="12"/>
        <v>43647</v>
      </c>
      <c r="B970" s="5" t="s">
        <v>179</v>
      </c>
      <c r="C970" s="5">
        <v>-150980</v>
      </c>
      <c r="D970" s="5" t="str">
        <f>_xlfn.XLOOKUP(fRealizado5[[#This Row],[Conta]],'Plano de Contas'!A:A,'Plano de Contas'!C:C)</f>
        <v>(-) Despesas Gerais</v>
      </c>
      <c r="E970" s="5" t="str">
        <f>_xlfn.XLOOKUP(fRealizado5[[#This Row],[Conta]],'Plano de Contas'!A:A,'Plano de Contas'!D:D)</f>
        <v>09 - Tecnologia da Informação</v>
      </c>
    </row>
    <row r="971" spans="1:5" hidden="1" x14ac:dyDescent="0.25">
      <c r="A971" s="23">
        <f t="shared" si="12"/>
        <v>43647</v>
      </c>
      <c r="B971" s="5" t="s">
        <v>180</v>
      </c>
      <c r="C971" s="5">
        <v>-159426</v>
      </c>
      <c r="D971" s="5" t="str">
        <f>_xlfn.XLOOKUP(fRealizado5[[#This Row],[Conta]],'Plano de Contas'!A:A,'Plano de Contas'!C:C)</f>
        <v>(-) Despesas Gerais</v>
      </c>
      <c r="E971" s="5" t="str">
        <f>_xlfn.XLOOKUP(fRealizado5[[#This Row],[Conta]],'Plano de Contas'!A:A,'Plano de Contas'!D:D)</f>
        <v>09 - Tecnologia da Informação</v>
      </c>
    </row>
    <row r="972" spans="1:5" hidden="1" x14ac:dyDescent="0.25">
      <c r="A972" s="23">
        <f t="shared" si="12"/>
        <v>43647</v>
      </c>
      <c r="B972" s="5" t="s">
        <v>181</v>
      </c>
      <c r="C972" s="5">
        <v>-68918</v>
      </c>
      <c r="D972" s="5" t="str">
        <f>_xlfn.XLOOKUP(fRealizado5[[#This Row],[Conta]],'Plano de Contas'!A:A,'Plano de Contas'!C:C)</f>
        <v>(-) Despesas Gerais</v>
      </c>
      <c r="E972" s="5" t="str">
        <f>_xlfn.XLOOKUP(fRealizado5[[#This Row],[Conta]],'Plano de Contas'!A:A,'Plano de Contas'!D:D)</f>
        <v>10 - Recursos Humanos</v>
      </c>
    </row>
    <row r="973" spans="1:5" hidden="1" x14ac:dyDescent="0.25">
      <c r="A973" s="23">
        <f t="shared" si="12"/>
        <v>43647</v>
      </c>
      <c r="B973" s="5" t="s">
        <v>182</v>
      </c>
      <c r="C973" s="5">
        <v>-53302</v>
      </c>
      <c r="D973" s="5" t="str">
        <f>_xlfn.XLOOKUP(fRealizado5[[#This Row],[Conta]],'Plano de Contas'!A:A,'Plano de Contas'!C:C)</f>
        <v>(-) Despesas Gerais</v>
      </c>
      <c r="E973" s="5" t="str">
        <f>_xlfn.XLOOKUP(fRealizado5[[#This Row],[Conta]],'Plano de Contas'!A:A,'Plano de Contas'!D:D)</f>
        <v>10 - Recursos Humanos</v>
      </c>
    </row>
    <row r="974" spans="1:5" hidden="1" x14ac:dyDescent="0.25">
      <c r="A974" s="23">
        <f t="shared" si="12"/>
        <v>43647</v>
      </c>
      <c r="B974" s="5" t="s">
        <v>183</v>
      </c>
      <c r="C974" s="5">
        <v>-66289</v>
      </c>
      <c r="D974" s="5" t="str">
        <f>_xlfn.XLOOKUP(fRealizado5[[#This Row],[Conta]],'Plano de Contas'!A:A,'Plano de Contas'!C:C)</f>
        <v>(-) Despesas Gerais</v>
      </c>
      <c r="E974" s="5" t="str">
        <f>_xlfn.XLOOKUP(fRealizado5[[#This Row],[Conta]],'Plano de Contas'!A:A,'Plano de Contas'!D:D)</f>
        <v>10 - Recursos Humanos</v>
      </c>
    </row>
    <row r="975" spans="1:5" hidden="1" x14ac:dyDescent="0.25">
      <c r="A975" s="23">
        <f t="shared" ref="A975:A1038" si="13">EDATE(A835,1)</f>
        <v>43647</v>
      </c>
      <c r="B975" s="5" t="s">
        <v>184</v>
      </c>
      <c r="C975" s="5">
        <v>-56891</v>
      </c>
      <c r="D975" s="5" t="str">
        <f>_xlfn.XLOOKUP(fRealizado5[[#This Row],[Conta]],'Plano de Contas'!A:A,'Plano de Contas'!C:C)</f>
        <v>(-) Despesas Gerais</v>
      </c>
      <c r="E975" s="5" t="str">
        <f>_xlfn.XLOOKUP(fRealizado5[[#This Row],[Conta]],'Plano de Contas'!A:A,'Plano de Contas'!D:D)</f>
        <v>10 - Recursos Humanos</v>
      </c>
    </row>
    <row r="976" spans="1:5" hidden="1" x14ac:dyDescent="0.25">
      <c r="A976" s="23">
        <f t="shared" si="13"/>
        <v>43647</v>
      </c>
      <c r="B976" s="5" t="s">
        <v>185</v>
      </c>
      <c r="C976" s="5">
        <v>-85540</v>
      </c>
      <c r="D976" s="5" t="str">
        <f>_xlfn.XLOOKUP(fRealizado5[[#This Row],[Conta]],'Plano de Contas'!A:A,'Plano de Contas'!C:C)</f>
        <v>(-) Despesas Gerais</v>
      </c>
      <c r="E976" s="5" t="str">
        <f>_xlfn.XLOOKUP(fRealizado5[[#This Row],[Conta]],'Plano de Contas'!A:A,'Plano de Contas'!D:D)</f>
        <v>11 - Relacionamento com Cliente</v>
      </c>
    </row>
    <row r="977" spans="1:5" hidden="1" x14ac:dyDescent="0.25">
      <c r="A977" s="23">
        <f t="shared" si="13"/>
        <v>43647</v>
      </c>
      <c r="B977" s="5" t="s">
        <v>186</v>
      </c>
      <c r="C977" s="5">
        <v>-115267</v>
      </c>
      <c r="D977" s="5" t="str">
        <f>_xlfn.XLOOKUP(fRealizado5[[#This Row],[Conta]],'Plano de Contas'!A:A,'Plano de Contas'!C:C)</f>
        <v>(-) Despesas Gerais</v>
      </c>
      <c r="E977" s="5" t="str">
        <f>_xlfn.XLOOKUP(fRealizado5[[#This Row],[Conta]],'Plano de Contas'!A:A,'Plano de Contas'!D:D)</f>
        <v>11 - Relacionamento com Cliente</v>
      </c>
    </row>
    <row r="978" spans="1:5" hidden="1" x14ac:dyDescent="0.25">
      <c r="A978" s="23">
        <f t="shared" si="13"/>
        <v>43647</v>
      </c>
      <c r="B978" s="5" t="s">
        <v>187</v>
      </c>
      <c r="C978" s="5">
        <v>-135599</v>
      </c>
      <c r="D978" s="5" t="str">
        <f>_xlfn.XLOOKUP(fRealizado5[[#This Row],[Conta]],'Plano de Contas'!A:A,'Plano de Contas'!C:C)</f>
        <v>(-) Despesas Gerais</v>
      </c>
      <c r="E978" s="5" t="str">
        <f>_xlfn.XLOOKUP(fRealizado5[[#This Row],[Conta]],'Plano de Contas'!A:A,'Plano de Contas'!D:D)</f>
        <v>12 - Marketing e Divulgação</v>
      </c>
    </row>
    <row r="979" spans="1:5" hidden="1" x14ac:dyDescent="0.25">
      <c r="A979" s="23">
        <f t="shared" si="13"/>
        <v>43647</v>
      </c>
      <c r="B979" s="5" t="s">
        <v>188</v>
      </c>
      <c r="C979" s="5">
        <v>-181143</v>
      </c>
      <c r="D979" s="5" t="str">
        <f>_xlfn.XLOOKUP(fRealizado5[[#This Row],[Conta]],'Plano de Contas'!A:A,'Plano de Contas'!C:C)</f>
        <v>(-) Despesas Gerais</v>
      </c>
      <c r="E979" s="5" t="str">
        <f>_xlfn.XLOOKUP(fRealizado5[[#This Row],[Conta]],'Plano de Contas'!A:A,'Plano de Contas'!D:D)</f>
        <v>12 - Marketing e Divulgação</v>
      </c>
    </row>
    <row r="980" spans="1:5" hidden="1" x14ac:dyDescent="0.25">
      <c r="A980" s="23">
        <f t="shared" si="13"/>
        <v>43647</v>
      </c>
      <c r="B980" s="5" t="s">
        <v>189</v>
      </c>
      <c r="C980" s="5">
        <v>-11229</v>
      </c>
      <c r="D980" s="5" t="str">
        <f>_xlfn.XLOOKUP(fRealizado5[[#This Row],[Conta]],'Plano de Contas'!A:A,'Plano de Contas'!C:C)</f>
        <v>(-) Impostos</v>
      </c>
      <c r="E980" s="5" t="str">
        <f>_xlfn.XLOOKUP(fRealizado5[[#This Row],[Conta]],'Plano de Contas'!A:A,'Plano de Contas'!D:D)</f>
        <v>13 - Impostos Estaduais</v>
      </c>
    </row>
    <row r="981" spans="1:5" hidden="1" x14ac:dyDescent="0.25">
      <c r="A981" s="23">
        <f t="shared" si="13"/>
        <v>43647</v>
      </c>
      <c r="B981" s="5" t="s">
        <v>190</v>
      </c>
      <c r="C981" s="5">
        <v>-19898</v>
      </c>
      <c r="D981" s="5" t="str">
        <f>_xlfn.XLOOKUP(fRealizado5[[#This Row],[Conta]],'Plano de Contas'!A:A,'Plano de Contas'!C:C)</f>
        <v>(-) Impostos</v>
      </c>
      <c r="E981" s="5" t="str">
        <f>_xlfn.XLOOKUP(fRealizado5[[#This Row],[Conta]],'Plano de Contas'!A:A,'Plano de Contas'!D:D)</f>
        <v>14 - Impostos Federais</v>
      </c>
    </row>
    <row r="982" spans="1:5" hidden="1" x14ac:dyDescent="0.25">
      <c r="A982" s="23">
        <f t="shared" si="13"/>
        <v>43678</v>
      </c>
      <c r="B982" s="5" t="s">
        <v>51</v>
      </c>
      <c r="C982" s="5">
        <v>853171</v>
      </c>
      <c r="D982" s="5" t="str">
        <f>_xlfn.XLOOKUP(fRealizado5[[#This Row],[Conta]],'Plano de Contas'!A:A,'Plano de Contas'!C:C)</f>
        <v>(+) RECEITA BRUTA</v>
      </c>
      <c r="E982" s="5" t="str">
        <f>_xlfn.XLOOKUP(fRealizado5[[#This Row],[Conta]],'Plano de Contas'!A:A,'Plano de Contas'!D:D)</f>
        <v>01 - Vendas de Produtos</v>
      </c>
    </row>
    <row r="983" spans="1:5" hidden="1" x14ac:dyDescent="0.25">
      <c r="A983" s="23">
        <f t="shared" si="13"/>
        <v>43678</v>
      </c>
      <c r="B983" s="5" t="s">
        <v>52</v>
      </c>
      <c r="C983" s="5">
        <v>758039</v>
      </c>
      <c r="D983" s="5" t="str">
        <f>_xlfn.XLOOKUP(fRealizado5[[#This Row],[Conta]],'Plano de Contas'!A:A,'Plano de Contas'!C:C)</f>
        <v>(+) RECEITA BRUTA</v>
      </c>
      <c r="E983" s="5" t="str">
        <f>_xlfn.XLOOKUP(fRealizado5[[#This Row],[Conta]],'Plano de Contas'!A:A,'Plano de Contas'!D:D)</f>
        <v>01 - Vendas de Produtos</v>
      </c>
    </row>
    <row r="984" spans="1:5" hidden="1" x14ac:dyDescent="0.25">
      <c r="A984" s="23">
        <f t="shared" si="13"/>
        <v>43678</v>
      </c>
      <c r="B984" s="5" t="s">
        <v>53</v>
      </c>
      <c r="C984" s="5">
        <v>384197</v>
      </c>
      <c r="D984" s="5" t="str">
        <f>_xlfn.XLOOKUP(fRealizado5[[#This Row],[Conta]],'Plano de Contas'!A:A,'Plano de Contas'!C:C)</f>
        <v>(+) RECEITA BRUTA</v>
      </c>
      <c r="E984" s="5" t="str">
        <f>_xlfn.XLOOKUP(fRealizado5[[#This Row],[Conta]],'Plano de Contas'!A:A,'Plano de Contas'!D:D)</f>
        <v>01 - Vendas de Produtos</v>
      </c>
    </row>
    <row r="985" spans="1:5" hidden="1" x14ac:dyDescent="0.25">
      <c r="A985" s="23">
        <f t="shared" si="13"/>
        <v>43678</v>
      </c>
      <c r="B985" s="5" t="s">
        <v>54</v>
      </c>
      <c r="C985" s="5">
        <v>647761</v>
      </c>
      <c r="D985" s="5" t="str">
        <f>_xlfn.XLOOKUP(fRealizado5[[#This Row],[Conta]],'Plano de Contas'!A:A,'Plano de Contas'!C:C)</f>
        <v>(+) RECEITA BRUTA</v>
      </c>
      <c r="E985" s="5" t="str">
        <f>_xlfn.XLOOKUP(fRealizado5[[#This Row],[Conta]],'Plano de Contas'!A:A,'Plano de Contas'!D:D)</f>
        <v>01 - Vendas de Produtos</v>
      </c>
    </row>
    <row r="986" spans="1:5" hidden="1" x14ac:dyDescent="0.25">
      <c r="A986" s="23">
        <f t="shared" si="13"/>
        <v>43678</v>
      </c>
      <c r="B986" s="5" t="s">
        <v>55</v>
      </c>
      <c r="C986" s="5">
        <v>978332</v>
      </c>
      <c r="D986" s="5" t="str">
        <f>_xlfn.XLOOKUP(fRealizado5[[#This Row],[Conta]],'Plano de Contas'!A:A,'Plano de Contas'!C:C)</f>
        <v>(+) RECEITA BRUTA</v>
      </c>
      <c r="E986" s="5" t="str">
        <f>_xlfn.XLOOKUP(fRealizado5[[#This Row],[Conta]],'Plano de Contas'!A:A,'Plano de Contas'!D:D)</f>
        <v>01 - Vendas de Produtos</v>
      </c>
    </row>
    <row r="987" spans="1:5" hidden="1" x14ac:dyDescent="0.25">
      <c r="A987" s="23">
        <f t="shared" si="13"/>
        <v>43678</v>
      </c>
      <c r="B987" s="5" t="s">
        <v>56</v>
      </c>
      <c r="C987" s="5">
        <v>442642</v>
      </c>
      <c r="D987" s="5" t="str">
        <f>_xlfn.XLOOKUP(fRealizado5[[#This Row],[Conta]],'Plano de Contas'!A:A,'Plano de Contas'!C:C)</f>
        <v>(+) RECEITA BRUTA</v>
      </c>
      <c r="E987" s="5" t="str">
        <f>_xlfn.XLOOKUP(fRealizado5[[#This Row],[Conta]],'Plano de Contas'!A:A,'Plano de Contas'!D:D)</f>
        <v>01 - Vendas de Produtos</v>
      </c>
    </row>
    <row r="988" spans="1:5" hidden="1" x14ac:dyDescent="0.25">
      <c r="A988" s="23">
        <f t="shared" si="13"/>
        <v>43678</v>
      </c>
      <c r="B988" s="5" t="s">
        <v>57</v>
      </c>
      <c r="C988" s="5">
        <v>907628</v>
      </c>
      <c r="D988" s="5" t="str">
        <f>_xlfn.XLOOKUP(fRealizado5[[#This Row],[Conta]],'Plano de Contas'!A:A,'Plano de Contas'!C:C)</f>
        <v>(+) RECEITA BRUTA</v>
      </c>
      <c r="E988" s="5" t="str">
        <f>_xlfn.XLOOKUP(fRealizado5[[#This Row],[Conta]],'Plano de Contas'!A:A,'Plano de Contas'!D:D)</f>
        <v>01 - Vendas de Produtos</v>
      </c>
    </row>
    <row r="989" spans="1:5" hidden="1" x14ac:dyDescent="0.25">
      <c r="A989" s="23">
        <f t="shared" si="13"/>
        <v>43678</v>
      </c>
      <c r="B989" s="5" t="s">
        <v>58</v>
      </c>
      <c r="C989" s="5">
        <v>681089</v>
      </c>
      <c r="D989" s="5" t="str">
        <f>_xlfn.XLOOKUP(fRealizado5[[#This Row],[Conta]],'Plano de Contas'!A:A,'Plano de Contas'!C:C)</f>
        <v>(+) RECEITA BRUTA</v>
      </c>
      <c r="E989" s="5" t="str">
        <f>_xlfn.XLOOKUP(fRealizado5[[#This Row],[Conta]],'Plano de Contas'!A:A,'Plano de Contas'!D:D)</f>
        <v>01 - Vendas de Produtos</v>
      </c>
    </row>
    <row r="990" spans="1:5" hidden="1" x14ac:dyDescent="0.25">
      <c r="A990" s="23">
        <f t="shared" si="13"/>
        <v>43678</v>
      </c>
      <c r="B990" s="5" t="s">
        <v>59</v>
      </c>
      <c r="C990" s="5">
        <v>929125</v>
      </c>
      <c r="D990" s="5" t="str">
        <f>_xlfn.XLOOKUP(fRealizado5[[#This Row],[Conta]],'Plano de Contas'!A:A,'Plano de Contas'!C:C)</f>
        <v>(+) RECEITA BRUTA</v>
      </c>
      <c r="E990" s="5" t="str">
        <f>_xlfn.XLOOKUP(fRealizado5[[#This Row],[Conta]],'Plano de Contas'!A:A,'Plano de Contas'!D:D)</f>
        <v>01 - Vendas de Produtos</v>
      </c>
    </row>
    <row r="991" spans="1:5" hidden="1" x14ac:dyDescent="0.25">
      <c r="A991" s="23">
        <f t="shared" si="13"/>
        <v>43678</v>
      </c>
      <c r="B991" s="5" t="s">
        <v>60</v>
      </c>
      <c r="C991" s="5">
        <v>730121</v>
      </c>
      <c r="D991" s="5" t="str">
        <f>_xlfn.XLOOKUP(fRealizado5[[#This Row],[Conta]],'Plano de Contas'!A:A,'Plano de Contas'!C:C)</f>
        <v>(+) RECEITA BRUTA</v>
      </c>
      <c r="E991" s="5" t="str">
        <f>_xlfn.XLOOKUP(fRealizado5[[#This Row],[Conta]],'Plano de Contas'!A:A,'Plano de Contas'!D:D)</f>
        <v>01 - Vendas de Produtos</v>
      </c>
    </row>
    <row r="992" spans="1:5" hidden="1" x14ac:dyDescent="0.25">
      <c r="A992" s="23">
        <f t="shared" si="13"/>
        <v>43678</v>
      </c>
      <c r="B992" s="5" t="s">
        <v>61</v>
      </c>
      <c r="C992" s="5">
        <v>696374</v>
      </c>
      <c r="D992" s="5" t="str">
        <f>_xlfn.XLOOKUP(fRealizado5[[#This Row],[Conta]],'Plano de Contas'!A:A,'Plano de Contas'!C:C)</f>
        <v>(+) RECEITA BRUTA</v>
      </c>
      <c r="E992" s="5" t="str">
        <f>_xlfn.XLOOKUP(fRealizado5[[#This Row],[Conta]],'Plano de Contas'!A:A,'Plano de Contas'!D:D)</f>
        <v>01 - Vendas de Produtos</v>
      </c>
    </row>
    <row r="993" spans="1:5" hidden="1" x14ac:dyDescent="0.25">
      <c r="A993" s="23">
        <f t="shared" si="13"/>
        <v>43678</v>
      </c>
      <c r="B993" s="5" t="s">
        <v>62</v>
      </c>
      <c r="C993" s="5">
        <v>858657</v>
      </c>
      <c r="D993" s="5" t="str">
        <f>_xlfn.XLOOKUP(fRealizado5[[#This Row],[Conta]],'Plano de Contas'!A:A,'Plano de Contas'!C:C)</f>
        <v>(+) RECEITA BRUTA</v>
      </c>
      <c r="E993" s="5" t="str">
        <f>_xlfn.XLOOKUP(fRealizado5[[#This Row],[Conta]],'Plano de Contas'!A:A,'Plano de Contas'!D:D)</f>
        <v>01 - Vendas de Produtos</v>
      </c>
    </row>
    <row r="994" spans="1:5" hidden="1" x14ac:dyDescent="0.25">
      <c r="A994" s="23">
        <f t="shared" si="13"/>
        <v>43678</v>
      </c>
      <c r="B994" s="5" t="s">
        <v>63</v>
      </c>
      <c r="C994" s="5">
        <v>589979</v>
      </c>
      <c r="D994" s="5" t="str">
        <f>_xlfn.XLOOKUP(fRealizado5[[#This Row],[Conta]],'Plano de Contas'!A:A,'Plano de Contas'!C:C)</f>
        <v>(+) RECEITA BRUTA</v>
      </c>
      <c r="E994" s="5" t="str">
        <f>_xlfn.XLOOKUP(fRealizado5[[#This Row],[Conta]],'Plano de Contas'!A:A,'Plano de Contas'!D:D)</f>
        <v>01 - Vendas de Produtos</v>
      </c>
    </row>
    <row r="995" spans="1:5" hidden="1" x14ac:dyDescent="0.25">
      <c r="A995" s="23">
        <f t="shared" si="13"/>
        <v>43678</v>
      </c>
      <c r="B995" s="5" t="s">
        <v>64</v>
      </c>
      <c r="C995" s="5">
        <v>341112</v>
      </c>
      <c r="D995" s="5" t="str">
        <f>_xlfn.XLOOKUP(fRealizado5[[#This Row],[Conta]],'Plano de Contas'!A:A,'Plano de Contas'!C:C)</f>
        <v>(+) RECEITA BRUTA</v>
      </c>
      <c r="E995" s="5" t="str">
        <f>_xlfn.XLOOKUP(fRealizado5[[#This Row],[Conta]],'Plano de Contas'!A:A,'Plano de Contas'!D:D)</f>
        <v>01 - Vendas de Produtos</v>
      </c>
    </row>
    <row r="996" spans="1:5" hidden="1" x14ac:dyDescent="0.25">
      <c r="A996" s="23">
        <f t="shared" si="13"/>
        <v>43678</v>
      </c>
      <c r="B996" s="5" t="s">
        <v>65</v>
      </c>
      <c r="C996" s="5">
        <v>550989</v>
      </c>
      <c r="D996" s="5" t="str">
        <f>_xlfn.XLOOKUP(fRealizado5[[#This Row],[Conta]],'Plano de Contas'!A:A,'Plano de Contas'!C:C)</f>
        <v>(+) RECEITA BRUTA</v>
      </c>
      <c r="E996" s="5" t="str">
        <f>_xlfn.XLOOKUP(fRealizado5[[#This Row],[Conta]],'Plano de Contas'!A:A,'Plano de Contas'!D:D)</f>
        <v>01 - Vendas de Produtos</v>
      </c>
    </row>
    <row r="997" spans="1:5" hidden="1" x14ac:dyDescent="0.25">
      <c r="A997" s="23">
        <f t="shared" si="13"/>
        <v>43678</v>
      </c>
      <c r="B997" s="5" t="s">
        <v>66</v>
      </c>
      <c r="C997" s="5">
        <v>954173</v>
      </c>
      <c r="D997" s="5" t="str">
        <f>_xlfn.XLOOKUP(fRealizado5[[#This Row],[Conta]],'Plano de Contas'!A:A,'Plano de Contas'!C:C)</f>
        <v>(+) RECEITA BRUTA</v>
      </c>
      <c r="E997" s="5" t="str">
        <f>_xlfn.XLOOKUP(fRealizado5[[#This Row],[Conta]],'Plano de Contas'!A:A,'Plano de Contas'!D:D)</f>
        <v>01 - Vendas de Produtos</v>
      </c>
    </row>
    <row r="998" spans="1:5" hidden="1" x14ac:dyDescent="0.25">
      <c r="A998" s="23">
        <f t="shared" si="13"/>
        <v>43678</v>
      </c>
      <c r="B998" s="5" t="s">
        <v>67</v>
      </c>
      <c r="C998" s="5">
        <v>688514</v>
      </c>
      <c r="D998" s="5" t="str">
        <f>_xlfn.XLOOKUP(fRealizado5[[#This Row],[Conta]],'Plano de Contas'!A:A,'Plano de Contas'!C:C)</f>
        <v>(+) RECEITA BRUTA</v>
      </c>
      <c r="E998" s="5" t="str">
        <f>_xlfn.XLOOKUP(fRealizado5[[#This Row],[Conta]],'Plano de Contas'!A:A,'Plano de Contas'!D:D)</f>
        <v>01 - Vendas de Produtos</v>
      </c>
    </row>
    <row r="999" spans="1:5" hidden="1" x14ac:dyDescent="0.25">
      <c r="A999" s="23">
        <f t="shared" si="13"/>
        <v>43678</v>
      </c>
      <c r="B999" s="5" t="s">
        <v>68</v>
      </c>
      <c r="C999" s="5">
        <v>754209</v>
      </c>
      <c r="D999" s="5" t="str">
        <f>_xlfn.XLOOKUP(fRealizado5[[#This Row],[Conta]],'Plano de Contas'!A:A,'Plano de Contas'!C:C)</f>
        <v>(+) RECEITA BRUTA</v>
      </c>
      <c r="E999" s="5" t="str">
        <f>_xlfn.XLOOKUP(fRealizado5[[#This Row],[Conta]],'Plano de Contas'!A:A,'Plano de Contas'!D:D)</f>
        <v>01 - Vendas de Produtos</v>
      </c>
    </row>
    <row r="1000" spans="1:5" hidden="1" x14ac:dyDescent="0.25">
      <c r="A1000" s="23">
        <f t="shared" si="13"/>
        <v>43678</v>
      </c>
      <c r="B1000" s="5" t="s">
        <v>69</v>
      </c>
      <c r="C1000" s="5">
        <v>325418</v>
      </c>
      <c r="D1000" s="5" t="str">
        <f>_xlfn.XLOOKUP(fRealizado5[[#This Row],[Conta]],'Plano de Contas'!A:A,'Plano de Contas'!C:C)</f>
        <v>(+) RECEITA BRUTA</v>
      </c>
      <c r="E1000" s="5" t="str">
        <f>_xlfn.XLOOKUP(fRealizado5[[#This Row],[Conta]],'Plano de Contas'!A:A,'Plano de Contas'!D:D)</f>
        <v>01 - Vendas de Produtos</v>
      </c>
    </row>
    <row r="1001" spans="1:5" hidden="1" x14ac:dyDescent="0.25">
      <c r="A1001" s="23">
        <f t="shared" si="13"/>
        <v>43678</v>
      </c>
      <c r="B1001" s="5" t="s">
        <v>70</v>
      </c>
      <c r="C1001" s="5">
        <v>810850</v>
      </c>
      <c r="D1001" s="5" t="str">
        <f>_xlfn.XLOOKUP(fRealizado5[[#This Row],[Conta]],'Plano de Contas'!A:A,'Plano de Contas'!C:C)</f>
        <v>(+) RECEITA BRUTA</v>
      </c>
      <c r="E1001" s="5" t="str">
        <f>_xlfn.XLOOKUP(fRealizado5[[#This Row],[Conta]],'Plano de Contas'!A:A,'Plano de Contas'!D:D)</f>
        <v>01 - Vendas de Produtos</v>
      </c>
    </row>
    <row r="1002" spans="1:5" hidden="1" x14ac:dyDescent="0.25">
      <c r="A1002" s="23">
        <f t="shared" si="13"/>
        <v>43678</v>
      </c>
      <c r="B1002" s="5" t="s">
        <v>71</v>
      </c>
      <c r="C1002" s="5">
        <v>888204</v>
      </c>
      <c r="D1002" s="5" t="str">
        <f>_xlfn.XLOOKUP(fRealizado5[[#This Row],[Conta]],'Plano de Contas'!A:A,'Plano de Contas'!C:C)</f>
        <v>(+) RECEITA BRUTA</v>
      </c>
      <c r="E1002" s="5" t="str">
        <f>_xlfn.XLOOKUP(fRealizado5[[#This Row],[Conta]],'Plano de Contas'!A:A,'Plano de Contas'!D:D)</f>
        <v>01 - Vendas de Produtos</v>
      </c>
    </row>
    <row r="1003" spans="1:5" hidden="1" x14ac:dyDescent="0.25">
      <c r="A1003" s="23">
        <f t="shared" si="13"/>
        <v>43678</v>
      </c>
      <c r="B1003" s="5" t="s">
        <v>72</v>
      </c>
      <c r="C1003" s="5">
        <v>539565</v>
      </c>
      <c r="D1003" s="5" t="str">
        <f>_xlfn.XLOOKUP(fRealizado5[[#This Row],[Conta]],'Plano de Contas'!A:A,'Plano de Contas'!C:C)</f>
        <v>(+) RECEITA BRUTA</v>
      </c>
      <c r="E1003" s="5" t="str">
        <f>_xlfn.XLOOKUP(fRealizado5[[#This Row],[Conta]],'Plano de Contas'!A:A,'Plano de Contas'!D:D)</f>
        <v>01 - Vendas de Produtos</v>
      </c>
    </row>
    <row r="1004" spans="1:5" hidden="1" x14ac:dyDescent="0.25">
      <c r="A1004" s="23">
        <f t="shared" si="13"/>
        <v>43678</v>
      </c>
      <c r="B1004" s="5" t="s">
        <v>73</v>
      </c>
      <c r="C1004" s="5">
        <v>276133</v>
      </c>
      <c r="D1004" s="5" t="str">
        <f>_xlfn.XLOOKUP(fRealizado5[[#This Row],[Conta]],'Plano de Contas'!A:A,'Plano de Contas'!C:C)</f>
        <v>(+) RECEITA BRUTA</v>
      </c>
      <c r="E1004" s="5" t="str">
        <f>_xlfn.XLOOKUP(fRealizado5[[#This Row],[Conta]],'Plano de Contas'!A:A,'Plano de Contas'!D:D)</f>
        <v>01 - Vendas de Produtos</v>
      </c>
    </row>
    <row r="1005" spans="1:5" hidden="1" x14ac:dyDescent="0.25">
      <c r="A1005" s="23">
        <f t="shared" si="13"/>
        <v>43678</v>
      </c>
      <c r="B1005" s="5" t="s">
        <v>74</v>
      </c>
      <c r="C1005" s="5">
        <v>154010</v>
      </c>
      <c r="D1005" s="5" t="str">
        <f>_xlfn.XLOOKUP(fRealizado5[[#This Row],[Conta]],'Plano de Contas'!A:A,'Plano de Contas'!C:C)</f>
        <v>(+) RECEITA BRUTA</v>
      </c>
      <c r="E1005" s="5" t="str">
        <f>_xlfn.XLOOKUP(fRealizado5[[#This Row],[Conta]],'Plano de Contas'!A:A,'Plano de Contas'!D:D)</f>
        <v>01 - Vendas de Produtos</v>
      </c>
    </row>
    <row r="1006" spans="1:5" hidden="1" x14ac:dyDescent="0.25">
      <c r="A1006" s="23">
        <f t="shared" si="13"/>
        <v>43678</v>
      </c>
      <c r="B1006" s="5" t="s">
        <v>75</v>
      </c>
      <c r="C1006" s="5">
        <v>90790</v>
      </c>
      <c r="D1006" s="5" t="str">
        <f>_xlfn.XLOOKUP(fRealizado5[[#This Row],[Conta]],'Plano de Contas'!A:A,'Plano de Contas'!C:C)</f>
        <v>(+) RECEITA BRUTA</v>
      </c>
      <c r="E1006" s="5" t="str">
        <f>_xlfn.XLOOKUP(fRealizado5[[#This Row],[Conta]],'Plano de Contas'!A:A,'Plano de Contas'!D:D)</f>
        <v>02 - Outras Receitas</v>
      </c>
    </row>
    <row r="1007" spans="1:5" hidden="1" x14ac:dyDescent="0.25">
      <c r="A1007" s="23">
        <f t="shared" si="13"/>
        <v>43678</v>
      </c>
      <c r="B1007" s="5" t="s">
        <v>76</v>
      </c>
      <c r="C1007" s="5">
        <v>180484</v>
      </c>
      <c r="D1007" s="5" t="str">
        <f>_xlfn.XLOOKUP(fRealizado5[[#This Row],[Conta]],'Plano de Contas'!A:A,'Plano de Contas'!C:C)</f>
        <v>(+) RECEITA BRUTA</v>
      </c>
      <c r="E1007" s="5" t="str">
        <f>_xlfn.XLOOKUP(fRealizado5[[#This Row],[Conta]],'Plano de Contas'!A:A,'Plano de Contas'!D:D)</f>
        <v>02 - Outras Receitas</v>
      </c>
    </row>
    <row r="1008" spans="1:5" hidden="1" x14ac:dyDescent="0.25">
      <c r="A1008" s="23">
        <f t="shared" si="13"/>
        <v>43678</v>
      </c>
      <c r="B1008" s="5" t="s">
        <v>77</v>
      </c>
      <c r="C1008" s="5">
        <v>204849</v>
      </c>
      <c r="D1008" s="5" t="str">
        <f>_xlfn.XLOOKUP(fRealizado5[[#This Row],[Conta]],'Plano de Contas'!A:A,'Plano de Contas'!C:C)</f>
        <v>(+) RECEITA BRUTA</v>
      </c>
      <c r="E1008" s="5" t="str">
        <f>_xlfn.XLOOKUP(fRealizado5[[#This Row],[Conta]],'Plano de Contas'!A:A,'Plano de Contas'!D:D)</f>
        <v>02 - Outras Receitas</v>
      </c>
    </row>
    <row r="1009" spans="1:5" hidden="1" x14ac:dyDescent="0.25">
      <c r="A1009" s="23">
        <f t="shared" si="13"/>
        <v>43678</v>
      </c>
      <c r="B1009" s="5" t="s">
        <v>78</v>
      </c>
      <c r="C1009" s="5">
        <v>132623</v>
      </c>
      <c r="D1009" s="5" t="str">
        <f>_xlfn.XLOOKUP(fRealizado5[[#This Row],[Conta]],'Plano de Contas'!A:A,'Plano de Contas'!C:C)</f>
        <v>(+) RECEITA BRUTA</v>
      </c>
      <c r="E1009" s="5" t="str">
        <f>_xlfn.XLOOKUP(fRealizado5[[#This Row],[Conta]],'Plano de Contas'!A:A,'Plano de Contas'!D:D)</f>
        <v>02 - Outras Receitas</v>
      </c>
    </row>
    <row r="1010" spans="1:5" hidden="1" x14ac:dyDescent="0.25">
      <c r="A1010" s="23">
        <f t="shared" si="13"/>
        <v>43678</v>
      </c>
      <c r="B1010" s="5" t="s">
        <v>79</v>
      </c>
      <c r="C1010" s="5">
        <v>198416</v>
      </c>
      <c r="D1010" s="5" t="str">
        <f>_xlfn.XLOOKUP(fRealizado5[[#This Row],[Conta]],'Plano de Contas'!A:A,'Plano de Contas'!C:C)</f>
        <v>(+) RECEITA BRUTA</v>
      </c>
      <c r="E1010" s="5" t="str">
        <f>_xlfn.XLOOKUP(fRealizado5[[#This Row],[Conta]],'Plano de Contas'!A:A,'Plano de Contas'!D:D)</f>
        <v>02 - Outras Receitas</v>
      </c>
    </row>
    <row r="1011" spans="1:5" hidden="1" x14ac:dyDescent="0.25">
      <c r="A1011" s="23">
        <f t="shared" si="13"/>
        <v>43678</v>
      </c>
      <c r="B1011" s="5" t="s">
        <v>80</v>
      </c>
      <c r="C1011" s="5">
        <v>278703</v>
      </c>
      <c r="D1011" s="5" t="str">
        <f>_xlfn.XLOOKUP(fRealizado5[[#This Row],[Conta]],'Plano de Contas'!A:A,'Plano de Contas'!C:C)</f>
        <v>(+) RECEITA BRUTA</v>
      </c>
      <c r="E1011" s="5" t="str">
        <f>_xlfn.XLOOKUP(fRealizado5[[#This Row],[Conta]],'Plano de Contas'!A:A,'Plano de Contas'!D:D)</f>
        <v>02 - Outras Receitas</v>
      </c>
    </row>
    <row r="1012" spans="1:5" hidden="1" x14ac:dyDescent="0.25">
      <c r="A1012" s="23">
        <f t="shared" si="13"/>
        <v>43678</v>
      </c>
      <c r="B1012" s="5" t="s">
        <v>81</v>
      </c>
      <c r="C1012" s="5">
        <v>85073</v>
      </c>
      <c r="D1012" s="5" t="str">
        <f>_xlfn.XLOOKUP(fRealizado5[[#This Row],[Conta]],'Plano de Contas'!A:A,'Plano de Contas'!C:C)</f>
        <v>(+) RECEITA BRUTA</v>
      </c>
      <c r="E1012" s="5" t="str">
        <f>_xlfn.XLOOKUP(fRealizado5[[#This Row],[Conta]],'Plano de Contas'!A:A,'Plano de Contas'!D:D)</f>
        <v>02 - Outras Receitas</v>
      </c>
    </row>
    <row r="1013" spans="1:5" hidden="1" x14ac:dyDescent="0.25">
      <c r="A1013" s="23">
        <f t="shared" si="13"/>
        <v>43678</v>
      </c>
      <c r="B1013" s="5" t="s">
        <v>82</v>
      </c>
      <c r="C1013" s="5">
        <v>218292</v>
      </c>
      <c r="D1013" s="5" t="str">
        <f>_xlfn.XLOOKUP(fRealizado5[[#This Row],[Conta]],'Plano de Contas'!A:A,'Plano de Contas'!C:C)</f>
        <v>(+) RECEITA BRUTA</v>
      </c>
      <c r="E1013" s="5" t="str">
        <f>_xlfn.XLOOKUP(fRealizado5[[#This Row],[Conta]],'Plano de Contas'!A:A,'Plano de Contas'!D:D)</f>
        <v>02 - Outras Receitas</v>
      </c>
    </row>
    <row r="1014" spans="1:5" hidden="1" x14ac:dyDescent="0.25">
      <c r="A1014" s="23">
        <f t="shared" si="13"/>
        <v>43678</v>
      </c>
      <c r="B1014" s="5" t="s">
        <v>83</v>
      </c>
      <c r="C1014" s="5">
        <v>281817</v>
      </c>
      <c r="D1014" s="5" t="str">
        <f>_xlfn.XLOOKUP(fRealizado5[[#This Row],[Conta]],'Plano de Contas'!A:A,'Plano de Contas'!C:C)</f>
        <v>(+) RECEITA BRUTA</v>
      </c>
      <c r="E1014" s="5" t="str">
        <f>_xlfn.XLOOKUP(fRealizado5[[#This Row],[Conta]],'Plano de Contas'!A:A,'Plano de Contas'!D:D)</f>
        <v>02 - Outras Receitas</v>
      </c>
    </row>
    <row r="1015" spans="1:5" hidden="1" x14ac:dyDescent="0.25">
      <c r="A1015" s="23">
        <f t="shared" si="13"/>
        <v>43678</v>
      </c>
      <c r="B1015" s="5" t="s">
        <v>84</v>
      </c>
      <c r="C1015" s="5">
        <v>83392</v>
      </c>
      <c r="D1015" s="5" t="str">
        <f>_xlfn.XLOOKUP(fRealizado5[[#This Row],[Conta]],'Plano de Contas'!A:A,'Plano de Contas'!C:C)</f>
        <v>(+) RECEITA BRUTA</v>
      </c>
      <c r="E1015" s="5" t="str">
        <f>_xlfn.XLOOKUP(fRealizado5[[#This Row],[Conta]],'Plano de Contas'!A:A,'Plano de Contas'!D:D)</f>
        <v>02 - Outras Receitas</v>
      </c>
    </row>
    <row r="1016" spans="1:5" hidden="1" x14ac:dyDescent="0.25">
      <c r="A1016" s="23">
        <f t="shared" si="13"/>
        <v>43678</v>
      </c>
      <c r="B1016" s="5" t="s">
        <v>85</v>
      </c>
      <c r="C1016" s="5">
        <v>91004</v>
      </c>
      <c r="D1016" s="5" t="str">
        <f>_xlfn.XLOOKUP(fRealizado5[[#This Row],[Conta]],'Plano de Contas'!A:A,'Plano de Contas'!C:C)</f>
        <v>(+) RECEITA BRUTA</v>
      </c>
      <c r="E1016" s="5" t="str">
        <f>_xlfn.XLOOKUP(fRealizado5[[#This Row],[Conta]],'Plano de Contas'!A:A,'Plano de Contas'!D:D)</f>
        <v>02 - Outras Receitas</v>
      </c>
    </row>
    <row r="1017" spans="1:5" hidden="1" x14ac:dyDescent="0.25">
      <c r="A1017" s="23">
        <f t="shared" si="13"/>
        <v>43678</v>
      </c>
      <c r="B1017" s="5" t="s">
        <v>86</v>
      </c>
      <c r="C1017" s="5">
        <v>254955</v>
      </c>
      <c r="D1017" s="5" t="str">
        <f>_xlfn.XLOOKUP(fRealizado5[[#This Row],[Conta]],'Plano de Contas'!A:A,'Plano de Contas'!C:C)</f>
        <v>(+) RECEITA BRUTA</v>
      </c>
      <c r="E1017" s="5" t="str">
        <f>_xlfn.XLOOKUP(fRealizado5[[#This Row],[Conta]],'Plano de Contas'!A:A,'Plano de Contas'!D:D)</f>
        <v>02 - Outras Receitas</v>
      </c>
    </row>
    <row r="1018" spans="1:5" hidden="1" x14ac:dyDescent="0.25">
      <c r="A1018" s="23">
        <f t="shared" si="13"/>
        <v>43678</v>
      </c>
      <c r="B1018" s="5" t="s">
        <v>87</v>
      </c>
      <c r="C1018" s="5">
        <v>79617</v>
      </c>
      <c r="D1018" s="5" t="str">
        <f>_xlfn.XLOOKUP(fRealizado5[[#This Row],[Conta]],'Plano de Contas'!A:A,'Plano de Contas'!C:C)</f>
        <v>(+) RECEITA BRUTA</v>
      </c>
      <c r="E1018" s="5" t="str">
        <f>_xlfn.XLOOKUP(fRealizado5[[#This Row],[Conta]],'Plano de Contas'!A:A,'Plano de Contas'!D:D)</f>
        <v>02 - Outras Receitas</v>
      </c>
    </row>
    <row r="1019" spans="1:5" hidden="1" x14ac:dyDescent="0.25">
      <c r="A1019" s="23">
        <f t="shared" si="13"/>
        <v>43678</v>
      </c>
      <c r="B1019" s="5" t="s">
        <v>88</v>
      </c>
      <c r="C1019" s="5">
        <v>142638</v>
      </c>
      <c r="D1019" s="5" t="str">
        <f>_xlfn.XLOOKUP(fRealizado5[[#This Row],[Conta]],'Plano de Contas'!A:A,'Plano de Contas'!C:C)</f>
        <v>(+) RECEITA BRUTA</v>
      </c>
      <c r="E1019" s="5" t="str">
        <f>_xlfn.XLOOKUP(fRealizado5[[#This Row],[Conta]],'Plano de Contas'!A:A,'Plano de Contas'!D:D)</f>
        <v>02 - Outras Receitas</v>
      </c>
    </row>
    <row r="1020" spans="1:5" hidden="1" x14ac:dyDescent="0.25">
      <c r="A1020" s="23">
        <f t="shared" si="13"/>
        <v>43678</v>
      </c>
      <c r="B1020" s="5" t="s">
        <v>89</v>
      </c>
      <c r="C1020" s="5">
        <v>95467</v>
      </c>
      <c r="D1020" s="5" t="str">
        <f>_xlfn.XLOOKUP(fRealizado5[[#This Row],[Conta]],'Plano de Contas'!A:A,'Plano de Contas'!C:C)</f>
        <v>(+) RECEITA BRUTA</v>
      </c>
      <c r="E1020" s="5" t="str">
        <f>_xlfn.XLOOKUP(fRealizado5[[#This Row],[Conta]],'Plano de Contas'!A:A,'Plano de Contas'!D:D)</f>
        <v>02 - Outras Receitas</v>
      </c>
    </row>
    <row r="1021" spans="1:5" hidden="1" x14ac:dyDescent="0.25">
      <c r="A1021" s="23">
        <f t="shared" si="13"/>
        <v>43678</v>
      </c>
      <c r="B1021" s="5" t="s">
        <v>90</v>
      </c>
      <c r="C1021" s="5">
        <v>188913</v>
      </c>
      <c r="D1021" s="5" t="str">
        <f>_xlfn.XLOOKUP(fRealizado5[[#This Row],[Conta]],'Plano de Contas'!A:A,'Plano de Contas'!C:C)</f>
        <v>(+) RECEITA BRUTA</v>
      </c>
      <c r="E1021" s="5" t="str">
        <f>_xlfn.XLOOKUP(fRealizado5[[#This Row],[Conta]],'Plano de Contas'!A:A,'Plano de Contas'!D:D)</f>
        <v>02 - Outras Receitas</v>
      </c>
    </row>
    <row r="1022" spans="1:5" hidden="1" x14ac:dyDescent="0.25">
      <c r="A1022" s="23">
        <f t="shared" si="13"/>
        <v>43678</v>
      </c>
      <c r="B1022" s="5" t="s">
        <v>91</v>
      </c>
      <c r="C1022" s="5">
        <v>287607</v>
      </c>
      <c r="D1022" s="5" t="str">
        <f>_xlfn.XLOOKUP(fRealizado5[[#This Row],[Conta]],'Plano de Contas'!A:A,'Plano de Contas'!C:C)</f>
        <v>(+) RECEITA BRUTA</v>
      </c>
      <c r="E1022" s="5" t="str">
        <f>_xlfn.XLOOKUP(fRealizado5[[#This Row],[Conta]],'Plano de Contas'!A:A,'Plano de Contas'!D:D)</f>
        <v>02 - Outras Receitas</v>
      </c>
    </row>
    <row r="1023" spans="1:5" hidden="1" x14ac:dyDescent="0.25">
      <c r="A1023" s="23">
        <f t="shared" si="13"/>
        <v>43678</v>
      </c>
      <c r="B1023" s="5" t="s">
        <v>92</v>
      </c>
      <c r="C1023" s="5">
        <v>54648</v>
      </c>
      <c r="D1023" s="5" t="str">
        <f>_xlfn.XLOOKUP(fRealizado5[[#This Row],[Conta]],'Plano de Contas'!A:A,'Plano de Contas'!C:C)</f>
        <v>(+) RECEITA BRUTA</v>
      </c>
      <c r="E1023" s="5" t="str">
        <f>_xlfn.XLOOKUP(fRealizado5[[#This Row],[Conta]],'Plano de Contas'!A:A,'Plano de Contas'!D:D)</f>
        <v>02 - Outras Receitas</v>
      </c>
    </row>
    <row r="1024" spans="1:5" hidden="1" x14ac:dyDescent="0.25">
      <c r="A1024" s="23">
        <f t="shared" si="13"/>
        <v>43678</v>
      </c>
      <c r="B1024" s="5" t="s">
        <v>93</v>
      </c>
      <c r="C1024" s="5">
        <v>122289</v>
      </c>
      <c r="D1024" s="5" t="str">
        <f>_xlfn.XLOOKUP(fRealizado5[[#This Row],[Conta]],'Plano de Contas'!A:A,'Plano de Contas'!C:C)</f>
        <v>(+) RECEITA BRUTA</v>
      </c>
      <c r="E1024" s="5" t="str">
        <f>_xlfn.XLOOKUP(fRealizado5[[#This Row],[Conta]],'Plano de Contas'!A:A,'Plano de Contas'!D:D)</f>
        <v>02 - Outras Receitas</v>
      </c>
    </row>
    <row r="1025" spans="1:5" hidden="1" x14ac:dyDescent="0.25">
      <c r="A1025" s="23">
        <f t="shared" si="13"/>
        <v>43678</v>
      </c>
      <c r="B1025" s="5" t="s">
        <v>94</v>
      </c>
      <c r="C1025" s="5">
        <v>142400</v>
      </c>
      <c r="D1025" s="5" t="str">
        <f>_xlfn.XLOOKUP(fRealizado5[[#This Row],[Conta]],'Plano de Contas'!A:A,'Plano de Contas'!C:C)</f>
        <v>(+) RECEITA BRUTA</v>
      </c>
      <c r="E1025" s="5" t="str">
        <f>_xlfn.XLOOKUP(fRealizado5[[#This Row],[Conta]],'Plano de Contas'!A:A,'Plano de Contas'!D:D)</f>
        <v>02 - Outras Receitas</v>
      </c>
    </row>
    <row r="1026" spans="1:5" hidden="1" x14ac:dyDescent="0.25">
      <c r="A1026" s="23">
        <f t="shared" si="13"/>
        <v>43678</v>
      </c>
      <c r="B1026" s="5" t="s">
        <v>95</v>
      </c>
      <c r="C1026" s="5">
        <v>67338</v>
      </c>
      <c r="D1026" s="5" t="str">
        <f>_xlfn.XLOOKUP(fRealizado5[[#This Row],[Conta]],'Plano de Contas'!A:A,'Plano de Contas'!C:C)</f>
        <v>(+) RECEITA BRUTA</v>
      </c>
      <c r="E1026" s="5" t="str">
        <f>_xlfn.XLOOKUP(fRealizado5[[#This Row],[Conta]],'Plano de Contas'!A:A,'Plano de Contas'!D:D)</f>
        <v>02 - Outras Receitas</v>
      </c>
    </row>
    <row r="1027" spans="1:5" hidden="1" x14ac:dyDescent="0.25">
      <c r="A1027" s="23">
        <f t="shared" si="13"/>
        <v>43678</v>
      </c>
      <c r="B1027" s="5" t="s">
        <v>96</v>
      </c>
      <c r="C1027" s="5">
        <v>233433</v>
      </c>
      <c r="D1027" s="5" t="str">
        <f>_xlfn.XLOOKUP(fRealizado5[[#This Row],[Conta]],'Plano de Contas'!A:A,'Plano de Contas'!C:C)</f>
        <v>(+) RECEITA BRUTA</v>
      </c>
      <c r="E1027" s="5" t="str">
        <f>_xlfn.XLOOKUP(fRealizado5[[#This Row],[Conta]],'Plano de Contas'!A:A,'Plano de Contas'!D:D)</f>
        <v>02 - Outras Receitas</v>
      </c>
    </row>
    <row r="1028" spans="1:5" hidden="1" x14ac:dyDescent="0.25">
      <c r="A1028" s="23">
        <f t="shared" si="13"/>
        <v>43678</v>
      </c>
      <c r="B1028" s="5" t="s">
        <v>97</v>
      </c>
      <c r="C1028" s="5">
        <v>68977</v>
      </c>
      <c r="D1028" s="5" t="str">
        <f>_xlfn.XLOOKUP(fRealizado5[[#This Row],[Conta]],'Plano de Contas'!A:A,'Plano de Contas'!C:C)</f>
        <v>(+) RECEITA BRUTA</v>
      </c>
      <c r="E1028" s="5" t="str">
        <f>_xlfn.XLOOKUP(fRealizado5[[#This Row],[Conta]],'Plano de Contas'!A:A,'Plano de Contas'!D:D)</f>
        <v>02 - Outras Receitas</v>
      </c>
    </row>
    <row r="1029" spans="1:5" hidden="1" x14ac:dyDescent="0.25">
      <c r="A1029" s="23">
        <f t="shared" si="13"/>
        <v>43678</v>
      </c>
      <c r="B1029" s="5" t="s">
        <v>98</v>
      </c>
      <c r="C1029" s="5">
        <v>269747</v>
      </c>
      <c r="D1029" s="5" t="str">
        <f>_xlfn.XLOOKUP(fRealizado5[[#This Row],[Conta]],'Plano de Contas'!A:A,'Plano de Contas'!C:C)</f>
        <v>(+) RECEITA BRUTA</v>
      </c>
      <c r="E1029" s="5" t="str">
        <f>_xlfn.XLOOKUP(fRealizado5[[#This Row],[Conta]],'Plano de Contas'!A:A,'Plano de Contas'!D:D)</f>
        <v>02 - Outras Receitas</v>
      </c>
    </row>
    <row r="1030" spans="1:5" hidden="1" x14ac:dyDescent="0.25">
      <c r="A1030" s="23">
        <f t="shared" si="13"/>
        <v>43678</v>
      </c>
      <c r="B1030" s="5" t="s">
        <v>99</v>
      </c>
      <c r="C1030" s="5">
        <v>91214</v>
      </c>
      <c r="D1030" s="5" t="str">
        <f>_xlfn.XLOOKUP(fRealizado5[[#This Row],[Conta]],'Plano de Contas'!A:A,'Plano de Contas'!C:C)</f>
        <v>(+) RECEITA BRUTA</v>
      </c>
      <c r="E1030" s="5" t="str">
        <f>_xlfn.XLOOKUP(fRealizado5[[#This Row],[Conta]],'Plano de Contas'!A:A,'Plano de Contas'!D:D)</f>
        <v>02 - Outras Receitas</v>
      </c>
    </row>
    <row r="1031" spans="1:5" hidden="1" x14ac:dyDescent="0.25">
      <c r="A1031" s="23">
        <f t="shared" si="13"/>
        <v>43678</v>
      </c>
      <c r="B1031" s="5" t="s">
        <v>100</v>
      </c>
      <c r="C1031" s="5">
        <v>143703</v>
      </c>
      <c r="D1031" s="5" t="str">
        <f>_xlfn.XLOOKUP(fRealizado5[[#This Row],[Conta]],'Plano de Contas'!A:A,'Plano de Contas'!C:C)</f>
        <v>(+) RECEITA BRUTA</v>
      </c>
      <c r="E1031" s="5" t="str">
        <f>_xlfn.XLOOKUP(fRealizado5[[#This Row],[Conta]],'Plano de Contas'!A:A,'Plano de Contas'!D:D)</f>
        <v>02 - Outras Receitas</v>
      </c>
    </row>
    <row r="1032" spans="1:5" hidden="1" x14ac:dyDescent="0.25">
      <c r="A1032" s="23">
        <f t="shared" si="13"/>
        <v>43678</v>
      </c>
      <c r="B1032" s="5" t="s">
        <v>101</v>
      </c>
      <c r="C1032" s="5">
        <v>56715</v>
      </c>
      <c r="D1032" s="5" t="str">
        <f>_xlfn.XLOOKUP(fRealizado5[[#This Row],[Conta]],'Plano de Contas'!A:A,'Plano de Contas'!C:C)</f>
        <v>(+) RECEITA BRUTA</v>
      </c>
      <c r="E1032" s="5" t="str">
        <f>_xlfn.XLOOKUP(fRealizado5[[#This Row],[Conta]],'Plano de Contas'!A:A,'Plano de Contas'!D:D)</f>
        <v>02 - Outras Receitas</v>
      </c>
    </row>
    <row r="1033" spans="1:5" hidden="1" x14ac:dyDescent="0.25">
      <c r="A1033" s="23">
        <f t="shared" si="13"/>
        <v>43678</v>
      </c>
      <c r="B1033" s="5" t="s">
        <v>102</v>
      </c>
      <c r="C1033" s="5">
        <v>78666</v>
      </c>
      <c r="D1033" s="5" t="str">
        <f>_xlfn.XLOOKUP(fRealizado5[[#This Row],[Conta]],'Plano de Contas'!A:A,'Plano de Contas'!C:C)</f>
        <v>(+) RECEITA BRUTA</v>
      </c>
      <c r="E1033" s="5" t="str">
        <f>_xlfn.XLOOKUP(fRealizado5[[#This Row],[Conta]],'Plano de Contas'!A:A,'Plano de Contas'!D:D)</f>
        <v>02 - Outras Receitas</v>
      </c>
    </row>
    <row r="1034" spans="1:5" hidden="1" x14ac:dyDescent="0.25">
      <c r="A1034" s="23">
        <f t="shared" si="13"/>
        <v>43678</v>
      </c>
      <c r="B1034" s="5" t="s">
        <v>103</v>
      </c>
      <c r="C1034" s="5">
        <v>216556</v>
      </c>
      <c r="D1034" s="5" t="str">
        <f>_xlfn.XLOOKUP(fRealizado5[[#This Row],[Conta]],'Plano de Contas'!A:A,'Plano de Contas'!C:C)</f>
        <v>(+) RECEITA BRUTA</v>
      </c>
      <c r="E1034" s="5" t="str">
        <f>_xlfn.XLOOKUP(fRealizado5[[#This Row],[Conta]],'Plano de Contas'!A:A,'Plano de Contas'!D:D)</f>
        <v>02 - Outras Receitas</v>
      </c>
    </row>
    <row r="1035" spans="1:5" hidden="1" x14ac:dyDescent="0.25">
      <c r="A1035" s="23">
        <f t="shared" si="13"/>
        <v>43678</v>
      </c>
      <c r="B1035" s="5" t="s">
        <v>104</v>
      </c>
      <c r="C1035" s="5">
        <v>96566</v>
      </c>
      <c r="D1035" s="5" t="str">
        <f>_xlfn.XLOOKUP(fRealizado5[[#This Row],[Conta]],'Plano de Contas'!A:A,'Plano de Contas'!C:C)</f>
        <v>(+) RECEITA BRUTA</v>
      </c>
      <c r="E1035" s="5" t="str">
        <f>_xlfn.XLOOKUP(fRealizado5[[#This Row],[Conta]],'Plano de Contas'!A:A,'Plano de Contas'!D:D)</f>
        <v>02 - Outras Receitas</v>
      </c>
    </row>
    <row r="1036" spans="1:5" hidden="1" x14ac:dyDescent="0.25">
      <c r="A1036" s="23">
        <f t="shared" si="13"/>
        <v>43678</v>
      </c>
      <c r="B1036" s="5" t="s">
        <v>105</v>
      </c>
      <c r="C1036" s="5">
        <v>240916</v>
      </c>
      <c r="D1036" s="5" t="str">
        <f>_xlfn.XLOOKUP(fRealizado5[[#This Row],[Conta]],'Plano de Contas'!A:A,'Plano de Contas'!C:C)</f>
        <v>(+) RECEITA BRUTA</v>
      </c>
      <c r="E1036" s="5" t="str">
        <f>_xlfn.XLOOKUP(fRealizado5[[#This Row],[Conta]],'Plano de Contas'!A:A,'Plano de Contas'!D:D)</f>
        <v>02 - Outras Receitas</v>
      </c>
    </row>
    <row r="1037" spans="1:5" hidden="1" x14ac:dyDescent="0.25">
      <c r="A1037" s="23">
        <f t="shared" si="13"/>
        <v>43678</v>
      </c>
      <c r="B1037" s="5" t="s">
        <v>106</v>
      </c>
      <c r="C1037" s="5">
        <v>78638</v>
      </c>
      <c r="D1037" s="5" t="str">
        <f>_xlfn.XLOOKUP(fRealizado5[[#This Row],[Conta]],'Plano de Contas'!A:A,'Plano de Contas'!C:C)</f>
        <v>(+) RECEITA BRUTA</v>
      </c>
      <c r="E1037" s="5" t="str">
        <f>_xlfn.XLOOKUP(fRealizado5[[#This Row],[Conta]],'Plano de Contas'!A:A,'Plano de Contas'!D:D)</f>
        <v>02 - Outras Receitas</v>
      </c>
    </row>
    <row r="1038" spans="1:5" hidden="1" x14ac:dyDescent="0.25">
      <c r="A1038" s="23">
        <f t="shared" si="13"/>
        <v>43678</v>
      </c>
      <c r="B1038" s="5" t="s">
        <v>107</v>
      </c>
      <c r="C1038" s="5">
        <v>157552</v>
      </c>
      <c r="D1038" s="5" t="str">
        <f>_xlfn.XLOOKUP(fRealizado5[[#This Row],[Conta]],'Plano de Contas'!A:A,'Plano de Contas'!C:C)</f>
        <v>(+) RECEITA BRUTA</v>
      </c>
      <c r="E1038" s="5" t="str">
        <f>_xlfn.XLOOKUP(fRealizado5[[#This Row],[Conta]],'Plano de Contas'!A:A,'Plano de Contas'!D:D)</f>
        <v>02 - Outras Receitas</v>
      </c>
    </row>
    <row r="1039" spans="1:5" hidden="1" x14ac:dyDescent="0.25">
      <c r="A1039" s="23">
        <f t="shared" ref="A1039:A1102" si="14">EDATE(A899,1)</f>
        <v>43678</v>
      </c>
      <c r="B1039" s="5" t="s">
        <v>108</v>
      </c>
      <c r="C1039" s="5">
        <v>241117</v>
      </c>
      <c r="D1039" s="5" t="str">
        <f>_xlfn.XLOOKUP(fRealizado5[[#This Row],[Conta]],'Plano de Contas'!A:A,'Plano de Contas'!C:C)</f>
        <v>(+) RECEITA BRUTA</v>
      </c>
      <c r="E1039" s="5" t="str">
        <f>_xlfn.XLOOKUP(fRealizado5[[#This Row],[Conta]],'Plano de Contas'!A:A,'Plano de Contas'!D:D)</f>
        <v>02 - Outras Receitas</v>
      </c>
    </row>
    <row r="1040" spans="1:5" hidden="1" x14ac:dyDescent="0.25">
      <c r="A1040" s="23">
        <f t="shared" si="14"/>
        <v>43678</v>
      </c>
      <c r="B1040" s="5" t="s">
        <v>109</v>
      </c>
      <c r="C1040" s="5">
        <v>266657</v>
      </c>
      <c r="D1040" s="5" t="str">
        <f>_xlfn.XLOOKUP(fRealizado5[[#This Row],[Conta]],'Plano de Contas'!A:A,'Plano de Contas'!C:C)</f>
        <v>(+) RECEITA BRUTA</v>
      </c>
      <c r="E1040" s="5" t="str">
        <f>_xlfn.XLOOKUP(fRealizado5[[#This Row],[Conta]],'Plano de Contas'!A:A,'Plano de Contas'!D:D)</f>
        <v>02 - Outras Receitas</v>
      </c>
    </row>
    <row r="1041" spans="1:5" hidden="1" x14ac:dyDescent="0.25">
      <c r="A1041" s="23">
        <f t="shared" si="14"/>
        <v>43678</v>
      </c>
      <c r="B1041" s="5" t="s">
        <v>110</v>
      </c>
      <c r="C1041" s="5">
        <v>-3090</v>
      </c>
      <c r="D1041" s="5" t="str">
        <f>_xlfn.XLOOKUP(fRealizado5[[#This Row],[Conta]],'Plano de Contas'!A:A,'Plano de Contas'!C:C)</f>
        <v>(-) Deduções da Receita</v>
      </c>
      <c r="E1041" s="5" t="str">
        <f>_xlfn.XLOOKUP(fRealizado5[[#This Row],[Conta]],'Plano de Contas'!A:A,'Plano de Contas'!D:D)</f>
        <v>03 - Devoluções de Produtos</v>
      </c>
    </row>
    <row r="1042" spans="1:5" hidden="1" x14ac:dyDescent="0.25">
      <c r="A1042" s="23">
        <f t="shared" si="14"/>
        <v>43678</v>
      </c>
      <c r="B1042" s="5" t="s">
        <v>111</v>
      </c>
      <c r="C1042" s="5">
        <v>-9129</v>
      </c>
      <c r="D1042" s="5" t="str">
        <f>_xlfn.XLOOKUP(fRealizado5[[#This Row],[Conta]],'Plano de Contas'!A:A,'Plano de Contas'!C:C)</f>
        <v>(-) Deduções da Receita</v>
      </c>
      <c r="E1042" s="5" t="str">
        <f>_xlfn.XLOOKUP(fRealizado5[[#This Row],[Conta]],'Plano de Contas'!A:A,'Plano de Contas'!D:D)</f>
        <v>03 - Devoluções de Produtos</v>
      </c>
    </row>
    <row r="1043" spans="1:5" hidden="1" x14ac:dyDescent="0.25">
      <c r="A1043" s="23">
        <f t="shared" si="14"/>
        <v>43678</v>
      </c>
      <c r="B1043" s="5" t="s">
        <v>112</v>
      </c>
      <c r="C1043" s="5">
        <v>-9488</v>
      </c>
      <c r="D1043" s="5" t="str">
        <f>_xlfn.XLOOKUP(fRealizado5[[#This Row],[Conta]],'Plano de Contas'!A:A,'Plano de Contas'!C:C)</f>
        <v>(-) Deduções da Receita</v>
      </c>
      <c r="E1043" s="5" t="str">
        <f>_xlfn.XLOOKUP(fRealizado5[[#This Row],[Conta]],'Plano de Contas'!A:A,'Plano de Contas'!D:D)</f>
        <v>03 - Devoluções de Produtos</v>
      </c>
    </row>
    <row r="1044" spans="1:5" hidden="1" x14ac:dyDescent="0.25">
      <c r="A1044" s="23">
        <f t="shared" si="14"/>
        <v>43678</v>
      </c>
      <c r="B1044" s="5" t="s">
        <v>113</v>
      </c>
      <c r="C1044" s="5">
        <v>-9342</v>
      </c>
      <c r="D1044" s="5" t="str">
        <f>_xlfn.XLOOKUP(fRealizado5[[#This Row],[Conta]],'Plano de Contas'!A:A,'Plano de Contas'!C:C)</f>
        <v>(-) Deduções da Receita</v>
      </c>
      <c r="E1044" s="5" t="str">
        <f>_xlfn.XLOOKUP(fRealizado5[[#This Row],[Conta]],'Plano de Contas'!A:A,'Plano de Contas'!D:D)</f>
        <v>03 - Devoluções de Produtos</v>
      </c>
    </row>
    <row r="1045" spans="1:5" hidden="1" x14ac:dyDescent="0.25">
      <c r="A1045" s="23">
        <f t="shared" si="14"/>
        <v>43678</v>
      </c>
      <c r="B1045" s="5" t="s">
        <v>114</v>
      </c>
      <c r="C1045" s="5">
        <v>-5342</v>
      </c>
      <c r="D1045" s="5" t="str">
        <f>_xlfn.XLOOKUP(fRealizado5[[#This Row],[Conta]],'Plano de Contas'!A:A,'Plano de Contas'!C:C)</f>
        <v>(-) Deduções da Receita</v>
      </c>
      <c r="E1045" s="5" t="str">
        <f>_xlfn.XLOOKUP(fRealizado5[[#This Row],[Conta]],'Plano de Contas'!A:A,'Plano de Contas'!D:D)</f>
        <v>03 - Devoluções de Produtos</v>
      </c>
    </row>
    <row r="1046" spans="1:5" hidden="1" x14ac:dyDescent="0.25">
      <c r="A1046" s="23">
        <f t="shared" si="14"/>
        <v>43678</v>
      </c>
      <c r="B1046" s="5" t="s">
        <v>115</v>
      </c>
      <c r="C1046" s="5">
        <v>-4281</v>
      </c>
      <c r="D1046" s="5" t="str">
        <f>_xlfn.XLOOKUP(fRealizado5[[#This Row],[Conta]],'Plano de Contas'!A:A,'Plano de Contas'!C:C)</f>
        <v>(-) Deduções da Receita</v>
      </c>
      <c r="E1046" s="5" t="str">
        <f>_xlfn.XLOOKUP(fRealizado5[[#This Row],[Conta]],'Plano de Contas'!A:A,'Plano de Contas'!D:D)</f>
        <v>03 - Devoluções de Produtos</v>
      </c>
    </row>
    <row r="1047" spans="1:5" hidden="1" x14ac:dyDescent="0.25">
      <c r="A1047" s="23">
        <f t="shared" si="14"/>
        <v>43678</v>
      </c>
      <c r="B1047" s="5" t="s">
        <v>116</v>
      </c>
      <c r="C1047" s="5">
        <v>-2229</v>
      </c>
      <c r="D1047" s="5" t="str">
        <f>_xlfn.XLOOKUP(fRealizado5[[#This Row],[Conta]],'Plano de Contas'!A:A,'Plano de Contas'!C:C)</f>
        <v>(-) Deduções da Receita</v>
      </c>
      <c r="E1047" s="5" t="str">
        <f>_xlfn.XLOOKUP(fRealizado5[[#This Row],[Conta]],'Plano de Contas'!A:A,'Plano de Contas'!D:D)</f>
        <v>03 - Devoluções de Produtos</v>
      </c>
    </row>
    <row r="1048" spans="1:5" hidden="1" x14ac:dyDescent="0.25">
      <c r="A1048" s="23">
        <f t="shared" si="14"/>
        <v>43678</v>
      </c>
      <c r="B1048" s="5" t="s">
        <v>117</v>
      </c>
      <c r="C1048" s="5">
        <v>-6576</v>
      </c>
      <c r="D1048" s="5" t="str">
        <f>_xlfn.XLOOKUP(fRealizado5[[#This Row],[Conta]],'Plano de Contas'!A:A,'Plano de Contas'!C:C)</f>
        <v>(-) Deduções da Receita</v>
      </c>
      <c r="E1048" s="5" t="str">
        <f>_xlfn.XLOOKUP(fRealizado5[[#This Row],[Conta]],'Plano de Contas'!A:A,'Plano de Contas'!D:D)</f>
        <v>03 - Devoluções de Produtos</v>
      </c>
    </row>
    <row r="1049" spans="1:5" hidden="1" x14ac:dyDescent="0.25">
      <c r="A1049" s="23">
        <f t="shared" si="14"/>
        <v>43678</v>
      </c>
      <c r="B1049" s="5" t="s">
        <v>118</v>
      </c>
      <c r="C1049" s="5">
        <v>-3329</v>
      </c>
      <c r="D1049" s="5" t="str">
        <f>_xlfn.XLOOKUP(fRealizado5[[#This Row],[Conta]],'Plano de Contas'!A:A,'Plano de Contas'!C:C)</f>
        <v>(-) Deduções da Receita</v>
      </c>
      <c r="E1049" s="5" t="str">
        <f>_xlfn.XLOOKUP(fRealizado5[[#This Row],[Conta]],'Plano de Contas'!A:A,'Plano de Contas'!D:D)</f>
        <v>03 - Devoluções de Produtos</v>
      </c>
    </row>
    <row r="1050" spans="1:5" hidden="1" x14ac:dyDescent="0.25">
      <c r="A1050" s="23">
        <f t="shared" si="14"/>
        <v>43678</v>
      </c>
      <c r="B1050" s="5" t="s">
        <v>119</v>
      </c>
      <c r="C1050" s="5">
        <v>-4990</v>
      </c>
      <c r="D1050" s="5" t="str">
        <f>_xlfn.XLOOKUP(fRealizado5[[#This Row],[Conta]],'Plano de Contas'!A:A,'Plano de Contas'!C:C)</f>
        <v>(-) Deduções da Receita</v>
      </c>
      <c r="E1050" s="5" t="str">
        <f>_xlfn.XLOOKUP(fRealizado5[[#This Row],[Conta]],'Plano de Contas'!A:A,'Plano de Contas'!D:D)</f>
        <v>03 - Devoluções de Produtos</v>
      </c>
    </row>
    <row r="1051" spans="1:5" hidden="1" x14ac:dyDescent="0.25">
      <c r="A1051" s="23">
        <f t="shared" si="14"/>
        <v>43678</v>
      </c>
      <c r="B1051" s="5" t="s">
        <v>120</v>
      </c>
      <c r="C1051" s="5">
        <v>-1788</v>
      </c>
      <c r="D1051" s="5" t="str">
        <f>_xlfn.XLOOKUP(fRealizado5[[#This Row],[Conta]],'Plano de Contas'!A:A,'Plano de Contas'!C:C)</f>
        <v>(-) Deduções da Receita</v>
      </c>
      <c r="E1051" s="5" t="str">
        <f>_xlfn.XLOOKUP(fRealizado5[[#This Row],[Conta]],'Plano de Contas'!A:A,'Plano de Contas'!D:D)</f>
        <v>03 - Devoluções de Produtos</v>
      </c>
    </row>
    <row r="1052" spans="1:5" hidden="1" x14ac:dyDescent="0.25">
      <c r="A1052" s="23">
        <f t="shared" si="14"/>
        <v>43678</v>
      </c>
      <c r="B1052" s="5" t="s">
        <v>121</v>
      </c>
      <c r="C1052" s="5">
        <v>-3673</v>
      </c>
      <c r="D1052" s="5" t="str">
        <f>_xlfn.XLOOKUP(fRealizado5[[#This Row],[Conta]],'Plano de Contas'!A:A,'Plano de Contas'!C:C)</f>
        <v>(-) Deduções da Receita</v>
      </c>
      <c r="E1052" s="5" t="str">
        <f>_xlfn.XLOOKUP(fRealizado5[[#This Row],[Conta]],'Plano de Contas'!A:A,'Plano de Contas'!D:D)</f>
        <v>03 - Devoluções de Produtos</v>
      </c>
    </row>
    <row r="1053" spans="1:5" hidden="1" x14ac:dyDescent="0.25">
      <c r="A1053" s="23">
        <f t="shared" si="14"/>
        <v>43678</v>
      </c>
      <c r="B1053" s="5" t="s">
        <v>122</v>
      </c>
      <c r="C1053" s="5">
        <v>-3925</v>
      </c>
      <c r="D1053" s="5" t="str">
        <f>_xlfn.XLOOKUP(fRealizado5[[#This Row],[Conta]],'Plano de Contas'!A:A,'Plano de Contas'!C:C)</f>
        <v>(-) Deduções da Receita</v>
      </c>
      <c r="E1053" s="5" t="str">
        <f>_xlfn.XLOOKUP(fRealizado5[[#This Row],[Conta]],'Plano de Contas'!A:A,'Plano de Contas'!D:D)</f>
        <v>03 - Devoluções de Produtos</v>
      </c>
    </row>
    <row r="1054" spans="1:5" hidden="1" x14ac:dyDescent="0.25">
      <c r="A1054" s="23">
        <f t="shared" si="14"/>
        <v>43678</v>
      </c>
      <c r="B1054" s="5" t="s">
        <v>123</v>
      </c>
      <c r="C1054" s="5">
        <v>-3779</v>
      </c>
      <c r="D1054" s="5" t="str">
        <f>_xlfn.XLOOKUP(fRealizado5[[#This Row],[Conta]],'Plano de Contas'!A:A,'Plano de Contas'!C:C)</f>
        <v>(-) Deduções da Receita</v>
      </c>
      <c r="E1054" s="5" t="str">
        <f>_xlfn.XLOOKUP(fRealizado5[[#This Row],[Conta]],'Plano de Contas'!A:A,'Plano de Contas'!D:D)</f>
        <v>03 - Devoluções de Produtos</v>
      </c>
    </row>
    <row r="1055" spans="1:5" hidden="1" x14ac:dyDescent="0.25">
      <c r="A1055" s="23">
        <f t="shared" si="14"/>
        <v>43678</v>
      </c>
      <c r="B1055" s="5" t="s">
        <v>124</v>
      </c>
      <c r="C1055" s="5">
        <v>-7894</v>
      </c>
      <c r="D1055" s="5" t="str">
        <f>_xlfn.XLOOKUP(fRealizado5[[#This Row],[Conta]],'Plano de Contas'!A:A,'Plano de Contas'!C:C)</f>
        <v>(-) Deduções da Receita</v>
      </c>
      <c r="E1055" s="5" t="str">
        <f>_xlfn.XLOOKUP(fRealizado5[[#This Row],[Conta]],'Plano de Contas'!A:A,'Plano de Contas'!D:D)</f>
        <v>03 - Devoluções de Produtos</v>
      </c>
    </row>
    <row r="1056" spans="1:5" hidden="1" x14ac:dyDescent="0.25">
      <c r="A1056" s="23">
        <f t="shared" si="14"/>
        <v>43678</v>
      </c>
      <c r="B1056" s="5" t="s">
        <v>125</v>
      </c>
      <c r="C1056" s="5">
        <v>-9148</v>
      </c>
      <c r="D1056" s="5" t="str">
        <f>_xlfn.XLOOKUP(fRealizado5[[#This Row],[Conta]],'Plano de Contas'!A:A,'Plano de Contas'!C:C)</f>
        <v>(-) Deduções da Receita</v>
      </c>
      <c r="E1056" s="5" t="str">
        <f>_xlfn.XLOOKUP(fRealizado5[[#This Row],[Conta]],'Plano de Contas'!A:A,'Plano de Contas'!D:D)</f>
        <v>03 - Devoluções de Produtos</v>
      </c>
    </row>
    <row r="1057" spans="1:5" hidden="1" x14ac:dyDescent="0.25">
      <c r="A1057" s="23">
        <f t="shared" si="14"/>
        <v>43678</v>
      </c>
      <c r="B1057" s="5" t="s">
        <v>126</v>
      </c>
      <c r="C1057" s="5">
        <v>-6975</v>
      </c>
      <c r="D1057" s="5" t="str">
        <f>_xlfn.XLOOKUP(fRealizado5[[#This Row],[Conta]],'Plano de Contas'!A:A,'Plano de Contas'!C:C)</f>
        <v>(-) Deduções da Receita</v>
      </c>
      <c r="E1057" s="5" t="str">
        <f>_xlfn.XLOOKUP(fRealizado5[[#This Row],[Conta]],'Plano de Contas'!A:A,'Plano de Contas'!D:D)</f>
        <v>03 - Devoluções de Produtos</v>
      </c>
    </row>
    <row r="1058" spans="1:5" hidden="1" x14ac:dyDescent="0.25">
      <c r="A1058" s="23">
        <f t="shared" si="14"/>
        <v>43678</v>
      </c>
      <c r="B1058" s="5" t="s">
        <v>127</v>
      </c>
      <c r="C1058" s="5">
        <v>-9655</v>
      </c>
      <c r="D1058" s="5" t="str">
        <f>_xlfn.XLOOKUP(fRealizado5[[#This Row],[Conta]],'Plano de Contas'!A:A,'Plano de Contas'!C:C)</f>
        <v>(-) Deduções da Receita</v>
      </c>
      <c r="E1058" s="5" t="str">
        <f>_xlfn.XLOOKUP(fRealizado5[[#This Row],[Conta]],'Plano de Contas'!A:A,'Plano de Contas'!D:D)</f>
        <v>03 - Devoluções de Produtos</v>
      </c>
    </row>
    <row r="1059" spans="1:5" hidden="1" x14ac:dyDescent="0.25">
      <c r="A1059" s="23">
        <f t="shared" si="14"/>
        <v>43678</v>
      </c>
      <c r="B1059" s="5" t="s">
        <v>128</v>
      </c>
      <c r="C1059" s="5">
        <v>-9865</v>
      </c>
      <c r="D1059" s="5" t="str">
        <f>_xlfn.XLOOKUP(fRealizado5[[#This Row],[Conta]],'Plano de Contas'!A:A,'Plano de Contas'!C:C)</f>
        <v>(-) Deduções da Receita</v>
      </c>
      <c r="E1059" s="5" t="str">
        <f>_xlfn.XLOOKUP(fRealizado5[[#This Row],[Conta]],'Plano de Contas'!A:A,'Plano de Contas'!D:D)</f>
        <v>03 - Devoluções de Produtos</v>
      </c>
    </row>
    <row r="1060" spans="1:5" hidden="1" x14ac:dyDescent="0.25">
      <c r="A1060" s="23">
        <f t="shared" si="14"/>
        <v>43678</v>
      </c>
      <c r="B1060" s="5" t="s">
        <v>129</v>
      </c>
      <c r="C1060" s="5">
        <v>-5794</v>
      </c>
      <c r="D1060" s="5" t="str">
        <f>_xlfn.XLOOKUP(fRealizado5[[#This Row],[Conta]],'Plano de Contas'!A:A,'Plano de Contas'!C:C)</f>
        <v>(-) Deduções da Receita</v>
      </c>
      <c r="E1060" s="5" t="str">
        <f>_xlfn.XLOOKUP(fRealizado5[[#This Row],[Conta]],'Plano de Contas'!A:A,'Plano de Contas'!D:D)</f>
        <v>03 - Devoluções de Produtos</v>
      </c>
    </row>
    <row r="1061" spans="1:5" hidden="1" x14ac:dyDescent="0.25">
      <c r="A1061" s="23">
        <f t="shared" si="14"/>
        <v>43678</v>
      </c>
      <c r="B1061" s="5" t="s">
        <v>130</v>
      </c>
      <c r="C1061" s="5">
        <v>-6632</v>
      </c>
      <c r="D1061" s="5" t="str">
        <f>_xlfn.XLOOKUP(fRealizado5[[#This Row],[Conta]],'Plano de Contas'!A:A,'Plano de Contas'!C:C)</f>
        <v>(-) Deduções da Receita</v>
      </c>
      <c r="E1061" s="5" t="str">
        <f>_xlfn.XLOOKUP(fRealizado5[[#This Row],[Conta]],'Plano de Contas'!A:A,'Plano de Contas'!D:D)</f>
        <v>03 - Devoluções de Produtos</v>
      </c>
    </row>
    <row r="1062" spans="1:5" hidden="1" x14ac:dyDescent="0.25">
      <c r="A1062" s="23">
        <f t="shared" si="14"/>
        <v>43678</v>
      </c>
      <c r="B1062" s="5" t="s">
        <v>131</v>
      </c>
      <c r="C1062" s="5">
        <v>-5430</v>
      </c>
      <c r="D1062" s="5" t="str">
        <f>_xlfn.XLOOKUP(fRealizado5[[#This Row],[Conta]],'Plano de Contas'!A:A,'Plano de Contas'!C:C)</f>
        <v>(-) Deduções da Receita</v>
      </c>
      <c r="E1062" s="5" t="str">
        <f>_xlfn.XLOOKUP(fRealizado5[[#This Row],[Conta]],'Plano de Contas'!A:A,'Plano de Contas'!D:D)</f>
        <v>03 - Devoluções de Produtos</v>
      </c>
    </row>
    <row r="1063" spans="1:5" hidden="1" x14ac:dyDescent="0.25">
      <c r="A1063" s="23">
        <f t="shared" si="14"/>
        <v>43678</v>
      </c>
      <c r="B1063" s="5" t="s">
        <v>132</v>
      </c>
      <c r="C1063" s="5">
        <v>-2155</v>
      </c>
      <c r="D1063" s="5" t="str">
        <f>_xlfn.XLOOKUP(fRealizado5[[#This Row],[Conta]],'Plano de Contas'!A:A,'Plano de Contas'!C:C)</f>
        <v>(-) Deduções da Receita</v>
      </c>
      <c r="E1063" s="5" t="str">
        <f>_xlfn.XLOOKUP(fRealizado5[[#This Row],[Conta]],'Plano de Contas'!A:A,'Plano de Contas'!D:D)</f>
        <v>03 - Devoluções de Produtos</v>
      </c>
    </row>
    <row r="1064" spans="1:5" hidden="1" x14ac:dyDescent="0.25">
      <c r="A1064" s="23">
        <f t="shared" si="14"/>
        <v>43678</v>
      </c>
      <c r="B1064" s="5" t="s">
        <v>133</v>
      </c>
      <c r="C1064" s="5">
        <v>-8391</v>
      </c>
      <c r="D1064" s="5" t="str">
        <f>_xlfn.XLOOKUP(fRealizado5[[#This Row],[Conta]],'Plano de Contas'!A:A,'Plano de Contas'!C:C)</f>
        <v>(-) Deduções da Receita</v>
      </c>
      <c r="E1064" s="5" t="str">
        <f>_xlfn.XLOOKUP(fRealizado5[[#This Row],[Conta]],'Plano de Contas'!A:A,'Plano de Contas'!D:D)</f>
        <v>03 - Devoluções de Produtos</v>
      </c>
    </row>
    <row r="1065" spans="1:5" hidden="1" x14ac:dyDescent="0.25">
      <c r="A1065" s="23">
        <f t="shared" si="14"/>
        <v>43678</v>
      </c>
      <c r="B1065" s="5" t="s">
        <v>134</v>
      </c>
      <c r="C1065" s="5">
        <v>-3864</v>
      </c>
      <c r="D1065" s="5" t="str">
        <f>_xlfn.XLOOKUP(fRealizado5[[#This Row],[Conta]],'Plano de Contas'!A:A,'Plano de Contas'!C:C)</f>
        <v>(-) Deduções da Receita</v>
      </c>
      <c r="E1065" s="5" t="str">
        <f>_xlfn.XLOOKUP(fRealizado5[[#This Row],[Conta]],'Plano de Contas'!A:A,'Plano de Contas'!D:D)</f>
        <v>03 - Devoluções de Produtos</v>
      </c>
    </row>
    <row r="1066" spans="1:5" hidden="1" x14ac:dyDescent="0.25">
      <c r="A1066" s="23">
        <f t="shared" si="14"/>
        <v>43678</v>
      </c>
      <c r="B1066" s="5" t="s">
        <v>135</v>
      </c>
      <c r="C1066" s="5">
        <v>-1145</v>
      </c>
      <c r="D1066" s="5" t="str">
        <f>_xlfn.XLOOKUP(fRealizado5[[#This Row],[Conta]],'Plano de Contas'!A:A,'Plano de Contas'!C:C)</f>
        <v>(-) Deduções da Receita</v>
      </c>
      <c r="E1066" s="5" t="str">
        <f>_xlfn.XLOOKUP(fRealizado5[[#This Row],[Conta]],'Plano de Contas'!A:A,'Plano de Contas'!D:D)</f>
        <v>03 - Devoluções de Produtos</v>
      </c>
    </row>
    <row r="1067" spans="1:5" hidden="1" x14ac:dyDescent="0.25">
      <c r="A1067" s="23">
        <f t="shared" si="14"/>
        <v>43678</v>
      </c>
      <c r="B1067" s="5" t="s">
        <v>136</v>
      </c>
      <c r="C1067" s="5">
        <v>-9939</v>
      </c>
      <c r="D1067" s="5" t="str">
        <f>_xlfn.XLOOKUP(fRealizado5[[#This Row],[Conta]],'Plano de Contas'!A:A,'Plano de Contas'!C:C)</f>
        <v>(-) Deduções da Receita</v>
      </c>
      <c r="E1067" s="5" t="str">
        <f>_xlfn.XLOOKUP(fRealizado5[[#This Row],[Conta]],'Plano de Contas'!A:A,'Plano de Contas'!D:D)</f>
        <v>04 - Taxas de Serviço</v>
      </c>
    </row>
    <row r="1068" spans="1:5" hidden="1" x14ac:dyDescent="0.25">
      <c r="A1068" s="23">
        <f t="shared" si="14"/>
        <v>43678</v>
      </c>
      <c r="B1068" s="5" t="s">
        <v>137</v>
      </c>
      <c r="C1068" s="5">
        <v>-8360</v>
      </c>
      <c r="D1068" s="5" t="str">
        <f>_xlfn.XLOOKUP(fRealizado5[[#This Row],[Conta]],'Plano de Contas'!A:A,'Plano de Contas'!C:C)</f>
        <v>(-) Deduções da Receita</v>
      </c>
      <c r="E1068" s="5" t="str">
        <f>_xlfn.XLOOKUP(fRealizado5[[#This Row],[Conta]],'Plano de Contas'!A:A,'Plano de Contas'!D:D)</f>
        <v>04 - Taxas de Serviço</v>
      </c>
    </row>
    <row r="1069" spans="1:5" hidden="1" x14ac:dyDescent="0.25">
      <c r="A1069" s="23">
        <f t="shared" si="14"/>
        <v>43678</v>
      </c>
      <c r="B1069" s="5" t="s">
        <v>138</v>
      </c>
      <c r="C1069" s="5">
        <v>-6413</v>
      </c>
      <c r="D1069" s="5" t="str">
        <f>_xlfn.XLOOKUP(fRealizado5[[#This Row],[Conta]],'Plano de Contas'!A:A,'Plano de Contas'!C:C)</f>
        <v>(-) Deduções da Receita</v>
      </c>
      <c r="E1069" s="5" t="str">
        <f>_xlfn.XLOOKUP(fRealizado5[[#This Row],[Conta]],'Plano de Contas'!A:A,'Plano de Contas'!D:D)</f>
        <v>04 - Taxas de Serviço</v>
      </c>
    </row>
    <row r="1070" spans="1:5" hidden="1" x14ac:dyDescent="0.25">
      <c r="A1070" s="23">
        <f t="shared" si="14"/>
        <v>43678</v>
      </c>
      <c r="B1070" s="5" t="s">
        <v>139</v>
      </c>
      <c r="C1070" s="5">
        <v>-7742</v>
      </c>
      <c r="D1070" s="5" t="str">
        <f>_xlfn.XLOOKUP(fRealizado5[[#This Row],[Conta]],'Plano de Contas'!A:A,'Plano de Contas'!C:C)</f>
        <v>(-) Deduções da Receita</v>
      </c>
      <c r="E1070" s="5" t="str">
        <f>_xlfn.XLOOKUP(fRealizado5[[#This Row],[Conta]],'Plano de Contas'!A:A,'Plano de Contas'!D:D)</f>
        <v>04 - Taxas de Serviço</v>
      </c>
    </row>
    <row r="1071" spans="1:5" hidden="1" x14ac:dyDescent="0.25">
      <c r="A1071" s="23">
        <f t="shared" si="14"/>
        <v>43678</v>
      </c>
      <c r="B1071" s="5" t="s">
        <v>140</v>
      </c>
      <c r="C1071" s="5">
        <v>-142944</v>
      </c>
      <c r="D1071" s="5" t="str">
        <f>_xlfn.XLOOKUP(fRealizado5[[#This Row],[Conta]],'Plano de Contas'!A:A,'Plano de Contas'!C:C)</f>
        <v>(-) Custos de Vendas</v>
      </c>
      <c r="E1071" s="5" t="str">
        <f>_xlfn.XLOOKUP(fRealizado5[[#This Row],[Conta]],'Plano de Contas'!A:A,'Plano de Contas'!D:D)</f>
        <v>05 - Custo do Produto</v>
      </c>
    </row>
    <row r="1072" spans="1:5" hidden="1" x14ac:dyDescent="0.25">
      <c r="A1072" s="23">
        <f t="shared" si="14"/>
        <v>43678</v>
      </c>
      <c r="B1072" s="5" t="s">
        <v>141</v>
      </c>
      <c r="C1072" s="5">
        <v>-221182</v>
      </c>
      <c r="D1072" s="5" t="str">
        <f>_xlfn.XLOOKUP(fRealizado5[[#This Row],[Conta]],'Plano de Contas'!A:A,'Plano de Contas'!C:C)</f>
        <v>(-) Custos de Vendas</v>
      </c>
      <c r="E1072" s="5" t="str">
        <f>_xlfn.XLOOKUP(fRealizado5[[#This Row],[Conta]],'Plano de Contas'!A:A,'Plano de Contas'!D:D)</f>
        <v>05 - Custo do Produto</v>
      </c>
    </row>
    <row r="1073" spans="1:5" hidden="1" x14ac:dyDescent="0.25">
      <c r="A1073" s="23">
        <f t="shared" si="14"/>
        <v>43678</v>
      </c>
      <c r="B1073" s="5" t="s">
        <v>142</v>
      </c>
      <c r="C1073" s="5">
        <v>-223396</v>
      </c>
      <c r="D1073" s="5" t="str">
        <f>_xlfn.XLOOKUP(fRealizado5[[#This Row],[Conta]],'Plano de Contas'!A:A,'Plano de Contas'!C:C)</f>
        <v>(-) Custos de Vendas</v>
      </c>
      <c r="E1073" s="5" t="str">
        <f>_xlfn.XLOOKUP(fRealizado5[[#This Row],[Conta]],'Plano de Contas'!A:A,'Plano de Contas'!D:D)</f>
        <v>05 - Custo do Produto</v>
      </c>
    </row>
    <row r="1074" spans="1:5" hidden="1" x14ac:dyDescent="0.25">
      <c r="A1074" s="23">
        <f t="shared" si="14"/>
        <v>43678</v>
      </c>
      <c r="B1074" s="5" t="s">
        <v>143</v>
      </c>
      <c r="C1074" s="5">
        <v>-227059</v>
      </c>
      <c r="D1074" s="5" t="str">
        <f>_xlfn.XLOOKUP(fRealizado5[[#This Row],[Conta]],'Plano de Contas'!A:A,'Plano de Contas'!C:C)</f>
        <v>(-) Custos de Vendas</v>
      </c>
      <c r="E1074" s="5" t="str">
        <f>_xlfn.XLOOKUP(fRealizado5[[#This Row],[Conta]],'Plano de Contas'!A:A,'Plano de Contas'!D:D)</f>
        <v>05 - Custo do Produto</v>
      </c>
    </row>
    <row r="1075" spans="1:5" hidden="1" x14ac:dyDescent="0.25">
      <c r="A1075" s="23">
        <f t="shared" si="14"/>
        <v>43678</v>
      </c>
      <c r="B1075" s="5" t="s">
        <v>144</v>
      </c>
      <c r="C1075" s="5">
        <v>-267934</v>
      </c>
      <c r="D1075" s="5" t="str">
        <f>_xlfn.XLOOKUP(fRealizado5[[#This Row],[Conta]],'Plano de Contas'!A:A,'Plano de Contas'!C:C)</f>
        <v>(-) Custos de Vendas</v>
      </c>
      <c r="E1075" s="5" t="str">
        <f>_xlfn.XLOOKUP(fRealizado5[[#This Row],[Conta]],'Plano de Contas'!A:A,'Plano de Contas'!D:D)</f>
        <v>05 - Custo do Produto</v>
      </c>
    </row>
    <row r="1076" spans="1:5" hidden="1" x14ac:dyDescent="0.25">
      <c r="A1076" s="23">
        <f t="shared" si="14"/>
        <v>43678</v>
      </c>
      <c r="B1076" s="5" t="s">
        <v>145</v>
      </c>
      <c r="C1076" s="5">
        <v>-196191</v>
      </c>
      <c r="D1076" s="5" t="str">
        <f>_xlfn.XLOOKUP(fRealizado5[[#This Row],[Conta]],'Plano de Contas'!A:A,'Plano de Contas'!C:C)</f>
        <v>(-) Custos de Vendas</v>
      </c>
      <c r="E1076" s="5" t="str">
        <f>_xlfn.XLOOKUP(fRealizado5[[#This Row],[Conta]],'Plano de Contas'!A:A,'Plano de Contas'!D:D)</f>
        <v>05 - Custo do Produto</v>
      </c>
    </row>
    <row r="1077" spans="1:5" hidden="1" x14ac:dyDescent="0.25">
      <c r="A1077" s="23">
        <f t="shared" si="14"/>
        <v>43678</v>
      </c>
      <c r="B1077" s="5" t="s">
        <v>146</v>
      </c>
      <c r="C1077" s="5">
        <v>-149065</v>
      </c>
      <c r="D1077" s="5" t="str">
        <f>_xlfn.XLOOKUP(fRealizado5[[#This Row],[Conta]],'Plano de Contas'!A:A,'Plano de Contas'!C:C)</f>
        <v>(-) Custos de Vendas</v>
      </c>
      <c r="E1077" s="5" t="str">
        <f>_xlfn.XLOOKUP(fRealizado5[[#This Row],[Conta]],'Plano de Contas'!A:A,'Plano de Contas'!D:D)</f>
        <v>05 - Custo do Produto</v>
      </c>
    </row>
    <row r="1078" spans="1:5" hidden="1" x14ac:dyDescent="0.25">
      <c r="A1078" s="23">
        <f t="shared" si="14"/>
        <v>43678</v>
      </c>
      <c r="B1078" s="5" t="s">
        <v>147</v>
      </c>
      <c r="C1078" s="5">
        <v>-214342</v>
      </c>
      <c r="D1078" s="5" t="str">
        <f>_xlfn.XLOOKUP(fRealizado5[[#This Row],[Conta]],'Plano de Contas'!A:A,'Plano de Contas'!C:C)</f>
        <v>(-) Custos de Vendas</v>
      </c>
      <c r="E1078" s="5" t="str">
        <f>_xlfn.XLOOKUP(fRealizado5[[#This Row],[Conta]],'Plano de Contas'!A:A,'Plano de Contas'!D:D)</f>
        <v>05 - Custo do Produto</v>
      </c>
    </row>
    <row r="1079" spans="1:5" hidden="1" x14ac:dyDescent="0.25">
      <c r="A1079" s="23">
        <f t="shared" si="14"/>
        <v>43678</v>
      </c>
      <c r="B1079" s="5" t="s">
        <v>148</v>
      </c>
      <c r="C1079" s="5">
        <v>-123814</v>
      </c>
      <c r="D1079" s="5" t="str">
        <f>_xlfn.XLOOKUP(fRealizado5[[#This Row],[Conta]],'Plano de Contas'!A:A,'Plano de Contas'!C:C)</f>
        <v>(-) Custos de Vendas</v>
      </c>
      <c r="E1079" s="5" t="str">
        <f>_xlfn.XLOOKUP(fRealizado5[[#This Row],[Conta]],'Plano de Contas'!A:A,'Plano de Contas'!D:D)</f>
        <v>05 - Custo do Produto</v>
      </c>
    </row>
    <row r="1080" spans="1:5" hidden="1" x14ac:dyDescent="0.25">
      <c r="A1080" s="23">
        <f t="shared" si="14"/>
        <v>43678</v>
      </c>
      <c r="B1080" s="5" t="s">
        <v>149</v>
      </c>
      <c r="C1080" s="5">
        <v>-164414</v>
      </c>
      <c r="D1080" s="5" t="str">
        <f>_xlfn.XLOOKUP(fRealizado5[[#This Row],[Conta]],'Plano de Contas'!A:A,'Plano de Contas'!C:C)</f>
        <v>(-) Custos de Vendas</v>
      </c>
      <c r="E1080" s="5" t="str">
        <f>_xlfn.XLOOKUP(fRealizado5[[#This Row],[Conta]],'Plano de Contas'!A:A,'Plano de Contas'!D:D)</f>
        <v>05 - Custo do Produto</v>
      </c>
    </row>
    <row r="1081" spans="1:5" hidden="1" x14ac:dyDescent="0.25">
      <c r="A1081" s="23">
        <f t="shared" si="14"/>
        <v>43678</v>
      </c>
      <c r="B1081" s="5" t="s">
        <v>150</v>
      </c>
      <c r="C1081" s="5">
        <v>-283090</v>
      </c>
      <c r="D1081" s="5" t="str">
        <f>_xlfn.XLOOKUP(fRealizado5[[#This Row],[Conta]],'Plano de Contas'!A:A,'Plano de Contas'!C:C)</f>
        <v>(-) Custos de Vendas</v>
      </c>
      <c r="E1081" s="5" t="str">
        <f>_xlfn.XLOOKUP(fRealizado5[[#This Row],[Conta]],'Plano de Contas'!A:A,'Plano de Contas'!D:D)</f>
        <v>05 - Custo do Produto</v>
      </c>
    </row>
    <row r="1082" spans="1:5" hidden="1" x14ac:dyDescent="0.25">
      <c r="A1082" s="23">
        <f t="shared" si="14"/>
        <v>43678</v>
      </c>
      <c r="B1082" s="5" t="s">
        <v>151</v>
      </c>
      <c r="C1082" s="5">
        <v>-214878</v>
      </c>
      <c r="D1082" s="5" t="str">
        <f>_xlfn.XLOOKUP(fRealizado5[[#This Row],[Conta]],'Plano de Contas'!A:A,'Plano de Contas'!C:C)</f>
        <v>(-) Custos de Vendas</v>
      </c>
      <c r="E1082" s="5" t="str">
        <f>_xlfn.XLOOKUP(fRealizado5[[#This Row],[Conta]],'Plano de Contas'!A:A,'Plano de Contas'!D:D)</f>
        <v>05 - Custo do Produto</v>
      </c>
    </row>
    <row r="1083" spans="1:5" hidden="1" x14ac:dyDescent="0.25">
      <c r="A1083" s="23">
        <f t="shared" si="14"/>
        <v>43678</v>
      </c>
      <c r="B1083" s="5" t="s">
        <v>152</v>
      </c>
      <c r="C1083" s="5">
        <v>-97847</v>
      </c>
      <c r="D1083" s="5" t="str">
        <f>_xlfn.XLOOKUP(fRealizado5[[#This Row],[Conta]],'Plano de Contas'!A:A,'Plano de Contas'!C:C)</f>
        <v>(-) Custos de Vendas</v>
      </c>
      <c r="E1083" s="5" t="str">
        <f>_xlfn.XLOOKUP(fRealizado5[[#This Row],[Conta]],'Plano de Contas'!A:A,'Plano de Contas'!D:D)</f>
        <v>05 - Custo do Produto</v>
      </c>
    </row>
    <row r="1084" spans="1:5" hidden="1" x14ac:dyDescent="0.25">
      <c r="A1084" s="23">
        <f t="shared" si="14"/>
        <v>43678</v>
      </c>
      <c r="B1084" s="5" t="s">
        <v>153</v>
      </c>
      <c r="C1084" s="5">
        <v>-282942</v>
      </c>
      <c r="D1084" s="5" t="str">
        <f>_xlfn.XLOOKUP(fRealizado5[[#This Row],[Conta]],'Plano de Contas'!A:A,'Plano de Contas'!C:C)</f>
        <v>(-) Custos de Vendas</v>
      </c>
      <c r="E1084" s="5" t="str">
        <f>_xlfn.XLOOKUP(fRealizado5[[#This Row],[Conta]],'Plano de Contas'!A:A,'Plano de Contas'!D:D)</f>
        <v>05 - Custo do Produto</v>
      </c>
    </row>
    <row r="1085" spans="1:5" hidden="1" x14ac:dyDescent="0.25">
      <c r="A1085" s="23">
        <f t="shared" si="14"/>
        <v>43678</v>
      </c>
      <c r="B1085" s="5" t="s">
        <v>154</v>
      </c>
      <c r="C1085" s="5">
        <v>-296696</v>
      </c>
      <c r="D1085" s="5" t="str">
        <f>_xlfn.XLOOKUP(fRealizado5[[#This Row],[Conta]],'Plano de Contas'!A:A,'Plano de Contas'!C:C)</f>
        <v>(-) Custos de Vendas</v>
      </c>
      <c r="E1085" s="5" t="str">
        <f>_xlfn.XLOOKUP(fRealizado5[[#This Row],[Conta]],'Plano de Contas'!A:A,'Plano de Contas'!D:D)</f>
        <v>05 - Custo do Produto</v>
      </c>
    </row>
    <row r="1086" spans="1:5" hidden="1" x14ac:dyDescent="0.25">
      <c r="A1086" s="23">
        <f t="shared" si="14"/>
        <v>43678</v>
      </c>
      <c r="B1086" s="5" t="s">
        <v>155</v>
      </c>
      <c r="C1086" s="5">
        <v>-229861</v>
      </c>
      <c r="D1086" s="5" t="str">
        <f>_xlfn.XLOOKUP(fRealizado5[[#This Row],[Conta]],'Plano de Contas'!A:A,'Plano de Contas'!C:C)</f>
        <v>(-) Custos de Vendas</v>
      </c>
      <c r="E1086" s="5" t="str">
        <f>_xlfn.XLOOKUP(fRealizado5[[#This Row],[Conta]],'Plano de Contas'!A:A,'Plano de Contas'!D:D)</f>
        <v>05 - Custo do Produto</v>
      </c>
    </row>
    <row r="1087" spans="1:5" hidden="1" x14ac:dyDescent="0.25">
      <c r="A1087" s="23">
        <f t="shared" si="14"/>
        <v>43678</v>
      </c>
      <c r="B1087" s="5" t="s">
        <v>156</v>
      </c>
      <c r="C1087" s="5">
        <v>-182512</v>
      </c>
      <c r="D1087" s="5" t="str">
        <f>_xlfn.XLOOKUP(fRealizado5[[#This Row],[Conta]],'Plano de Contas'!A:A,'Plano de Contas'!C:C)</f>
        <v>(-) Custos de Vendas</v>
      </c>
      <c r="E1087" s="5" t="str">
        <f>_xlfn.XLOOKUP(fRealizado5[[#This Row],[Conta]],'Plano de Contas'!A:A,'Plano de Contas'!D:D)</f>
        <v>05 - Custo do Produto</v>
      </c>
    </row>
    <row r="1088" spans="1:5" hidden="1" x14ac:dyDescent="0.25">
      <c r="A1088" s="23">
        <f t="shared" si="14"/>
        <v>43678</v>
      </c>
      <c r="B1088" s="5" t="s">
        <v>157</v>
      </c>
      <c r="C1088" s="5">
        <v>-120064</v>
      </c>
      <c r="D1088" s="5" t="str">
        <f>_xlfn.XLOOKUP(fRealizado5[[#This Row],[Conta]],'Plano de Contas'!A:A,'Plano de Contas'!C:C)</f>
        <v>(-) Custos de Vendas</v>
      </c>
      <c r="E1088" s="5" t="str">
        <f>_xlfn.XLOOKUP(fRealizado5[[#This Row],[Conta]],'Plano de Contas'!A:A,'Plano de Contas'!D:D)</f>
        <v>05 - Custo do Produto</v>
      </c>
    </row>
    <row r="1089" spans="1:5" hidden="1" x14ac:dyDescent="0.25">
      <c r="A1089" s="23">
        <f t="shared" si="14"/>
        <v>43678</v>
      </c>
      <c r="B1089" s="5" t="s">
        <v>158</v>
      </c>
      <c r="C1089" s="5">
        <v>-113450</v>
      </c>
      <c r="D1089" s="5" t="str">
        <f>_xlfn.XLOOKUP(fRealizado5[[#This Row],[Conta]],'Plano de Contas'!A:A,'Plano de Contas'!C:C)</f>
        <v>(-) Custos de Vendas</v>
      </c>
      <c r="E1089" s="5" t="str">
        <f>_xlfn.XLOOKUP(fRealizado5[[#This Row],[Conta]],'Plano de Contas'!A:A,'Plano de Contas'!D:D)</f>
        <v>05 - Custo do Produto</v>
      </c>
    </row>
    <row r="1090" spans="1:5" hidden="1" x14ac:dyDescent="0.25">
      <c r="A1090" s="23">
        <f t="shared" si="14"/>
        <v>43678</v>
      </c>
      <c r="B1090" s="5" t="s">
        <v>159</v>
      </c>
      <c r="C1090" s="5">
        <v>-258875</v>
      </c>
      <c r="D1090" s="5" t="str">
        <f>_xlfn.XLOOKUP(fRealizado5[[#This Row],[Conta]],'Plano de Contas'!A:A,'Plano de Contas'!C:C)</f>
        <v>(-) Custos de Vendas</v>
      </c>
      <c r="E1090" s="5" t="str">
        <f>_xlfn.XLOOKUP(fRealizado5[[#This Row],[Conta]],'Plano de Contas'!A:A,'Plano de Contas'!D:D)</f>
        <v>05 - Custo do Produto</v>
      </c>
    </row>
    <row r="1091" spans="1:5" hidden="1" x14ac:dyDescent="0.25">
      <c r="A1091" s="23">
        <f t="shared" si="14"/>
        <v>43678</v>
      </c>
      <c r="B1091" s="5" t="s">
        <v>160</v>
      </c>
      <c r="C1091" s="5">
        <v>-173659</v>
      </c>
      <c r="D1091" s="5" t="str">
        <f>_xlfn.XLOOKUP(fRealizado5[[#This Row],[Conta]],'Plano de Contas'!A:A,'Plano de Contas'!C:C)</f>
        <v>(-) Custos de Vendas</v>
      </c>
      <c r="E1091" s="5" t="str">
        <f>_xlfn.XLOOKUP(fRealizado5[[#This Row],[Conta]],'Plano de Contas'!A:A,'Plano de Contas'!D:D)</f>
        <v>05 - Custo do Produto</v>
      </c>
    </row>
    <row r="1092" spans="1:5" hidden="1" x14ac:dyDescent="0.25">
      <c r="A1092" s="23">
        <f t="shared" si="14"/>
        <v>43678</v>
      </c>
      <c r="B1092" s="5" t="s">
        <v>161</v>
      </c>
      <c r="C1092" s="5">
        <v>-236383</v>
      </c>
      <c r="D1092" s="5" t="str">
        <f>_xlfn.XLOOKUP(fRealizado5[[#This Row],[Conta]],'Plano de Contas'!A:A,'Plano de Contas'!C:C)</f>
        <v>(-) Custos de Vendas</v>
      </c>
      <c r="E1092" s="5" t="str">
        <f>_xlfn.XLOOKUP(fRealizado5[[#This Row],[Conta]],'Plano de Contas'!A:A,'Plano de Contas'!D:D)</f>
        <v>05 - Custo do Produto</v>
      </c>
    </row>
    <row r="1093" spans="1:5" hidden="1" x14ac:dyDescent="0.25">
      <c r="A1093" s="23">
        <f t="shared" si="14"/>
        <v>43678</v>
      </c>
      <c r="B1093" s="5" t="s">
        <v>162</v>
      </c>
      <c r="C1093" s="5">
        <v>-141658</v>
      </c>
      <c r="D1093" s="5" t="str">
        <f>_xlfn.XLOOKUP(fRealizado5[[#This Row],[Conta]],'Plano de Contas'!A:A,'Plano de Contas'!C:C)</f>
        <v>(-) Custos de Vendas</v>
      </c>
      <c r="E1093" s="5" t="str">
        <f>_xlfn.XLOOKUP(fRealizado5[[#This Row],[Conta]],'Plano de Contas'!A:A,'Plano de Contas'!D:D)</f>
        <v>05 - Custo do Produto</v>
      </c>
    </row>
    <row r="1094" spans="1:5" hidden="1" x14ac:dyDescent="0.25">
      <c r="A1094" s="23">
        <f t="shared" si="14"/>
        <v>43678</v>
      </c>
      <c r="B1094" s="5" t="s">
        <v>163</v>
      </c>
      <c r="C1094" s="5">
        <v>-130529</v>
      </c>
      <c r="D1094" s="5" t="str">
        <f>_xlfn.XLOOKUP(fRealizado5[[#This Row],[Conta]],'Plano de Contas'!A:A,'Plano de Contas'!C:C)</f>
        <v>(-) Custos de Vendas</v>
      </c>
      <c r="E1094" s="5" t="str">
        <f>_xlfn.XLOOKUP(fRealizado5[[#This Row],[Conta]],'Plano de Contas'!A:A,'Plano de Contas'!D:D)</f>
        <v>05 - Custo do Produto</v>
      </c>
    </row>
    <row r="1095" spans="1:5" hidden="1" x14ac:dyDescent="0.25">
      <c r="A1095" s="23">
        <f t="shared" si="14"/>
        <v>43678</v>
      </c>
      <c r="B1095" s="5" t="s">
        <v>164</v>
      </c>
      <c r="C1095" s="5">
        <v>-65368</v>
      </c>
      <c r="D1095" s="5" t="str">
        <f>_xlfn.XLOOKUP(fRealizado5[[#This Row],[Conta]],'Plano de Contas'!A:A,'Plano de Contas'!C:C)</f>
        <v>(-) Custos de Vendas</v>
      </c>
      <c r="E1095" s="5" t="str">
        <f>_xlfn.XLOOKUP(fRealizado5[[#This Row],[Conta]],'Plano de Contas'!A:A,'Plano de Contas'!D:D)</f>
        <v>06 - Outros Custos</v>
      </c>
    </row>
    <row r="1096" spans="1:5" hidden="1" x14ac:dyDescent="0.25">
      <c r="A1096" s="23">
        <f t="shared" si="14"/>
        <v>43678</v>
      </c>
      <c r="B1096" s="5" t="s">
        <v>165</v>
      </c>
      <c r="C1096" s="5">
        <v>-82087</v>
      </c>
      <c r="D1096" s="5" t="str">
        <f>_xlfn.XLOOKUP(fRealizado5[[#This Row],[Conta]],'Plano de Contas'!A:A,'Plano de Contas'!C:C)</f>
        <v>(-) Custos de Vendas</v>
      </c>
      <c r="E1096" s="5" t="str">
        <f>_xlfn.XLOOKUP(fRealizado5[[#This Row],[Conta]],'Plano de Contas'!A:A,'Plano de Contas'!D:D)</f>
        <v>06 - Outros Custos</v>
      </c>
    </row>
    <row r="1097" spans="1:5" hidden="1" x14ac:dyDescent="0.25">
      <c r="A1097" s="23">
        <f t="shared" si="14"/>
        <v>43678</v>
      </c>
      <c r="B1097" s="5" t="s">
        <v>166</v>
      </c>
      <c r="C1097" s="5">
        <v>-72528</v>
      </c>
      <c r="D1097" s="5" t="str">
        <f>_xlfn.XLOOKUP(fRealizado5[[#This Row],[Conta]],'Plano de Contas'!A:A,'Plano de Contas'!C:C)</f>
        <v>(-) Custos de Vendas</v>
      </c>
      <c r="E1097" s="5" t="str">
        <f>_xlfn.XLOOKUP(fRealizado5[[#This Row],[Conta]],'Plano de Contas'!A:A,'Plano de Contas'!D:D)</f>
        <v>06 - Outros Custos</v>
      </c>
    </row>
    <row r="1098" spans="1:5" hidden="1" x14ac:dyDescent="0.25">
      <c r="A1098" s="23">
        <f t="shared" si="14"/>
        <v>43678</v>
      </c>
      <c r="B1098" s="5" t="s">
        <v>167</v>
      </c>
      <c r="C1098" s="5">
        <v>-242458</v>
      </c>
      <c r="D1098" s="5" t="str">
        <f>_xlfn.XLOOKUP(fRealizado5[[#This Row],[Conta]],'Plano de Contas'!A:A,'Plano de Contas'!C:C)</f>
        <v>(-) Despesas Gerais</v>
      </c>
      <c r="E1098" s="5" t="str">
        <f>_xlfn.XLOOKUP(fRealizado5[[#This Row],[Conta]],'Plano de Contas'!A:A,'Plano de Contas'!D:D)</f>
        <v>07 - Despesas Administrativas</v>
      </c>
    </row>
    <row r="1099" spans="1:5" hidden="1" x14ac:dyDescent="0.25">
      <c r="A1099" s="23">
        <f t="shared" si="14"/>
        <v>43678</v>
      </c>
      <c r="B1099" s="5" t="s">
        <v>168</v>
      </c>
      <c r="C1099" s="5">
        <v>-352795</v>
      </c>
      <c r="D1099" s="5" t="str">
        <f>_xlfn.XLOOKUP(fRealizado5[[#This Row],[Conta]],'Plano de Contas'!A:A,'Plano de Contas'!C:C)</f>
        <v>(-) Despesas Gerais</v>
      </c>
      <c r="E1099" s="5" t="str">
        <f>_xlfn.XLOOKUP(fRealizado5[[#This Row],[Conta]],'Plano de Contas'!A:A,'Plano de Contas'!D:D)</f>
        <v>07 - Despesas Administrativas</v>
      </c>
    </row>
    <row r="1100" spans="1:5" hidden="1" x14ac:dyDescent="0.25">
      <c r="A1100" s="23">
        <f t="shared" si="14"/>
        <v>43678</v>
      </c>
      <c r="B1100" s="5" t="s">
        <v>169</v>
      </c>
      <c r="C1100" s="5">
        <v>-379992</v>
      </c>
      <c r="D1100" s="5" t="str">
        <f>_xlfn.XLOOKUP(fRealizado5[[#This Row],[Conta]],'Plano de Contas'!A:A,'Plano de Contas'!C:C)</f>
        <v>(-) Despesas Gerais</v>
      </c>
      <c r="E1100" s="5" t="str">
        <f>_xlfn.XLOOKUP(fRealizado5[[#This Row],[Conta]],'Plano de Contas'!A:A,'Plano de Contas'!D:D)</f>
        <v>07 - Despesas Administrativas</v>
      </c>
    </row>
    <row r="1101" spans="1:5" hidden="1" x14ac:dyDescent="0.25">
      <c r="A1101" s="23">
        <f t="shared" si="14"/>
        <v>43678</v>
      </c>
      <c r="B1101" s="5" t="s">
        <v>170</v>
      </c>
      <c r="C1101" s="5">
        <v>-225472</v>
      </c>
      <c r="D1101" s="5" t="str">
        <f>_xlfn.XLOOKUP(fRealizado5[[#This Row],[Conta]],'Plano de Contas'!A:A,'Plano de Contas'!C:C)</f>
        <v>(-) Despesas Gerais</v>
      </c>
      <c r="E1101" s="5" t="str">
        <f>_xlfn.XLOOKUP(fRealizado5[[#This Row],[Conta]],'Plano de Contas'!A:A,'Plano de Contas'!D:D)</f>
        <v>07 - Despesas Administrativas</v>
      </c>
    </row>
    <row r="1102" spans="1:5" hidden="1" x14ac:dyDescent="0.25">
      <c r="A1102" s="23">
        <f t="shared" si="14"/>
        <v>43678</v>
      </c>
      <c r="B1102" s="5" t="s">
        <v>171</v>
      </c>
      <c r="C1102" s="5">
        <v>-99844</v>
      </c>
      <c r="D1102" s="5" t="str">
        <f>_xlfn.XLOOKUP(fRealizado5[[#This Row],[Conta]],'Plano de Contas'!A:A,'Plano de Contas'!C:C)</f>
        <v>(-) Despesas Gerais</v>
      </c>
      <c r="E1102" s="5" t="str">
        <f>_xlfn.XLOOKUP(fRealizado5[[#This Row],[Conta]],'Plano de Contas'!A:A,'Plano de Contas'!D:D)</f>
        <v>07 - Despesas Administrativas</v>
      </c>
    </row>
    <row r="1103" spans="1:5" hidden="1" x14ac:dyDescent="0.25">
      <c r="A1103" s="23">
        <f t="shared" ref="A1103:A1144" si="15">EDATE(A963,1)</f>
        <v>43678</v>
      </c>
      <c r="B1103" s="5" t="s">
        <v>172</v>
      </c>
      <c r="C1103" s="5">
        <v>-91352</v>
      </c>
      <c r="D1103" s="5" t="str">
        <f>_xlfn.XLOOKUP(fRealizado5[[#This Row],[Conta]],'Plano de Contas'!A:A,'Plano de Contas'!C:C)</f>
        <v>(-) Despesas Gerais</v>
      </c>
      <c r="E1103" s="5" t="str">
        <f>_xlfn.XLOOKUP(fRealizado5[[#This Row],[Conta]],'Plano de Contas'!A:A,'Plano de Contas'!D:D)</f>
        <v>07 - Despesas Administrativas</v>
      </c>
    </row>
    <row r="1104" spans="1:5" hidden="1" x14ac:dyDescent="0.25">
      <c r="A1104" s="23">
        <f t="shared" si="15"/>
        <v>43678</v>
      </c>
      <c r="B1104" s="5" t="s">
        <v>173</v>
      </c>
      <c r="C1104" s="5">
        <v>-45642</v>
      </c>
      <c r="D1104" s="5" t="str">
        <f>_xlfn.XLOOKUP(fRealizado5[[#This Row],[Conta]],'Plano de Contas'!A:A,'Plano de Contas'!C:C)</f>
        <v>(-) Despesas Gerais</v>
      </c>
      <c r="E1104" s="5" t="str">
        <f>_xlfn.XLOOKUP(fRealizado5[[#This Row],[Conta]],'Plano de Contas'!A:A,'Plano de Contas'!D:D)</f>
        <v>08 - Despesas Financeiras</v>
      </c>
    </row>
    <row r="1105" spans="1:5" hidden="1" x14ac:dyDescent="0.25">
      <c r="A1105" s="23">
        <f t="shared" si="15"/>
        <v>43678</v>
      </c>
      <c r="B1105" s="5" t="s">
        <v>174</v>
      </c>
      <c r="C1105" s="5">
        <v>-53639</v>
      </c>
      <c r="D1105" s="5" t="str">
        <f>_xlfn.XLOOKUP(fRealizado5[[#This Row],[Conta]],'Plano de Contas'!A:A,'Plano de Contas'!C:C)</f>
        <v>(-) Despesas Gerais</v>
      </c>
      <c r="E1105" s="5" t="str">
        <f>_xlfn.XLOOKUP(fRealizado5[[#This Row],[Conta]],'Plano de Contas'!A:A,'Plano de Contas'!D:D)</f>
        <v>08 - Despesas Financeiras</v>
      </c>
    </row>
    <row r="1106" spans="1:5" hidden="1" x14ac:dyDescent="0.25">
      <c r="A1106" s="23">
        <f t="shared" si="15"/>
        <v>43678</v>
      </c>
      <c r="B1106" s="5" t="s">
        <v>175</v>
      </c>
      <c r="C1106" s="5">
        <v>-44645</v>
      </c>
      <c r="D1106" s="5" t="str">
        <f>_xlfn.XLOOKUP(fRealizado5[[#This Row],[Conta]],'Plano de Contas'!A:A,'Plano de Contas'!C:C)</f>
        <v>(-) Despesas Gerais</v>
      </c>
      <c r="E1106" s="5" t="str">
        <f>_xlfn.XLOOKUP(fRealizado5[[#This Row],[Conta]],'Plano de Contas'!A:A,'Plano de Contas'!D:D)</f>
        <v>08 - Despesas Financeiras</v>
      </c>
    </row>
    <row r="1107" spans="1:5" hidden="1" x14ac:dyDescent="0.25">
      <c r="A1107" s="23">
        <f t="shared" si="15"/>
        <v>43678</v>
      </c>
      <c r="B1107" s="5" t="s">
        <v>176</v>
      </c>
      <c r="C1107" s="5">
        <v>-45849</v>
      </c>
      <c r="D1107" s="5" t="str">
        <f>_xlfn.XLOOKUP(fRealizado5[[#This Row],[Conta]],'Plano de Contas'!A:A,'Plano de Contas'!C:C)</f>
        <v>(-) Despesas Gerais</v>
      </c>
      <c r="E1107" s="5" t="str">
        <f>_xlfn.XLOOKUP(fRealizado5[[#This Row],[Conta]],'Plano de Contas'!A:A,'Plano de Contas'!D:D)</f>
        <v>08 - Despesas Financeiras</v>
      </c>
    </row>
    <row r="1108" spans="1:5" hidden="1" x14ac:dyDescent="0.25">
      <c r="A1108" s="23">
        <f t="shared" si="15"/>
        <v>43678</v>
      </c>
      <c r="B1108" s="5" t="s">
        <v>177</v>
      </c>
      <c r="C1108" s="5">
        <v>-48238</v>
      </c>
      <c r="D1108" s="5" t="str">
        <f>_xlfn.XLOOKUP(fRealizado5[[#This Row],[Conta]],'Plano de Contas'!A:A,'Plano de Contas'!C:C)</f>
        <v>(-) Despesas Gerais</v>
      </c>
      <c r="E1108" s="5" t="str">
        <f>_xlfn.XLOOKUP(fRealizado5[[#This Row],[Conta]],'Plano de Contas'!A:A,'Plano de Contas'!D:D)</f>
        <v>08 - Despesas Financeiras</v>
      </c>
    </row>
    <row r="1109" spans="1:5" hidden="1" x14ac:dyDescent="0.25">
      <c r="A1109" s="23">
        <f t="shared" si="15"/>
        <v>43678</v>
      </c>
      <c r="B1109" s="5" t="s">
        <v>178</v>
      </c>
      <c r="C1109" s="5">
        <v>-277981</v>
      </c>
      <c r="D1109" s="5" t="str">
        <f>_xlfn.XLOOKUP(fRealizado5[[#This Row],[Conta]],'Plano de Contas'!A:A,'Plano de Contas'!C:C)</f>
        <v>(-) Despesas Gerais</v>
      </c>
      <c r="E1109" s="5" t="str">
        <f>_xlfn.XLOOKUP(fRealizado5[[#This Row],[Conta]],'Plano de Contas'!A:A,'Plano de Contas'!D:D)</f>
        <v>09 - Tecnologia da Informação</v>
      </c>
    </row>
    <row r="1110" spans="1:5" hidden="1" x14ac:dyDescent="0.25">
      <c r="A1110" s="23">
        <f t="shared" si="15"/>
        <v>43678</v>
      </c>
      <c r="B1110" s="5" t="s">
        <v>179</v>
      </c>
      <c r="C1110" s="5">
        <v>-255383</v>
      </c>
      <c r="D1110" s="5" t="str">
        <f>_xlfn.XLOOKUP(fRealizado5[[#This Row],[Conta]],'Plano de Contas'!A:A,'Plano de Contas'!C:C)</f>
        <v>(-) Despesas Gerais</v>
      </c>
      <c r="E1110" s="5" t="str">
        <f>_xlfn.XLOOKUP(fRealizado5[[#This Row],[Conta]],'Plano de Contas'!A:A,'Plano de Contas'!D:D)</f>
        <v>09 - Tecnologia da Informação</v>
      </c>
    </row>
    <row r="1111" spans="1:5" hidden="1" x14ac:dyDescent="0.25">
      <c r="A1111" s="23">
        <f t="shared" si="15"/>
        <v>43678</v>
      </c>
      <c r="B1111" s="5" t="s">
        <v>180</v>
      </c>
      <c r="C1111" s="5">
        <v>-125297</v>
      </c>
      <c r="D1111" s="5" t="str">
        <f>_xlfn.XLOOKUP(fRealizado5[[#This Row],[Conta]],'Plano de Contas'!A:A,'Plano de Contas'!C:C)</f>
        <v>(-) Despesas Gerais</v>
      </c>
      <c r="E1111" s="5" t="str">
        <f>_xlfn.XLOOKUP(fRealizado5[[#This Row],[Conta]],'Plano de Contas'!A:A,'Plano de Contas'!D:D)</f>
        <v>09 - Tecnologia da Informação</v>
      </c>
    </row>
    <row r="1112" spans="1:5" hidden="1" x14ac:dyDescent="0.25">
      <c r="A1112" s="23">
        <f t="shared" si="15"/>
        <v>43678</v>
      </c>
      <c r="B1112" s="5" t="s">
        <v>181</v>
      </c>
      <c r="C1112" s="5">
        <v>-70993</v>
      </c>
      <c r="D1112" s="5" t="str">
        <f>_xlfn.XLOOKUP(fRealizado5[[#This Row],[Conta]],'Plano de Contas'!A:A,'Plano de Contas'!C:C)</f>
        <v>(-) Despesas Gerais</v>
      </c>
      <c r="E1112" s="5" t="str">
        <f>_xlfn.XLOOKUP(fRealizado5[[#This Row],[Conta]],'Plano de Contas'!A:A,'Plano de Contas'!D:D)</f>
        <v>10 - Recursos Humanos</v>
      </c>
    </row>
    <row r="1113" spans="1:5" hidden="1" x14ac:dyDescent="0.25">
      <c r="A1113" s="23">
        <f t="shared" si="15"/>
        <v>43678</v>
      </c>
      <c r="B1113" s="5" t="s">
        <v>182</v>
      </c>
      <c r="C1113" s="5">
        <v>-69226</v>
      </c>
      <c r="D1113" s="5" t="str">
        <f>_xlfn.XLOOKUP(fRealizado5[[#This Row],[Conta]],'Plano de Contas'!A:A,'Plano de Contas'!C:C)</f>
        <v>(-) Despesas Gerais</v>
      </c>
      <c r="E1113" s="5" t="str">
        <f>_xlfn.XLOOKUP(fRealizado5[[#This Row],[Conta]],'Plano de Contas'!A:A,'Plano de Contas'!D:D)</f>
        <v>10 - Recursos Humanos</v>
      </c>
    </row>
    <row r="1114" spans="1:5" hidden="1" x14ac:dyDescent="0.25">
      <c r="A1114" s="23">
        <f t="shared" si="15"/>
        <v>43678</v>
      </c>
      <c r="B1114" s="5" t="s">
        <v>183</v>
      </c>
      <c r="C1114" s="5">
        <v>-78227</v>
      </c>
      <c r="D1114" s="5" t="str">
        <f>_xlfn.XLOOKUP(fRealizado5[[#This Row],[Conta]],'Plano de Contas'!A:A,'Plano de Contas'!C:C)</f>
        <v>(-) Despesas Gerais</v>
      </c>
      <c r="E1114" s="5" t="str">
        <f>_xlfn.XLOOKUP(fRealizado5[[#This Row],[Conta]],'Plano de Contas'!A:A,'Plano de Contas'!D:D)</f>
        <v>10 - Recursos Humanos</v>
      </c>
    </row>
    <row r="1115" spans="1:5" hidden="1" x14ac:dyDescent="0.25">
      <c r="A1115" s="23">
        <f t="shared" si="15"/>
        <v>43678</v>
      </c>
      <c r="B1115" s="5" t="s">
        <v>184</v>
      </c>
      <c r="C1115" s="5">
        <v>-65907</v>
      </c>
      <c r="D1115" s="5" t="str">
        <f>_xlfn.XLOOKUP(fRealizado5[[#This Row],[Conta]],'Plano de Contas'!A:A,'Plano de Contas'!C:C)</f>
        <v>(-) Despesas Gerais</v>
      </c>
      <c r="E1115" s="5" t="str">
        <f>_xlfn.XLOOKUP(fRealizado5[[#This Row],[Conta]],'Plano de Contas'!A:A,'Plano de Contas'!D:D)</f>
        <v>10 - Recursos Humanos</v>
      </c>
    </row>
    <row r="1116" spans="1:5" hidden="1" x14ac:dyDescent="0.25">
      <c r="A1116" s="23">
        <f t="shared" si="15"/>
        <v>43678</v>
      </c>
      <c r="B1116" s="5" t="s">
        <v>185</v>
      </c>
      <c r="C1116" s="5">
        <v>-83048</v>
      </c>
      <c r="D1116" s="5" t="str">
        <f>_xlfn.XLOOKUP(fRealizado5[[#This Row],[Conta]],'Plano de Contas'!A:A,'Plano de Contas'!C:C)</f>
        <v>(-) Despesas Gerais</v>
      </c>
      <c r="E1116" s="5" t="str">
        <f>_xlfn.XLOOKUP(fRealizado5[[#This Row],[Conta]],'Plano de Contas'!A:A,'Plano de Contas'!D:D)</f>
        <v>11 - Relacionamento com Cliente</v>
      </c>
    </row>
    <row r="1117" spans="1:5" hidden="1" x14ac:dyDescent="0.25">
      <c r="A1117" s="23">
        <f t="shared" si="15"/>
        <v>43678</v>
      </c>
      <c r="B1117" s="5" t="s">
        <v>186</v>
      </c>
      <c r="C1117" s="5">
        <v>-104140</v>
      </c>
      <c r="D1117" s="5" t="str">
        <f>_xlfn.XLOOKUP(fRealizado5[[#This Row],[Conta]],'Plano de Contas'!A:A,'Plano de Contas'!C:C)</f>
        <v>(-) Despesas Gerais</v>
      </c>
      <c r="E1117" s="5" t="str">
        <f>_xlfn.XLOOKUP(fRealizado5[[#This Row],[Conta]],'Plano de Contas'!A:A,'Plano de Contas'!D:D)</f>
        <v>11 - Relacionamento com Cliente</v>
      </c>
    </row>
    <row r="1118" spans="1:5" hidden="1" x14ac:dyDescent="0.25">
      <c r="A1118" s="23">
        <f t="shared" si="15"/>
        <v>43678</v>
      </c>
      <c r="B1118" s="5" t="s">
        <v>187</v>
      </c>
      <c r="C1118" s="5">
        <v>-133530</v>
      </c>
      <c r="D1118" s="5" t="str">
        <f>_xlfn.XLOOKUP(fRealizado5[[#This Row],[Conta]],'Plano de Contas'!A:A,'Plano de Contas'!C:C)</f>
        <v>(-) Despesas Gerais</v>
      </c>
      <c r="E1118" s="5" t="str">
        <f>_xlfn.XLOOKUP(fRealizado5[[#This Row],[Conta]],'Plano de Contas'!A:A,'Plano de Contas'!D:D)</f>
        <v>12 - Marketing e Divulgação</v>
      </c>
    </row>
    <row r="1119" spans="1:5" hidden="1" x14ac:dyDescent="0.25">
      <c r="A1119" s="23">
        <f t="shared" si="15"/>
        <v>43678</v>
      </c>
      <c r="B1119" s="5" t="s">
        <v>188</v>
      </c>
      <c r="C1119" s="5">
        <v>-146432</v>
      </c>
      <c r="D1119" s="5" t="str">
        <f>_xlfn.XLOOKUP(fRealizado5[[#This Row],[Conta]],'Plano de Contas'!A:A,'Plano de Contas'!C:C)</f>
        <v>(-) Despesas Gerais</v>
      </c>
      <c r="E1119" s="5" t="str">
        <f>_xlfn.XLOOKUP(fRealizado5[[#This Row],[Conta]],'Plano de Contas'!A:A,'Plano de Contas'!D:D)</f>
        <v>12 - Marketing e Divulgação</v>
      </c>
    </row>
    <row r="1120" spans="1:5" hidden="1" x14ac:dyDescent="0.25">
      <c r="A1120" s="23">
        <f t="shared" si="15"/>
        <v>43678</v>
      </c>
      <c r="B1120" s="5" t="s">
        <v>189</v>
      </c>
      <c r="C1120" s="5">
        <v>-9971</v>
      </c>
      <c r="D1120" s="5" t="str">
        <f>_xlfn.XLOOKUP(fRealizado5[[#This Row],[Conta]],'Plano de Contas'!A:A,'Plano de Contas'!C:C)</f>
        <v>(-) Impostos</v>
      </c>
      <c r="E1120" s="5" t="str">
        <f>_xlfn.XLOOKUP(fRealizado5[[#This Row],[Conta]],'Plano de Contas'!A:A,'Plano de Contas'!D:D)</f>
        <v>13 - Impostos Estaduais</v>
      </c>
    </row>
    <row r="1121" spans="1:5" hidden="1" x14ac:dyDescent="0.25">
      <c r="A1121" s="23">
        <f t="shared" si="15"/>
        <v>43678</v>
      </c>
      <c r="B1121" s="5" t="s">
        <v>190</v>
      </c>
      <c r="C1121" s="5">
        <v>-19330</v>
      </c>
      <c r="D1121" s="5" t="str">
        <f>_xlfn.XLOOKUP(fRealizado5[[#This Row],[Conta]],'Plano de Contas'!A:A,'Plano de Contas'!C:C)</f>
        <v>(-) Impostos</v>
      </c>
      <c r="E1121" s="5" t="str">
        <f>_xlfn.XLOOKUP(fRealizado5[[#This Row],[Conta]],'Plano de Contas'!A:A,'Plano de Contas'!D:D)</f>
        <v>14 - Impostos Federais</v>
      </c>
    </row>
    <row r="1122" spans="1:5" hidden="1" x14ac:dyDescent="0.25">
      <c r="A1122" s="23">
        <f t="shared" si="15"/>
        <v>43709</v>
      </c>
      <c r="B1122" s="5" t="s">
        <v>51</v>
      </c>
      <c r="C1122" s="5">
        <v>868545</v>
      </c>
      <c r="D1122" s="5" t="str">
        <f>_xlfn.XLOOKUP(fRealizado5[[#This Row],[Conta]],'Plano de Contas'!A:A,'Plano de Contas'!C:C)</f>
        <v>(+) RECEITA BRUTA</v>
      </c>
      <c r="E1122" s="5" t="str">
        <f>_xlfn.XLOOKUP(fRealizado5[[#This Row],[Conta]],'Plano de Contas'!A:A,'Plano de Contas'!D:D)</f>
        <v>01 - Vendas de Produtos</v>
      </c>
    </row>
    <row r="1123" spans="1:5" hidden="1" x14ac:dyDescent="0.25">
      <c r="A1123" s="23">
        <f t="shared" si="15"/>
        <v>43709</v>
      </c>
      <c r="B1123" s="5" t="s">
        <v>52</v>
      </c>
      <c r="C1123" s="5">
        <v>286515</v>
      </c>
      <c r="D1123" s="5" t="str">
        <f>_xlfn.XLOOKUP(fRealizado5[[#This Row],[Conta]],'Plano de Contas'!A:A,'Plano de Contas'!C:C)</f>
        <v>(+) RECEITA BRUTA</v>
      </c>
      <c r="E1123" s="5" t="str">
        <f>_xlfn.XLOOKUP(fRealizado5[[#This Row],[Conta]],'Plano de Contas'!A:A,'Plano de Contas'!D:D)</f>
        <v>01 - Vendas de Produtos</v>
      </c>
    </row>
    <row r="1124" spans="1:5" hidden="1" x14ac:dyDescent="0.25">
      <c r="A1124" s="23">
        <f t="shared" si="15"/>
        <v>43709</v>
      </c>
      <c r="B1124" s="5" t="s">
        <v>53</v>
      </c>
      <c r="C1124" s="5">
        <v>987553</v>
      </c>
      <c r="D1124" s="5" t="str">
        <f>_xlfn.XLOOKUP(fRealizado5[[#This Row],[Conta]],'Plano de Contas'!A:A,'Plano de Contas'!C:C)</f>
        <v>(+) RECEITA BRUTA</v>
      </c>
      <c r="E1124" s="5" t="str">
        <f>_xlfn.XLOOKUP(fRealizado5[[#This Row],[Conta]],'Plano de Contas'!A:A,'Plano de Contas'!D:D)</f>
        <v>01 - Vendas de Produtos</v>
      </c>
    </row>
    <row r="1125" spans="1:5" hidden="1" x14ac:dyDescent="0.25">
      <c r="A1125" s="23">
        <f t="shared" si="15"/>
        <v>43709</v>
      </c>
      <c r="B1125" s="5" t="s">
        <v>54</v>
      </c>
      <c r="C1125" s="5">
        <v>483369</v>
      </c>
      <c r="D1125" s="5" t="str">
        <f>_xlfn.XLOOKUP(fRealizado5[[#This Row],[Conta]],'Plano de Contas'!A:A,'Plano de Contas'!C:C)</f>
        <v>(+) RECEITA BRUTA</v>
      </c>
      <c r="E1125" s="5" t="str">
        <f>_xlfn.XLOOKUP(fRealizado5[[#This Row],[Conta]],'Plano de Contas'!A:A,'Plano de Contas'!D:D)</f>
        <v>01 - Vendas de Produtos</v>
      </c>
    </row>
    <row r="1126" spans="1:5" hidden="1" x14ac:dyDescent="0.25">
      <c r="A1126" s="23">
        <f t="shared" si="15"/>
        <v>43709</v>
      </c>
      <c r="B1126" s="5" t="s">
        <v>55</v>
      </c>
      <c r="C1126" s="5">
        <v>257536</v>
      </c>
      <c r="D1126" s="5" t="str">
        <f>_xlfn.XLOOKUP(fRealizado5[[#This Row],[Conta]],'Plano de Contas'!A:A,'Plano de Contas'!C:C)</f>
        <v>(+) RECEITA BRUTA</v>
      </c>
      <c r="E1126" s="5" t="str">
        <f>_xlfn.XLOOKUP(fRealizado5[[#This Row],[Conta]],'Plano de Contas'!A:A,'Plano de Contas'!D:D)</f>
        <v>01 - Vendas de Produtos</v>
      </c>
    </row>
    <row r="1127" spans="1:5" hidden="1" x14ac:dyDescent="0.25">
      <c r="A1127" s="23">
        <f t="shared" si="15"/>
        <v>43709</v>
      </c>
      <c r="B1127" s="5" t="s">
        <v>56</v>
      </c>
      <c r="C1127" s="5">
        <v>466317</v>
      </c>
      <c r="D1127" s="5" t="str">
        <f>_xlfn.XLOOKUP(fRealizado5[[#This Row],[Conta]],'Plano de Contas'!A:A,'Plano de Contas'!C:C)</f>
        <v>(+) RECEITA BRUTA</v>
      </c>
      <c r="E1127" s="5" t="str">
        <f>_xlfn.XLOOKUP(fRealizado5[[#This Row],[Conta]],'Plano de Contas'!A:A,'Plano de Contas'!D:D)</f>
        <v>01 - Vendas de Produtos</v>
      </c>
    </row>
    <row r="1128" spans="1:5" hidden="1" x14ac:dyDescent="0.25">
      <c r="A1128" s="23">
        <f t="shared" si="15"/>
        <v>43709</v>
      </c>
      <c r="B1128" s="5" t="s">
        <v>57</v>
      </c>
      <c r="C1128" s="5">
        <v>463248</v>
      </c>
      <c r="D1128" s="5" t="str">
        <f>_xlfn.XLOOKUP(fRealizado5[[#This Row],[Conta]],'Plano de Contas'!A:A,'Plano de Contas'!C:C)</f>
        <v>(+) RECEITA BRUTA</v>
      </c>
      <c r="E1128" s="5" t="str">
        <f>_xlfn.XLOOKUP(fRealizado5[[#This Row],[Conta]],'Plano de Contas'!A:A,'Plano de Contas'!D:D)</f>
        <v>01 - Vendas de Produtos</v>
      </c>
    </row>
    <row r="1129" spans="1:5" hidden="1" x14ac:dyDescent="0.25">
      <c r="A1129" s="23">
        <f t="shared" si="15"/>
        <v>43709</v>
      </c>
      <c r="B1129" s="5" t="s">
        <v>58</v>
      </c>
      <c r="C1129" s="5">
        <v>780387</v>
      </c>
      <c r="D1129" s="5" t="str">
        <f>_xlfn.XLOOKUP(fRealizado5[[#This Row],[Conta]],'Plano de Contas'!A:A,'Plano de Contas'!C:C)</f>
        <v>(+) RECEITA BRUTA</v>
      </c>
      <c r="E1129" s="5" t="str">
        <f>_xlfn.XLOOKUP(fRealizado5[[#This Row],[Conta]],'Plano de Contas'!A:A,'Plano de Contas'!D:D)</f>
        <v>01 - Vendas de Produtos</v>
      </c>
    </row>
    <row r="1130" spans="1:5" hidden="1" x14ac:dyDescent="0.25">
      <c r="A1130" s="23">
        <f t="shared" si="15"/>
        <v>43709</v>
      </c>
      <c r="B1130" s="5" t="s">
        <v>59</v>
      </c>
      <c r="C1130" s="5">
        <v>649905</v>
      </c>
      <c r="D1130" s="5" t="str">
        <f>_xlfn.XLOOKUP(fRealizado5[[#This Row],[Conta]],'Plano de Contas'!A:A,'Plano de Contas'!C:C)</f>
        <v>(+) RECEITA BRUTA</v>
      </c>
      <c r="E1130" s="5" t="str">
        <f>_xlfn.XLOOKUP(fRealizado5[[#This Row],[Conta]],'Plano de Contas'!A:A,'Plano de Contas'!D:D)</f>
        <v>01 - Vendas de Produtos</v>
      </c>
    </row>
    <row r="1131" spans="1:5" hidden="1" x14ac:dyDescent="0.25">
      <c r="A1131" s="23">
        <f t="shared" si="15"/>
        <v>43709</v>
      </c>
      <c r="B1131" s="5" t="s">
        <v>60</v>
      </c>
      <c r="C1131" s="5">
        <v>971146</v>
      </c>
      <c r="D1131" s="5" t="str">
        <f>_xlfn.XLOOKUP(fRealizado5[[#This Row],[Conta]],'Plano de Contas'!A:A,'Plano de Contas'!C:C)</f>
        <v>(+) RECEITA BRUTA</v>
      </c>
      <c r="E1131" s="5" t="str">
        <f>_xlfn.XLOOKUP(fRealizado5[[#This Row],[Conta]],'Plano de Contas'!A:A,'Plano de Contas'!D:D)</f>
        <v>01 - Vendas de Produtos</v>
      </c>
    </row>
    <row r="1132" spans="1:5" hidden="1" x14ac:dyDescent="0.25">
      <c r="A1132" s="23">
        <f t="shared" si="15"/>
        <v>43709</v>
      </c>
      <c r="B1132" s="5" t="s">
        <v>61</v>
      </c>
      <c r="C1132" s="5">
        <v>260231</v>
      </c>
      <c r="D1132" s="5" t="str">
        <f>_xlfn.XLOOKUP(fRealizado5[[#This Row],[Conta]],'Plano de Contas'!A:A,'Plano de Contas'!C:C)</f>
        <v>(+) RECEITA BRUTA</v>
      </c>
      <c r="E1132" s="5" t="str">
        <f>_xlfn.XLOOKUP(fRealizado5[[#This Row],[Conta]],'Plano de Contas'!A:A,'Plano de Contas'!D:D)</f>
        <v>01 - Vendas de Produtos</v>
      </c>
    </row>
    <row r="1133" spans="1:5" hidden="1" x14ac:dyDescent="0.25">
      <c r="A1133" s="23">
        <f t="shared" si="15"/>
        <v>43709</v>
      </c>
      <c r="B1133" s="5" t="s">
        <v>62</v>
      </c>
      <c r="C1133" s="5">
        <v>973103</v>
      </c>
      <c r="D1133" s="5" t="str">
        <f>_xlfn.XLOOKUP(fRealizado5[[#This Row],[Conta]],'Plano de Contas'!A:A,'Plano de Contas'!C:C)</f>
        <v>(+) RECEITA BRUTA</v>
      </c>
      <c r="E1133" s="5" t="str">
        <f>_xlfn.XLOOKUP(fRealizado5[[#This Row],[Conta]],'Plano de Contas'!A:A,'Plano de Contas'!D:D)</f>
        <v>01 - Vendas de Produtos</v>
      </c>
    </row>
    <row r="1134" spans="1:5" hidden="1" x14ac:dyDescent="0.25">
      <c r="A1134" s="23">
        <f t="shared" si="15"/>
        <v>43709</v>
      </c>
      <c r="B1134" s="5" t="s">
        <v>63</v>
      </c>
      <c r="C1134" s="5">
        <v>409408</v>
      </c>
      <c r="D1134" s="5" t="str">
        <f>_xlfn.XLOOKUP(fRealizado5[[#This Row],[Conta]],'Plano de Contas'!A:A,'Plano de Contas'!C:C)</f>
        <v>(+) RECEITA BRUTA</v>
      </c>
      <c r="E1134" s="5" t="str">
        <f>_xlfn.XLOOKUP(fRealizado5[[#This Row],[Conta]],'Plano de Contas'!A:A,'Plano de Contas'!D:D)</f>
        <v>01 - Vendas de Produtos</v>
      </c>
    </row>
    <row r="1135" spans="1:5" hidden="1" x14ac:dyDescent="0.25">
      <c r="A1135" s="23">
        <f t="shared" si="15"/>
        <v>43709</v>
      </c>
      <c r="B1135" s="5" t="s">
        <v>64</v>
      </c>
      <c r="C1135" s="5">
        <v>771268</v>
      </c>
      <c r="D1135" s="5" t="str">
        <f>_xlfn.XLOOKUP(fRealizado5[[#This Row],[Conta]],'Plano de Contas'!A:A,'Plano de Contas'!C:C)</f>
        <v>(+) RECEITA BRUTA</v>
      </c>
      <c r="E1135" s="5" t="str">
        <f>_xlfn.XLOOKUP(fRealizado5[[#This Row],[Conta]],'Plano de Contas'!A:A,'Plano de Contas'!D:D)</f>
        <v>01 - Vendas de Produtos</v>
      </c>
    </row>
    <row r="1136" spans="1:5" hidden="1" x14ac:dyDescent="0.25">
      <c r="A1136" s="23">
        <f t="shared" si="15"/>
        <v>43709</v>
      </c>
      <c r="B1136" s="5" t="s">
        <v>65</v>
      </c>
      <c r="C1136" s="5">
        <v>983741</v>
      </c>
      <c r="D1136" s="5" t="str">
        <f>_xlfn.XLOOKUP(fRealizado5[[#This Row],[Conta]],'Plano de Contas'!A:A,'Plano de Contas'!C:C)</f>
        <v>(+) RECEITA BRUTA</v>
      </c>
      <c r="E1136" s="5" t="str">
        <f>_xlfn.XLOOKUP(fRealizado5[[#This Row],[Conta]],'Plano de Contas'!A:A,'Plano de Contas'!D:D)</f>
        <v>01 - Vendas de Produtos</v>
      </c>
    </row>
    <row r="1137" spans="1:5" hidden="1" x14ac:dyDescent="0.25">
      <c r="A1137" s="23">
        <f t="shared" si="15"/>
        <v>43709</v>
      </c>
      <c r="B1137" s="5" t="s">
        <v>66</v>
      </c>
      <c r="C1137" s="5">
        <v>811442</v>
      </c>
      <c r="D1137" s="5" t="str">
        <f>_xlfn.XLOOKUP(fRealizado5[[#This Row],[Conta]],'Plano de Contas'!A:A,'Plano de Contas'!C:C)</f>
        <v>(+) RECEITA BRUTA</v>
      </c>
      <c r="E1137" s="5" t="str">
        <f>_xlfn.XLOOKUP(fRealizado5[[#This Row],[Conta]],'Plano de Contas'!A:A,'Plano de Contas'!D:D)</f>
        <v>01 - Vendas de Produtos</v>
      </c>
    </row>
    <row r="1138" spans="1:5" hidden="1" x14ac:dyDescent="0.25">
      <c r="A1138" s="23">
        <f t="shared" si="15"/>
        <v>43709</v>
      </c>
      <c r="B1138" s="5" t="s">
        <v>67</v>
      </c>
      <c r="C1138" s="5">
        <v>966458</v>
      </c>
      <c r="D1138" s="5" t="str">
        <f>_xlfn.XLOOKUP(fRealizado5[[#This Row],[Conta]],'Plano de Contas'!A:A,'Plano de Contas'!C:C)</f>
        <v>(+) RECEITA BRUTA</v>
      </c>
      <c r="E1138" s="5" t="str">
        <f>_xlfn.XLOOKUP(fRealizado5[[#This Row],[Conta]],'Plano de Contas'!A:A,'Plano de Contas'!D:D)</f>
        <v>01 - Vendas de Produtos</v>
      </c>
    </row>
    <row r="1139" spans="1:5" hidden="1" x14ac:dyDescent="0.25">
      <c r="A1139" s="23">
        <f t="shared" si="15"/>
        <v>43709</v>
      </c>
      <c r="B1139" s="5" t="s">
        <v>68</v>
      </c>
      <c r="C1139" s="5">
        <v>700682</v>
      </c>
      <c r="D1139" s="5" t="str">
        <f>_xlfn.XLOOKUP(fRealizado5[[#This Row],[Conta]],'Plano de Contas'!A:A,'Plano de Contas'!C:C)</f>
        <v>(+) RECEITA BRUTA</v>
      </c>
      <c r="E1139" s="5" t="str">
        <f>_xlfn.XLOOKUP(fRealizado5[[#This Row],[Conta]],'Plano de Contas'!A:A,'Plano de Contas'!D:D)</f>
        <v>01 - Vendas de Produtos</v>
      </c>
    </row>
    <row r="1140" spans="1:5" hidden="1" x14ac:dyDescent="0.25">
      <c r="A1140" s="23">
        <f t="shared" si="15"/>
        <v>43709</v>
      </c>
      <c r="B1140" s="5" t="s">
        <v>69</v>
      </c>
      <c r="C1140" s="5">
        <v>751306</v>
      </c>
      <c r="D1140" s="5" t="str">
        <f>_xlfn.XLOOKUP(fRealizado5[[#This Row],[Conta]],'Plano de Contas'!A:A,'Plano de Contas'!C:C)</f>
        <v>(+) RECEITA BRUTA</v>
      </c>
      <c r="E1140" s="5" t="str">
        <f>_xlfn.XLOOKUP(fRealizado5[[#This Row],[Conta]],'Plano de Contas'!A:A,'Plano de Contas'!D:D)</f>
        <v>01 - Vendas de Produtos</v>
      </c>
    </row>
    <row r="1141" spans="1:5" hidden="1" x14ac:dyDescent="0.25">
      <c r="A1141" s="23">
        <f t="shared" si="15"/>
        <v>43709</v>
      </c>
      <c r="B1141" s="5" t="s">
        <v>70</v>
      </c>
      <c r="C1141" s="5">
        <v>486843</v>
      </c>
      <c r="D1141" s="5" t="str">
        <f>_xlfn.XLOOKUP(fRealizado5[[#This Row],[Conta]],'Plano de Contas'!A:A,'Plano de Contas'!C:C)</f>
        <v>(+) RECEITA BRUTA</v>
      </c>
      <c r="E1141" s="5" t="str">
        <f>_xlfn.XLOOKUP(fRealizado5[[#This Row],[Conta]],'Plano de Contas'!A:A,'Plano de Contas'!D:D)</f>
        <v>01 - Vendas de Produtos</v>
      </c>
    </row>
    <row r="1142" spans="1:5" hidden="1" x14ac:dyDescent="0.25">
      <c r="A1142" s="23">
        <f t="shared" si="15"/>
        <v>43709</v>
      </c>
      <c r="B1142" s="5" t="s">
        <v>71</v>
      </c>
      <c r="C1142" s="5">
        <v>860599</v>
      </c>
      <c r="D1142" s="5" t="str">
        <f>_xlfn.XLOOKUP(fRealizado5[[#This Row],[Conta]],'Plano de Contas'!A:A,'Plano de Contas'!C:C)</f>
        <v>(+) RECEITA BRUTA</v>
      </c>
      <c r="E1142" s="5" t="str">
        <f>_xlfn.XLOOKUP(fRealizado5[[#This Row],[Conta]],'Plano de Contas'!A:A,'Plano de Contas'!D:D)</f>
        <v>01 - Vendas de Produtos</v>
      </c>
    </row>
    <row r="1143" spans="1:5" hidden="1" x14ac:dyDescent="0.25">
      <c r="A1143" s="23">
        <f t="shared" si="15"/>
        <v>43709</v>
      </c>
      <c r="B1143" s="5" t="s">
        <v>72</v>
      </c>
      <c r="C1143" s="5">
        <v>973651</v>
      </c>
      <c r="D1143" s="5" t="str">
        <f>_xlfn.XLOOKUP(fRealizado5[[#This Row],[Conta]],'Plano de Contas'!A:A,'Plano de Contas'!C:C)</f>
        <v>(+) RECEITA BRUTA</v>
      </c>
      <c r="E1143" s="5" t="str">
        <f>_xlfn.XLOOKUP(fRealizado5[[#This Row],[Conta]],'Plano de Contas'!A:A,'Plano de Contas'!D:D)</f>
        <v>01 - Vendas de Produtos</v>
      </c>
    </row>
    <row r="1144" spans="1:5" hidden="1" x14ac:dyDescent="0.25">
      <c r="A1144" s="23">
        <f t="shared" si="15"/>
        <v>43709</v>
      </c>
      <c r="B1144" s="5" t="s">
        <v>73</v>
      </c>
      <c r="C1144" s="5">
        <v>246714</v>
      </c>
      <c r="D1144" s="5" t="str">
        <f>_xlfn.XLOOKUP(fRealizado5[[#This Row],[Conta]],'Plano de Contas'!A:A,'Plano de Contas'!C:C)</f>
        <v>(+) RECEITA BRUTA</v>
      </c>
      <c r="E1144" s="5" t="str">
        <f>_xlfn.XLOOKUP(fRealizado5[[#This Row],[Conta]],'Plano de Contas'!A:A,'Plano de Contas'!D:D)</f>
        <v>01 - Vendas de Produtos</v>
      </c>
    </row>
    <row r="1145" spans="1:5" hidden="1" x14ac:dyDescent="0.25">
      <c r="A1145" s="23">
        <f>EDATE(A1005,1)</f>
        <v>43709</v>
      </c>
      <c r="B1145" s="5" t="s">
        <v>74</v>
      </c>
      <c r="C1145" s="5">
        <v>79158</v>
      </c>
      <c r="D1145" s="5" t="str">
        <f>_xlfn.XLOOKUP(fRealizado5[[#This Row],[Conta]],'Plano de Contas'!A:A,'Plano de Contas'!C:C)</f>
        <v>(+) RECEITA BRUTA</v>
      </c>
      <c r="E1145" s="5" t="str">
        <f>_xlfn.XLOOKUP(fRealizado5[[#This Row],[Conta]],'Plano de Contas'!A:A,'Plano de Contas'!D:D)</f>
        <v>01 - Vendas de Produtos</v>
      </c>
    </row>
    <row r="1146" spans="1:5" hidden="1" x14ac:dyDescent="0.25">
      <c r="A1146" s="23">
        <f t="shared" ref="A1146:A1209" si="16">EDATE(A1006,1)</f>
        <v>43709</v>
      </c>
      <c r="B1146" s="5" t="s">
        <v>75</v>
      </c>
      <c r="C1146" s="5">
        <v>283775</v>
      </c>
      <c r="D1146" s="5" t="str">
        <f>_xlfn.XLOOKUP(fRealizado5[[#This Row],[Conta]],'Plano de Contas'!A:A,'Plano de Contas'!C:C)</f>
        <v>(+) RECEITA BRUTA</v>
      </c>
      <c r="E1146" s="5" t="str">
        <f>_xlfn.XLOOKUP(fRealizado5[[#This Row],[Conta]],'Plano de Contas'!A:A,'Plano de Contas'!D:D)</f>
        <v>02 - Outras Receitas</v>
      </c>
    </row>
    <row r="1147" spans="1:5" hidden="1" x14ac:dyDescent="0.25">
      <c r="A1147" s="23">
        <f t="shared" si="16"/>
        <v>43709</v>
      </c>
      <c r="B1147" s="5" t="s">
        <v>76</v>
      </c>
      <c r="C1147" s="5">
        <v>224606</v>
      </c>
      <c r="D1147" s="5" t="str">
        <f>_xlfn.XLOOKUP(fRealizado5[[#This Row],[Conta]],'Plano de Contas'!A:A,'Plano de Contas'!C:C)</f>
        <v>(+) RECEITA BRUTA</v>
      </c>
      <c r="E1147" s="5" t="str">
        <f>_xlfn.XLOOKUP(fRealizado5[[#This Row],[Conta]],'Plano de Contas'!A:A,'Plano de Contas'!D:D)</f>
        <v>02 - Outras Receitas</v>
      </c>
    </row>
    <row r="1148" spans="1:5" hidden="1" x14ac:dyDescent="0.25">
      <c r="A1148" s="23">
        <f t="shared" si="16"/>
        <v>43709</v>
      </c>
      <c r="B1148" s="5" t="s">
        <v>77</v>
      </c>
      <c r="C1148" s="5">
        <v>245240</v>
      </c>
      <c r="D1148" s="5" t="str">
        <f>_xlfn.XLOOKUP(fRealizado5[[#This Row],[Conta]],'Plano de Contas'!A:A,'Plano de Contas'!C:C)</f>
        <v>(+) RECEITA BRUTA</v>
      </c>
      <c r="E1148" s="5" t="str">
        <f>_xlfn.XLOOKUP(fRealizado5[[#This Row],[Conta]],'Plano de Contas'!A:A,'Plano de Contas'!D:D)</f>
        <v>02 - Outras Receitas</v>
      </c>
    </row>
    <row r="1149" spans="1:5" hidden="1" x14ac:dyDescent="0.25">
      <c r="A1149" s="23">
        <f t="shared" si="16"/>
        <v>43709</v>
      </c>
      <c r="B1149" s="5" t="s">
        <v>78</v>
      </c>
      <c r="C1149" s="5">
        <v>87495</v>
      </c>
      <c r="D1149" s="5" t="str">
        <f>_xlfn.XLOOKUP(fRealizado5[[#This Row],[Conta]],'Plano de Contas'!A:A,'Plano de Contas'!C:C)</f>
        <v>(+) RECEITA BRUTA</v>
      </c>
      <c r="E1149" s="5" t="str">
        <f>_xlfn.XLOOKUP(fRealizado5[[#This Row],[Conta]],'Plano de Contas'!A:A,'Plano de Contas'!D:D)</f>
        <v>02 - Outras Receitas</v>
      </c>
    </row>
    <row r="1150" spans="1:5" hidden="1" x14ac:dyDescent="0.25">
      <c r="A1150" s="23">
        <f t="shared" si="16"/>
        <v>43709</v>
      </c>
      <c r="B1150" s="5" t="s">
        <v>79</v>
      </c>
      <c r="C1150" s="5">
        <v>266541</v>
      </c>
      <c r="D1150" s="5" t="str">
        <f>_xlfn.XLOOKUP(fRealizado5[[#This Row],[Conta]],'Plano de Contas'!A:A,'Plano de Contas'!C:C)</f>
        <v>(+) RECEITA BRUTA</v>
      </c>
      <c r="E1150" s="5" t="str">
        <f>_xlfn.XLOOKUP(fRealizado5[[#This Row],[Conta]],'Plano de Contas'!A:A,'Plano de Contas'!D:D)</f>
        <v>02 - Outras Receitas</v>
      </c>
    </row>
    <row r="1151" spans="1:5" hidden="1" x14ac:dyDescent="0.25">
      <c r="A1151" s="23">
        <f t="shared" si="16"/>
        <v>43709</v>
      </c>
      <c r="B1151" s="5" t="s">
        <v>80</v>
      </c>
      <c r="C1151" s="5">
        <v>148704</v>
      </c>
      <c r="D1151" s="5" t="str">
        <f>_xlfn.XLOOKUP(fRealizado5[[#This Row],[Conta]],'Plano de Contas'!A:A,'Plano de Contas'!C:C)</f>
        <v>(+) RECEITA BRUTA</v>
      </c>
      <c r="E1151" s="5" t="str">
        <f>_xlfn.XLOOKUP(fRealizado5[[#This Row],[Conta]],'Plano de Contas'!A:A,'Plano de Contas'!D:D)</f>
        <v>02 - Outras Receitas</v>
      </c>
    </row>
    <row r="1152" spans="1:5" hidden="1" x14ac:dyDescent="0.25">
      <c r="A1152" s="23">
        <f t="shared" si="16"/>
        <v>43709</v>
      </c>
      <c r="B1152" s="5" t="s">
        <v>81</v>
      </c>
      <c r="C1152" s="5">
        <v>104235</v>
      </c>
      <c r="D1152" s="5" t="str">
        <f>_xlfn.XLOOKUP(fRealizado5[[#This Row],[Conta]],'Plano de Contas'!A:A,'Plano de Contas'!C:C)</f>
        <v>(+) RECEITA BRUTA</v>
      </c>
      <c r="E1152" s="5" t="str">
        <f>_xlfn.XLOOKUP(fRealizado5[[#This Row],[Conta]],'Plano de Contas'!A:A,'Plano de Contas'!D:D)</f>
        <v>02 - Outras Receitas</v>
      </c>
    </row>
    <row r="1153" spans="1:5" hidden="1" x14ac:dyDescent="0.25">
      <c r="A1153" s="23">
        <f t="shared" si="16"/>
        <v>43709</v>
      </c>
      <c r="B1153" s="5" t="s">
        <v>82</v>
      </c>
      <c r="C1153" s="5">
        <v>103162</v>
      </c>
      <c r="D1153" s="5" t="str">
        <f>_xlfn.XLOOKUP(fRealizado5[[#This Row],[Conta]],'Plano de Contas'!A:A,'Plano de Contas'!C:C)</f>
        <v>(+) RECEITA BRUTA</v>
      </c>
      <c r="E1153" s="5" t="str">
        <f>_xlfn.XLOOKUP(fRealizado5[[#This Row],[Conta]],'Plano de Contas'!A:A,'Plano de Contas'!D:D)</f>
        <v>02 - Outras Receitas</v>
      </c>
    </row>
    <row r="1154" spans="1:5" hidden="1" x14ac:dyDescent="0.25">
      <c r="A1154" s="23">
        <f t="shared" si="16"/>
        <v>43709</v>
      </c>
      <c r="B1154" s="5" t="s">
        <v>83</v>
      </c>
      <c r="C1154" s="5">
        <v>297755</v>
      </c>
      <c r="D1154" s="5" t="str">
        <f>_xlfn.XLOOKUP(fRealizado5[[#This Row],[Conta]],'Plano de Contas'!A:A,'Plano de Contas'!C:C)</f>
        <v>(+) RECEITA BRUTA</v>
      </c>
      <c r="E1154" s="5" t="str">
        <f>_xlfn.XLOOKUP(fRealizado5[[#This Row],[Conta]],'Plano de Contas'!A:A,'Plano de Contas'!D:D)</f>
        <v>02 - Outras Receitas</v>
      </c>
    </row>
    <row r="1155" spans="1:5" hidden="1" x14ac:dyDescent="0.25">
      <c r="A1155" s="23">
        <f t="shared" si="16"/>
        <v>43709</v>
      </c>
      <c r="B1155" s="5" t="s">
        <v>84</v>
      </c>
      <c r="C1155" s="5">
        <v>158814</v>
      </c>
      <c r="D1155" s="5" t="str">
        <f>_xlfn.XLOOKUP(fRealizado5[[#This Row],[Conta]],'Plano de Contas'!A:A,'Plano de Contas'!C:C)</f>
        <v>(+) RECEITA BRUTA</v>
      </c>
      <c r="E1155" s="5" t="str">
        <f>_xlfn.XLOOKUP(fRealizado5[[#This Row],[Conta]],'Plano de Contas'!A:A,'Plano de Contas'!D:D)</f>
        <v>02 - Outras Receitas</v>
      </c>
    </row>
    <row r="1156" spans="1:5" hidden="1" x14ac:dyDescent="0.25">
      <c r="A1156" s="23">
        <f t="shared" si="16"/>
        <v>43709</v>
      </c>
      <c r="B1156" s="5" t="s">
        <v>85</v>
      </c>
      <c r="C1156" s="5">
        <v>165029</v>
      </c>
      <c r="D1156" s="5" t="str">
        <f>_xlfn.XLOOKUP(fRealizado5[[#This Row],[Conta]],'Plano de Contas'!A:A,'Plano de Contas'!C:C)</f>
        <v>(+) RECEITA BRUTA</v>
      </c>
      <c r="E1156" s="5" t="str">
        <f>_xlfn.XLOOKUP(fRealizado5[[#This Row],[Conta]],'Plano de Contas'!A:A,'Plano de Contas'!D:D)</f>
        <v>02 - Outras Receitas</v>
      </c>
    </row>
    <row r="1157" spans="1:5" hidden="1" x14ac:dyDescent="0.25">
      <c r="A1157" s="23">
        <f t="shared" si="16"/>
        <v>43709</v>
      </c>
      <c r="B1157" s="5" t="s">
        <v>86</v>
      </c>
      <c r="C1157" s="5">
        <v>141552</v>
      </c>
      <c r="D1157" s="5" t="str">
        <f>_xlfn.XLOOKUP(fRealizado5[[#This Row],[Conta]],'Plano de Contas'!A:A,'Plano de Contas'!C:C)</f>
        <v>(+) RECEITA BRUTA</v>
      </c>
      <c r="E1157" s="5" t="str">
        <f>_xlfn.XLOOKUP(fRealizado5[[#This Row],[Conta]],'Plano de Contas'!A:A,'Plano de Contas'!D:D)</f>
        <v>02 - Outras Receitas</v>
      </c>
    </row>
    <row r="1158" spans="1:5" hidden="1" x14ac:dyDescent="0.25">
      <c r="A1158" s="23">
        <f t="shared" si="16"/>
        <v>43709</v>
      </c>
      <c r="B1158" s="5" t="s">
        <v>87</v>
      </c>
      <c r="C1158" s="5">
        <v>141576</v>
      </c>
      <c r="D1158" s="5" t="str">
        <f>_xlfn.XLOOKUP(fRealizado5[[#This Row],[Conta]],'Plano de Contas'!A:A,'Plano de Contas'!C:C)</f>
        <v>(+) RECEITA BRUTA</v>
      </c>
      <c r="E1158" s="5" t="str">
        <f>_xlfn.XLOOKUP(fRealizado5[[#This Row],[Conta]],'Plano de Contas'!A:A,'Plano de Contas'!D:D)</f>
        <v>02 - Outras Receitas</v>
      </c>
    </row>
    <row r="1159" spans="1:5" hidden="1" x14ac:dyDescent="0.25">
      <c r="A1159" s="23">
        <f t="shared" si="16"/>
        <v>43709</v>
      </c>
      <c r="B1159" s="5" t="s">
        <v>88</v>
      </c>
      <c r="C1159" s="5">
        <v>143999</v>
      </c>
      <c r="D1159" s="5" t="str">
        <f>_xlfn.XLOOKUP(fRealizado5[[#This Row],[Conta]],'Plano de Contas'!A:A,'Plano de Contas'!C:C)</f>
        <v>(+) RECEITA BRUTA</v>
      </c>
      <c r="E1159" s="5" t="str">
        <f>_xlfn.XLOOKUP(fRealizado5[[#This Row],[Conta]],'Plano de Contas'!A:A,'Plano de Contas'!D:D)</f>
        <v>02 - Outras Receitas</v>
      </c>
    </row>
    <row r="1160" spans="1:5" hidden="1" x14ac:dyDescent="0.25">
      <c r="A1160" s="23">
        <f t="shared" si="16"/>
        <v>43709</v>
      </c>
      <c r="B1160" s="5" t="s">
        <v>89</v>
      </c>
      <c r="C1160" s="5">
        <v>138509</v>
      </c>
      <c r="D1160" s="5" t="str">
        <f>_xlfn.XLOOKUP(fRealizado5[[#This Row],[Conta]],'Plano de Contas'!A:A,'Plano de Contas'!C:C)</f>
        <v>(+) RECEITA BRUTA</v>
      </c>
      <c r="E1160" s="5" t="str">
        <f>_xlfn.XLOOKUP(fRealizado5[[#This Row],[Conta]],'Plano de Contas'!A:A,'Plano de Contas'!D:D)</f>
        <v>02 - Outras Receitas</v>
      </c>
    </row>
    <row r="1161" spans="1:5" hidden="1" x14ac:dyDescent="0.25">
      <c r="A1161" s="23">
        <f t="shared" si="16"/>
        <v>43709</v>
      </c>
      <c r="B1161" s="5" t="s">
        <v>90</v>
      </c>
      <c r="C1161" s="5">
        <v>55143</v>
      </c>
      <c r="D1161" s="5" t="str">
        <f>_xlfn.XLOOKUP(fRealizado5[[#This Row],[Conta]],'Plano de Contas'!A:A,'Plano de Contas'!C:C)</f>
        <v>(+) RECEITA BRUTA</v>
      </c>
      <c r="E1161" s="5" t="str">
        <f>_xlfn.XLOOKUP(fRealizado5[[#This Row],[Conta]],'Plano de Contas'!A:A,'Plano de Contas'!D:D)</f>
        <v>02 - Outras Receitas</v>
      </c>
    </row>
    <row r="1162" spans="1:5" hidden="1" x14ac:dyDescent="0.25">
      <c r="A1162" s="23">
        <f t="shared" si="16"/>
        <v>43709</v>
      </c>
      <c r="B1162" s="5" t="s">
        <v>91</v>
      </c>
      <c r="C1162" s="5">
        <v>56730</v>
      </c>
      <c r="D1162" s="5" t="str">
        <f>_xlfn.XLOOKUP(fRealizado5[[#This Row],[Conta]],'Plano de Contas'!A:A,'Plano de Contas'!C:C)</f>
        <v>(+) RECEITA BRUTA</v>
      </c>
      <c r="E1162" s="5" t="str">
        <f>_xlfn.XLOOKUP(fRealizado5[[#This Row],[Conta]],'Plano de Contas'!A:A,'Plano de Contas'!D:D)</f>
        <v>02 - Outras Receitas</v>
      </c>
    </row>
    <row r="1163" spans="1:5" hidden="1" x14ac:dyDescent="0.25">
      <c r="A1163" s="23">
        <f t="shared" si="16"/>
        <v>43709</v>
      </c>
      <c r="B1163" s="5" t="s">
        <v>92</v>
      </c>
      <c r="C1163" s="5">
        <v>96319</v>
      </c>
      <c r="D1163" s="5" t="str">
        <f>_xlfn.XLOOKUP(fRealizado5[[#This Row],[Conta]],'Plano de Contas'!A:A,'Plano de Contas'!C:C)</f>
        <v>(+) RECEITA BRUTA</v>
      </c>
      <c r="E1163" s="5" t="str">
        <f>_xlfn.XLOOKUP(fRealizado5[[#This Row],[Conta]],'Plano de Contas'!A:A,'Plano de Contas'!D:D)</f>
        <v>02 - Outras Receitas</v>
      </c>
    </row>
    <row r="1164" spans="1:5" hidden="1" x14ac:dyDescent="0.25">
      <c r="A1164" s="23">
        <f t="shared" si="16"/>
        <v>43709</v>
      </c>
      <c r="B1164" s="5" t="s">
        <v>93</v>
      </c>
      <c r="C1164" s="5">
        <v>82287</v>
      </c>
      <c r="D1164" s="5" t="str">
        <f>_xlfn.XLOOKUP(fRealizado5[[#This Row],[Conta]],'Plano de Contas'!A:A,'Plano de Contas'!C:C)</f>
        <v>(+) RECEITA BRUTA</v>
      </c>
      <c r="E1164" s="5" t="str">
        <f>_xlfn.XLOOKUP(fRealizado5[[#This Row],[Conta]],'Plano de Contas'!A:A,'Plano de Contas'!D:D)</f>
        <v>02 - Outras Receitas</v>
      </c>
    </row>
    <row r="1165" spans="1:5" hidden="1" x14ac:dyDescent="0.25">
      <c r="A1165" s="23">
        <f t="shared" si="16"/>
        <v>43709</v>
      </c>
      <c r="B1165" s="5" t="s">
        <v>94</v>
      </c>
      <c r="C1165" s="5">
        <v>205543</v>
      </c>
      <c r="D1165" s="5" t="str">
        <f>_xlfn.XLOOKUP(fRealizado5[[#This Row],[Conta]],'Plano de Contas'!A:A,'Plano de Contas'!C:C)</f>
        <v>(+) RECEITA BRUTA</v>
      </c>
      <c r="E1165" s="5" t="str">
        <f>_xlfn.XLOOKUP(fRealizado5[[#This Row],[Conta]],'Plano de Contas'!A:A,'Plano de Contas'!D:D)</f>
        <v>02 - Outras Receitas</v>
      </c>
    </row>
    <row r="1166" spans="1:5" hidden="1" x14ac:dyDescent="0.25">
      <c r="A1166" s="23">
        <f t="shared" si="16"/>
        <v>43709</v>
      </c>
      <c r="B1166" s="5" t="s">
        <v>95</v>
      </c>
      <c r="C1166" s="5">
        <v>114455</v>
      </c>
      <c r="D1166" s="5" t="str">
        <f>_xlfn.XLOOKUP(fRealizado5[[#This Row],[Conta]],'Plano de Contas'!A:A,'Plano de Contas'!C:C)</f>
        <v>(+) RECEITA BRUTA</v>
      </c>
      <c r="E1166" s="5" t="str">
        <f>_xlfn.XLOOKUP(fRealizado5[[#This Row],[Conta]],'Plano de Contas'!A:A,'Plano de Contas'!D:D)</f>
        <v>02 - Outras Receitas</v>
      </c>
    </row>
    <row r="1167" spans="1:5" hidden="1" x14ac:dyDescent="0.25">
      <c r="A1167" s="23">
        <f t="shared" si="16"/>
        <v>43709</v>
      </c>
      <c r="B1167" s="5" t="s">
        <v>96</v>
      </c>
      <c r="C1167" s="5">
        <v>96348</v>
      </c>
      <c r="D1167" s="5" t="str">
        <f>_xlfn.XLOOKUP(fRealizado5[[#This Row],[Conta]],'Plano de Contas'!A:A,'Plano de Contas'!C:C)</f>
        <v>(+) RECEITA BRUTA</v>
      </c>
      <c r="E1167" s="5" t="str">
        <f>_xlfn.XLOOKUP(fRealizado5[[#This Row],[Conta]],'Plano de Contas'!A:A,'Plano de Contas'!D:D)</f>
        <v>02 - Outras Receitas</v>
      </c>
    </row>
    <row r="1168" spans="1:5" hidden="1" x14ac:dyDescent="0.25">
      <c r="A1168" s="23">
        <f t="shared" si="16"/>
        <v>43709</v>
      </c>
      <c r="B1168" s="5" t="s">
        <v>97</v>
      </c>
      <c r="C1168" s="5">
        <v>201197</v>
      </c>
      <c r="D1168" s="5" t="str">
        <f>_xlfn.XLOOKUP(fRealizado5[[#This Row],[Conta]],'Plano de Contas'!A:A,'Plano de Contas'!C:C)</f>
        <v>(+) RECEITA BRUTA</v>
      </c>
      <c r="E1168" s="5" t="str">
        <f>_xlfn.XLOOKUP(fRealizado5[[#This Row],[Conta]],'Plano de Contas'!A:A,'Plano de Contas'!D:D)</f>
        <v>02 - Outras Receitas</v>
      </c>
    </row>
    <row r="1169" spans="1:5" hidden="1" x14ac:dyDescent="0.25">
      <c r="A1169" s="23">
        <f t="shared" si="16"/>
        <v>43709</v>
      </c>
      <c r="B1169" s="5" t="s">
        <v>98</v>
      </c>
      <c r="C1169" s="5">
        <v>209782</v>
      </c>
      <c r="D1169" s="5" t="str">
        <f>_xlfn.XLOOKUP(fRealizado5[[#This Row],[Conta]],'Plano de Contas'!A:A,'Plano de Contas'!C:C)</f>
        <v>(+) RECEITA BRUTA</v>
      </c>
      <c r="E1169" s="5" t="str">
        <f>_xlfn.XLOOKUP(fRealizado5[[#This Row],[Conta]],'Plano de Contas'!A:A,'Plano de Contas'!D:D)</f>
        <v>02 - Outras Receitas</v>
      </c>
    </row>
    <row r="1170" spans="1:5" hidden="1" x14ac:dyDescent="0.25">
      <c r="A1170" s="23">
        <f t="shared" si="16"/>
        <v>43709</v>
      </c>
      <c r="B1170" s="5" t="s">
        <v>99</v>
      </c>
      <c r="C1170" s="5">
        <v>119304</v>
      </c>
      <c r="D1170" s="5" t="str">
        <f>_xlfn.XLOOKUP(fRealizado5[[#This Row],[Conta]],'Plano de Contas'!A:A,'Plano de Contas'!C:C)</f>
        <v>(+) RECEITA BRUTA</v>
      </c>
      <c r="E1170" s="5" t="str">
        <f>_xlfn.XLOOKUP(fRealizado5[[#This Row],[Conta]],'Plano de Contas'!A:A,'Plano de Contas'!D:D)</f>
        <v>02 - Outras Receitas</v>
      </c>
    </row>
    <row r="1171" spans="1:5" hidden="1" x14ac:dyDescent="0.25">
      <c r="A1171" s="23">
        <f t="shared" si="16"/>
        <v>43709</v>
      </c>
      <c r="B1171" s="5" t="s">
        <v>100</v>
      </c>
      <c r="C1171" s="5">
        <v>119233</v>
      </c>
      <c r="D1171" s="5" t="str">
        <f>_xlfn.XLOOKUP(fRealizado5[[#This Row],[Conta]],'Plano de Contas'!A:A,'Plano de Contas'!C:C)</f>
        <v>(+) RECEITA BRUTA</v>
      </c>
      <c r="E1171" s="5" t="str">
        <f>_xlfn.XLOOKUP(fRealizado5[[#This Row],[Conta]],'Plano de Contas'!A:A,'Plano de Contas'!D:D)</f>
        <v>02 - Outras Receitas</v>
      </c>
    </row>
    <row r="1172" spans="1:5" hidden="1" x14ac:dyDescent="0.25">
      <c r="A1172" s="23">
        <f t="shared" si="16"/>
        <v>43709</v>
      </c>
      <c r="B1172" s="5" t="s">
        <v>101</v>
      </c>
      <c r="C1172" s="5">
        <v>97304</v>
      </c>
      <c r="D1172" s="5" t="str">
        <f>_xlfn.XLOOKUP(fRealizado5[[#This Row],[Conta]],'Plano de Contas'!A:A,'Plano de Contas'!C:C)</f>
        <v>(+) RECEITA BRUTA</v>
      </c>
      <c r="E1172" s="5" t="str">
        <f>_xlfn.XLOOKUP(fRealizado5[[#This Row],[Conta]],'Plano de Contas'!A:A,'Plano de Contas'!D:D)</f>
        <v>02 - Outras Receitas</v>
      </c>
    </row>
    <row r="1173" spans="1:5" hidden="1" x14ac:dyDescent="0.25">
      <c r="A1173" s="23">
        <f t="shared" si="16"/>
        <v>43709</v>
      </c>
      <c r="B1173" s="5" t="s">
        <v>102</v>
      </c>
      <c r="C1173" s="5">
        <v>193327</v>
      </c>
      <c r="D1173" s="5" t="str">
        <f>_xlfn.XLOOKUP(fRealizado5[[#This Row],[Conta]],'Plano de Contas'!A:A,'Plano de Contas'!C:C)</f>
        <v>(+) RECEITA BRUTA</v>
      </c>
      <c r="E1173" s="5" t="str">
        <f>_xlfn.XLOOKUP(fRealizado5[[#This Row],[Conta]],'Plano de Contas'!A:A,'Plano de Contas'!D:D)</f>
        <v>02 - Outras Receitas</v>
      </c>
    </row>
    <row r="1174" spans="1:5" hidden="1" x14ac:dyDescent="0.25">
      <c r="A1174" s="23">
        <f t="shared" si="16"/>
        <v>43709</v>
      </c>
      <c r="B1174" s="5" t="s">
        <v>103</v>
      </c>
      <c r="C1174" s="5">
        <v>144885</v>
      </c>
      <c r="D1174" s="5" t="str">
        <f>_xlfn.XLOOKUP(fRealizado5[[#This Row],[Conta]],'Plano de Contas'!A:A,'Plano de Contas'!C:C)</f>
        <v>(+) RECEITA BRUTA</v>
      </c>
      <c r="E1174" s="5" t="str">
        <f>_xlfn.XLOOKUP(fRealizado5[[#This Row],[Conta]],'Plano de Contas'!A:A,'Plano de Contas'!D:D)</f>
        <v>02 - Outras Receitas</v>
      </c>
    </row>
    <row r="1175" spans="1:5" hidden="1" x14ac:dyDescent="0.25">
      <c r="A1175" s="23">
        <f t="shared" si="16"/>
        <v>43709</v>
      </c>
      <c r="B1175" s="5" t="s">
        <v>104</v>
      </c>
      <c r="C1175" s="5">
        <v>65479</v>
      </c>
      <c r="D1175" s="5" t="str">
        <f>_xlfn.XLOOKUP(fRealizado5[[#This Row],[Conta]],'Plano de Contas'!A:A,'Plano de Contas'!C:C)</f>
        <v>(+) RECEITA BRUTA</v>
      </c>
      <c r="E1175" s="5" t="str">
        <f>_xlfn.XLOOKUP(fRealizado5[[#This Row],[Conta]],'Plano de Contas'!A:A,'Plano de Contas'!D:D)</f>
        <v>02 - Outras Receitas</v>
      </c>
    </row>
    <row r="1176" spans="1:5" hidden="1" x14ac:dyDescent="0.25">
      <c r="A1176" s="23">
        <f t="shared" si="16"/>
        <v>43709</v>
      </c>
      <c r="B1176" s="5" t="s">
        <v>105</v>
      </c>
      <c r="C1176" s="5">
        <v>172377</v>
      </c>
      <c r="D1176" s="5" t="str">
        <f>_xlfn.XLOOKUP(fRealizado5[[#This Row],[Conta]],'Plano de Contas'!A:A,'Plano de Contas'!C:C)</f>
        <v>(+) RECEITA BRUTA</v>
      </c>
      <c r="E1176" s="5" t="str">
        <f>_xlfn.XLOOKUP(fRealizado5[[#This Row],[Conta]],'Plano de Contas'!A:A,'Plano de Contas'!D:D)</f>
        <v>02 - Outras Receitas</v>
      </c>
    </row>
    <row r="1177" spans="1:5" hidden="1" x14ac:dyDescent="0.25">
      <c r="A1177" s="23">
        <f t="shared" si="16"/>
        <v>43709</v>
      </c>
      <c r="B1177" s="5" t="s">
        <v>106</v>
      </c>
      <c r="C1177" s="5">
        <v>283708</v>
      </c>
      <c r="D1177" s="5" t="str">
        <f>_xlfn.XLOOKUP(fRealizado5[[#This Row],[Conta]],'Plano de Contas'!A:A,'Plano de Contas'!C:C)</f>
        <v>(+) RECEITA BRUTA</v>
      </c>
      <c r="E1177" s="5" t="str">
        <f>_xlfn.XLOOKUP(fRealizado5[[#This Row],[Conta]],'Plano de Contas'!A:A,'Plano de Contas'!D:D)</f>
        <v>02 - Outras Receitas</v>
      </c>
    </row>
    <row r="1178" spans="1:5" hidden="1" x14ac:dyDescent="0.25">
      <c r="A1178" s="23">
        <f t="shared" si="16"/>
        <v>43709</v>
      </c>
      <c r="B1178" s="5" t="s">
        <v>107</v>
      </c>
      <c r="C1178" s="5">
        <v>235803</v>
      </c>
      <c r="D1178" s="5" t="str">
        <f>_xlfn.XLOOKUP(fRealizado5[[#This Row],[Conta]],'Plano de Contas'!A:A,'Plano de Contas'!C:C)</f>
        <v>(+) RECEITA BRUTA</v>
      </c>
      <c r="E1178" s="5" t="str">
        <f>_xlfn.XLOOKUP(fRealizado5[[#This Row],[Conta]],'Plano de Contas'!A:A,'Plano de Contas'!D:D)</f>
        <v>02 - Outras Receitas</v>
      </c>
    </row>
    <row r="1179" spans="1:5" hidden="1" x14ac:dyDescent="0.25">
      <c r="A1179" s="23">
        <f t="shared" si="16"/>
        <v>43709</v>
      </c>
      <c r="B1179" s="5" t="s">
        <v>108</v>
      </c>
      <c r="C1179" s="5">
        <v>258966</v>
      </c>
      <c r="D1179" s="5" t="str">
        <f>_xlfn.XLOOKUP(fRealizado5[[#This Row],[Conta]],'Plano de Contas'!A:A,'Plano de Contas'!C:C)</f>
        <v>(+) RECEITA BRUTA</v>
      </c>
      <c r="E1179" s="5" t="str">
        <f>_xlfn.XLOOKUP(fRealizado5[[#This Row],[Conta]],'Plano de Contas'!A:A,'Plano de Contas'!D:D)</f>
        <v>02 - Outras Receitas</v>
      </c>
    </row>
    <row r="1180" spans="1:5" hidden="1" x14ac:dyDescent="0.25">
      <c r="A1180" s="23">
        <f t="shared" si="16"/>
        <v>43709</v>
      </c>
      <c r="B1180" s="5" t="s">
        <v>109</v>
      </c>
      <c r="C1180" s="5">
        <v>53536</v>
      </c>
      <c r="D1180" s="5" t="str">
        <f>_xlfn.XLOOKUP(fRealizado5[[#This Row],[Conta]],'Plano de Contas'!A:A,'Plano de Contas'!C:C)</f>
        <v>(+) RECEITA BRUTA</v>
      </c>
      <c r="E1180" s="5" t="str">
        <f>_xlfn.XLOOKUP(fRealizado5[[#This Row],[Conta]],'Plano de Contas'!A:A,'Plano de Contas'!D:D)</f>
        <v>02 - Outras Receitas</v>
      </c>
    </row>
    <row r="1181" spans="1:5" hidden="1" x14ac:dyDescent="0.25">
      <c r="A1181" s="23">
        <f t="shared" si="16"/>
        <v>43709</v>
      </c>
      <c r="B1181" s="5" t="s">
        <v>110</v>
      </c>
      <c r="C1181" s="5">
        <v>-7477</v>
      </c>
      <c r="D1181" s="5" t="str">
        <f>_xlfn.XLOOKUP(fRealizado5[[#This Row],[Conta]],'Plano de Contas'!A:A,'Plano de Contas'!C:C)</f>
        <v>(-) Deduções da Receita</v>
      </c>
      <c r="E1181" s="5" t="str">
        <f>_xlfn.XLOOKUP(fRealizado5[[#This Row],[Conta]],'Plano de Contas'!A:A,'Plano de Contas'!D:D)</f>
        <v>03 - Devoluções de Produtos</v>
      </c>
    </row>
    <row r="1182" spans="1:5" hidden="1" x14ac:dyDescent="0.25">
      <c r="A1182" s="23">
        <f t="shared" si="16"/>
        <v>43709</v>
      </c>
      <c r="B1182" s="5" t="s">
        <v>111</v>
      </c>
      <c r="C1182" s="5">
        <v>-4599</v>
      </c>
      <c r="D1182" s="5" t="str">
        <f>_xlfn.XLOOKUP(fRealizado5[[#This Row],[Conta]],'Plano de Contas'!A:A,'Plano de Contas'!C:C)</f>
        <v>(-) Deduções da Receita</v>
      </c>
      <c r="E1182" s="5" t="str">
        <f>_xlfn.XLOOKUP(fRealizado5[[#This Row],[Conta]],'Plano de Contas'!A:A,'Plano de Contas'!D:D)</f>
        <v>03 - Devoluções de Produtos</v>
      </c>
    </row>
    <row r="1183" spans="1:5" hidden="1" x14ac:dyDescent="0.25">
      <c r="A1183" s="23">
        <f t="shared" si="16"/>
        <v>43709</v>
      </c>
      <c r="B1183" s="5" t="s">
        <v>112</v>
      </c>
      <c r="C1183" s="5">
        <v>-7888</v>
      </c>
      <c r="D1183" s="5" t="str">
        <f>_xlfn.XLOOKUP(fRealizado5[[#This Row],[Conta]],'Plano de Contas'!A:A,'Plano de Contas'!C:C)</f>
        <v>(-) Deduções da Receita</v>
      </c>
      <c r="E1183" s="5" t="str">
        <f>_xlfn.XLOOKUP(fRealizado5[[#This Row],[Conta]],'Plano de Contas'!A:A,'Plano de Contas'!D:D)</f>
        <v>03 - Devoluções de Produtos</v>
      </c>
    </row>
    <row r="1184" spans="1:5" hidden="1" x14ac:dyDescent="0.25">
      <c r="A1184" s="23">
        <f t="shared" si="16"/>
        <v>43709</v>
      </c>
      <c r="B1184" s="5" t="s">
        <v>113</v>
      </c>
      <c r="C1184" s="5">
        <v>-2658</v>
      </c>
      <c r="D1184" s="5" t="str">
        <f>_xlfn.XLOOKUP(fRealizado5[[#This Row],[Conta]],'Plano de Contas'!A:A,'Plano de Contas'!C:C)</f>
        <v>(-) Deduções da Receita</v>
      </c>
      <c r="E1184" s="5" t="str">
        <f>_xlfn.XLOOKUP(fRealizado5[[#This Row],[Conta]],'Plano de Contas'!A:A,'Plano de Contas'!D:D)</f>
        <v>03 - Devoluções de Produtos</v>
      </c>
    </row>
    <row r="1185" spans="1:5" hidden="1" x14ac:dyDescent="0.25">
      <c r="A1185" s="23">
        <f t="shared" si="16"/>
        <v>43709</v>
      </c>
      <c r="B1185" s="5" t="s">
        <v>114</v>
      </c>
      <c r="C1185" s="5">
        <v>-6077</v>
      </c>
      <c r="D1185" s="5" t="str">
        <f>_xlfn.XLOOKUP(fRealizado5[[#This Row],[Conta]],'Plano de Contas'!A:A,'Plano de Contas'!C:C)</f>
        <v>(-) Deduções da Receita</v>
      </c>
      <c r="E1185" s="5" t="str">
        <f>_xlfn.XLOOKUP(fRealizado5[[#This Row],[Conta]],'Plano de Contas'!A:A,'Plano de Contas'!D:D)</f>
        <v>03 - Devoluções de Produtos</v>
      </c>
    </row>
    <row r="1186" spans="1:5" hidden="1" x14ac:dyDescent="0.25">
      <c r="A1186" s="23">
        <f t="shared" si="16"/>
        <v>43709</v>
      </c>
      <c r="B1186" s="5" t="s">
        <v>115</v>
      </c>
      <c r="C1186" s="5">
        <v>-8923</v>
      </c>
      <c r="D1186" s="5" t="str">
        <f>_xlfn.XLOOKUP(fRealizado5[[#This Row],[Conta]],'Plano de Contas'!A:A,'Plano de Contas'!C:C)</f>
        <v>(-) Deduções da Receita</v>
      </c>
      <c r="E1186" s="5" t="str">
        <f>_xlfn.XLOOKUP(fRealizado5[[#This Row],[Conta]],'Plano de Contas'!A:A,'Plano de Contas'!D:D)</f>
        <v>03 - Devoluções de Produtos</v>
      </c>
    </row>
    <row r="1187" spans="1:5" hidden="1" x14ac:dyDescent="0.25">
      <c r="A1187" s="23">
        <f t="shared" si="16"/>
        <v>43709</v>
      </c>
      <c r="B1187" s="5" t="s">
        <v>116</v>
      </c>
      <c r="C1187" s="5">
        <v>-4771</v>
      </c>
      <c r="D1187" s="5" t="str">
        <f>_xlfn.XLOOKUP(fRealizado5[[#This Row],[Conta]],'Plano de Contas'!A:A,'Plano de Contas'!C:C)</f>
        <v>(-) Deduções da Receita</v>
      </c>
      <c r="E1187" s="5" t="str">
        <f>_xlfn.XLOOKUP(fRealizado5[[#This Row],[Conta]],'Plano de Contas'!A:A,'Plano de Contas'!D:D)</f>
        <v>03 - Devoluções de Produtos</v>
      </c>
    </row>
    <row r="1188" spans="1:5" hidden="1" x14ac:dyDescent="0.25">
      <c r="A1188" s="23">
        <f t="shared" si="16"/>
        <v>43709</v>
      </c>
      <c r="B1188" s="5" t="s">
        <v>117</v>
      </c>
      <c r="C1188" s="5">
        <v>-2063</v>
      </c>
      <c r="D1188" s="5" t="str">
        <f>_xlfn.XLOOKUP(fRealizado5[[#This Row],[Conta]],'Plano de Contas'!A:A,'Plano de Contas'!C:C)</f>
        <v>(-) Deduções da Receita</v>
      </c>
      <c r="E1188" s="5" t="str">
        <f>_xlfn.XLOOKUP(fRealizado5[[#This Row],[Conta]],'Plano de Contas'!A:A,'Plano de Contas'!D:D)</f>
        <v>03 - Devoluções de Produtos</v>
      </c>
    </row>
    <row r="1189" spans="1:5" hidden="1" x14ac:dyDescent="0.25">
      <c r="A1189" s="23">
        <f t="shared" si="16"/>
        <v>43709</v>
      </c>
      <c r="B1189" s="5" t="s">
        <v>118</v>
      </c>
      <c r="C1189" s="5">
        <v>-1289</v>
      </c>
      <c r="D1189" s="5" t="str">
        <f>_xlfn.XLOOKUP(fRealizado5[[#This Row],[Conta]],'Plano de Contas'!A:A,'Plano de Contas'!C:C)</f>
        <v>(-) Deduções da Receita</v>
      </c>
      <c r="E1189" s="5" t="str">
        <f>_xlfn.XLOOKUP(fRealizado5[[#This Row],[Conta]],'Plano de Contas'!A:A,'Plano de Contas'!D:D)</f>
        <v>03 - Devoluções de Produtos</v>
      </c>
    </row>
    <row r="1190" spans="1:5" hidden="1" x14ac:dyDescent="0.25">
      <c r="A1190" s="23">
        <f t="shared" si="16"/>
        <v>43709</v>
      </c>
      <c r="B1190" s="5" t="s">
        <v>119</v>
      </c>
      <c r="C1190" s="5">
        <v>-7097</v>
      </c>
      <c r="D1190" s="5" t="str">
        <f>_xlfn.XLOOKUP(fRealizado5[[#This Row],[Conta]],'Plano de Contas'!A:A,'Plano de Contas'!C:C)</f>
        <v>(-) Deduções da Receita</v>
      </c>
      <c r="E1190" s="5" t="str">
        <f>_xlfn.XLOOKUP(fRealizado5[[#This Row],[Conta]],'Plano de Contas'!A:A,'Plano de Contas'!D:D)</f>
        <v>03 - Devoluções de Produtos</v>
      </c>
    </row>
    <row r="1191" spans="1:5" hidden="1" x14ac:dyDescent="0.25">
      <c r="A1191" s="23">
        <f t="shared" si="16"/>
        <v>43709</v>
      </c>
      <c r="B1191" s="5" t="s">
        <v>120</v>
      </c>
      <c r="C1191" s="5">
        <v>-7223</v>
      </c>
      <c r="D1191" s="5" t="str">
        <f>_xlfn.XLOOKUP(fRealizado5[[#This Row],[Conta]],'Plano de Contas'!A:A,'Plano de Contas'!C:C)</f>
        <v>(-) Deduções da Receita</v>
      </c>
      <c r="E1191" s="5" t="str">
        <f>_xlfn.XLOOKUP(fRealizado5[[#This Row],[Conta]],'Plano de Contas'!A:A,'Plano de Contas'!D:D)</f>
        <v>03 - Devoluções de Produtos</v>
      </c>
    </row>
    <row r="1192" spans="1:5" hidden="1" x14ac:dyDescent="0.25">
      <c r="A1192" s="23">
        <f t="shared" si="16"/>
        <v>43709</v>
      </c>
      <c r="B1192" s="5" t="s">
        <v>121</v>
      </c>
      <c r="C1192" s="5">
        <v>-6401</v>
      </c>
      <c r="D1192" s="5" t="str">
        <f>_xlfn.XLOOKUP(fRealizado5[[#This Row],[Conta]],'Plano de Contas'!A:A,'Plano de Contas'!C:C)</f>
        <v>(-) Deduções da Receita</v>
      </c>
      <c r="E1192" s="5" t="str">
        <f>_xlfn.XLOOKUP(fRealizado5[[#This Row],[Conta]],'Plano de Contas'!A:A,'Plano de Contas'!D:D)</f>
        <v>03 - Devoluções de Produtos</v>
      </c>
    </row>
    <row r="1193" spans="1:5" hidden="1" x14ac:dyDescent="0.25">
      <c r="A1193" s="23">
        <f t="shared" si="16"/>
        <v>43709</v>
      </c>
      <c r="B1193" s="5" t="s">
        <v>122</v>
      </c>
      <c r="C1193" s="5">
        <v>-6253</v>
      </c>
      <c r="D1193" s="5" t="str">
        <f>_xlfn.XLOOKUP(fRealizado5[[#This Row],[Conta]],'Plano de Contas'!A:A,'Plano de Contas'!C:C)</f>
        <v>(-) Deduções da Receita</v>
      </c>
      <c r="E1193" s="5" t="str">
        <f>_xlfn.XLOOKUP(fRealizado5[[#This Row],[Conta]],'Plano de Contas'!A:A,'Plano de Contas'!D:D)</f>
        <v>03 - Devoluções de Produtos</v>
      </c>
    </row>
    <row r="1194" spans="1:5" hidden="1" x14ac:dyDescent="0.25">
      <c r="A1194" s="23">
        <f t="shared" si="16"/>
        <v>43709</v>
      </c>
      <c r="B1194" s="5" t="s">
        <v>123</v>
      </c>
      <c r="C1194" s="5">
        <v>-5330</v>
      </c>
      <c r="D1194" s="5" t="str">
        <f>_xlfn.XLOOKUP(fRealizado5[[#This Row],[Conta]],'Plano de Contas'!A:A,'Plano de Contas'!C:C)</f>
        <v>(-) Deduções da Receita</v>
      </c>
      <c r="E1194" s="5" t="str">
        <f>_xlfn.XLOOKUP(fRealizado5[[#This Row],[Conta]],'Plano de Contas'!A:A,'Plano de Contas'!D:D)</f>
        <v>03 - Devoluções de Produtos</v>
      </c>
    </row>
    <row r="1195" spans="1:5" hidden="1" x14ac:dyDescent="0.25">
      <c r="A1195" s="23">
        <f t="shared" si="16"/>
        <v>43709</v>
      </c>
      <c r="B1195" s="5" t="s">
        <v>124</v>
      </c>
      <c r="C1195" s="5">
        <v>-2448</v>
      </c>
      <c r="D1195" s="5" t="str">
        <f>_xlfn.XLOOKUP(fRealizado5[[#This Row],[Conta]],'Plano de Contas'!A:A,'Plano de Contas'!C:C)</f>
        <v>(-) Deduções da Receita</v>
      </c>
      <c r="E1195" s="5" t="str">
        <f>_xlfn.XLOOKUP(fRealizado5[[#This Row],[Conta]],'Plano de Contas'!A:A,'Plano de Contas'!D:D)</f>
        <v>03 - Devoluções de Produtos</v>
      </c>
    </row>
    <row r="1196" spans="1:5" hidden="1" x14ac:dyDescent="0.25">
      <c r="A1196" s="23">
        <f t="shared" si="16"/>
        <v>43709</v>
      </c>
      <c r="B1196" s="5" t="s">
        <v>125</v>
      </c>
      <c r="C1196" s="5">
        <v>-1898</v>
      </c>
      <c r="D1196" s="5" t="str">
        <f>_xlfn.XLOOKUP(fRealizado5[[#This Row],[Conta]],'Plano de Contas'!A:A,'Plano de Contas'!C:C)</f>
        <v>(-) Deduções da Receita</v>
      </c>
      <c r="E1196" s="5" t="str">
        <f>_xlfn.XLOOKUP(fRealizado5[[#This Row],[Conta]],'Plano de Contas'!A:A,'Plano de Contas'!D:D)</f>
        <v>03 - Devoluções de Produtos</v>
      </c>
    </row>
    <row r="1197" spans="1:5" hidden="1" x14ac:dyDescent="0.25">
      <c r="A1197" s="23">
        <f t="shared" si="16"/>
        <v>43709</v>
      </c>
      <c r="B1197" s="5" t="s">
        <v>126</v>
      </c>
      <c r="C1197" s="5">
        <v>-8139</v>
      </c>
      <c r="D1197" s="5" t="str">
        <f>_xlfn.XLOOKUP(fRealizado5[[#This Row],[Conta]],'Plano de Contas'!A:A,'Plano de Contas'!C:C)</f>
        <v>(-) Deduções da Receita</v>
      </c>
      <c r="E1197" s="5" t="str">
        <f>_xlfn.XLOOKUP(fRealizado5[[#This Row],[Conta]],'Plano de Contas'!A:A,'Plano de Contas'!D:D)</f>
        <v>03 - Devoluções de Produtos</v>
      </c>
    </row>
    <row r="1198" spans="1:5" hidden="1" x14ac:dyDescent="0.25">
      <c r="A1198" s="23">
        <f t="shared" si="16"/>
        <v>43709</v>
      </c>
      <c r="B1198" s="5" t="s">
        <v>127</v>
      </c>
      <c r="C1198" s="5">
        <v>-3306</v>
      </c>
      <c r="D1198" s="5" t="str">
        <f>_xlfn.XLOOKUP(fRealizado5[[#This Row],[Conta]],'Plano de Contas'!A:A,'Plano de Contas'!C:C)</f>
        <v>(-) Deduções da Receita</v>
      </c>
      <c r="E1198" s="5" t="str">
        <f>_xlfn.XLOOKUP(fRealizado5[[#This Row],[Conta]],'Plano de Contas'!A:A,'Plano de Contas'!D:D)</f>
        <v>03 - Devoluções de Produtos</v>
      </c>
    </row>
    <row r="1199" spans="1:5" hidden="1" x14ac:dyDescent="0.25">
      <c r="A1199" s="23">
        <f t="shared" si="16"/>
        <v>43709</v>
      </c>
      <c r="B1199" s="5" t="s">
        <v>128</v>
      </c>
      <c r="C1199" s="5">
        <v>-5020</v>
      </c>
      <c r="D1199" s="5" t="str">
        <f>_xlfn.XLOOKUP(fRealizado5[[#This Row],[Conta]],'Plano de Contas'!A:A,'Plano de Contas'!C:C)</f>
        <v>(-) Deduções da Receita</v>
      </c>
      <c r="E1199" s="5" t="str">
        <f>_xlfn.XLOOKUP(fRealizado5[[#This Row],[Conta]],'Plano de Contas'!A:A,'Plano de Contas'!D:D)</f>
        <v>03 - Devoluções de Produtos</v>
      </c>
    </row>
    <row r="1200" spans="1:5" hidden="1" x14ac:dyDescent="0.25">
      <c r="A1200" s="23">
        <f t="shared" si="16"/>
        <v>43709</v>
      </c>
      <c r="B1200" s="5" t="s">
        <v>129</v>
      </c>
      <c r="C1200" s="5">
        <v>-8467</v>
      </c>
      <c r="D1200" s="5" t="str">
        <f>_xlfn.XLOOKUP(fRealizado5[[#This Row],[Conta]],'Plano de Contas'!A:A,'Plano de Contas'!C:C)</f>
        <v>(-) Deduções da Receita</v>
      </c>
      <c r="E1200" s="5" t="str">
        <f>_xlfn.XLOOKUP(fRealizado5[[#This Row],[Conta]],'Plano de Contas'!A:A,'Plano de Contas'!D:D)</f>
        <v>03 - Devoluções de Produtos</v>
      </c>
    </row>
    <row r="1201" spans="1:5" hidden="1" x14ac:dyDescent="0.25">
      <c r="A1201" s="23">
        <f t="shared" si="16"/>
        <v>43709</v>
      </c>
      <c r="B1201" s="5" t="s">
        <v>130</v>
      </c>
      <c r="C1201" s="5">
        <v>-4536</v>
      </c>
      <c r="D1201" s="5" t="str">
        <f>_xlfn.XLOOKUP(fRealizado5[[#This Row],[Conta]],'Plano de Contas'!A:A,'Plano de Contas'!C:C)</f>
        <v>(-) Deduções da Receita</v>
      </c>
      <c r="E1201" s="5" t="str">
        <f>_xlfn.XLOOKUP(fRealizado5[[#This Row],[Conta]],'Plano de Contas'!A:A,'Plano de Contas'!D:D)</f>
        <v>03 - Devoluções de Produtos</v>
      </c>
    </row>
    <row r="1202" spans="1:5" hidden="1" x14ac:dyDescent="0.25">
      <c r="A1202" s="23">
        <f t="shared" si="16"/>
        <v>43709</v>
      </c>
      <c r="B1202" s="5" t="s">
        <v>131</v>
      </c>
      <c r="C1202" s="5">
        <v>-2590</v>
      </c>
      <c r="D1202" s="5" t="str">
        <f>_xlfn.XLOOKUP(fRealizado5[[#This Row],[Conta]],'Plano de Contas'!A:A,'Plano de Contas'!C:C)</f>
        <v>(-) Deduções da Receita</v>
      </c>
      <c r="E1202" s="5" t="str">
        <f>_xlfn.XLOOKUP(fRealizado5[[#This Row],[Conta]],'Plano de Contas'!A:A,'Plano de Contas'!D:D)</f>
        <v>03 - Devoluções de Produtos</v>
      </c>
    </row>
    <row r="1203" spans="1:5" hidden="1" x14ac:dyDescent="0.25">
      <c r="A1203" s="23">
        <f t="shared" si="16"/>
        <v>43709</v>
      </c>
      <c r="B1203" s="5" t="s">
        <v>132</v>
      </c>
      <c r="C1203" s="5">
        <v>-6480</v>
      </c>
      <c r="D1203" s="5" t="str">
        <f>_xlfn.XLOOKUP(fRealizado5[[#This Row],[Conta]],'Plano de Contas'!A:A,'Plano de Contas'!C:C)</f>
        <v>(-) Deduções da Receita</v>
      </c>
      <c r="E1203" s="5" t="str">
        <f>_xlfn.XLOOKUP(fRealizado5[[#This Row],[Conta]],'Plano de Contas'!A:A,'Plano de Contas'!D:D)</f>
        <v>03 - Devoluções de Produtos</v>
      </c>
    </row>
    <row r="1204" spans="1:5" hidden="1" x14ac:dyDescent="0.25">
      <c r="A1204" s="23">
        <f t="shared" si="16"/>
        <v>43709</v>
      </c>
      <c r="B1204" s="5" t="s">
        <v>133</v>
      </c>
      <c r="C1204" s="5">
        <v>-3789</v>
      </c>
      <c r="D1204" s="5" t="str">
        <f>_xlfn.XLOOKUP(fRealizado5[[#This Row],[Conta]],'Plano de Contas'!A:A,'Plano de Contas'!C:C)</f>
        <v>(-) Deduções da Receita</v>
      </c>
      <c r="E1204" s="5" t="str">
        <f>_xlfn.XLOOKUP(fRealizado5[[#This Row],[Conta]],'Plano de Contas'!A:A,'Plano de Contas'!D:D)</f>
        <v>03 - Devoluções de Produtos</v>
      </c>
    </row>
    <row r="1205" spans="1:5" hidden="1" x14ac:dyDescent="0.25">
      <c r="A1205" s="23">
        <f t="shared" si="16"/>
        <v>43709</v>
      </c>
      <c r="B1205" s="5" t="s">
        <v>134</v>
      </c>
      <c r="C1205" s="5">
        <v>-7598</v>
      </c>
      <c r="D1205" s="5" t="str">
        <f>_xlfn.XLOOKUP(fRealizado5[[#This Row],[Conta]],'Plano de Contas'!A:A,'Plano de Contas'!C:C)</f>
        <v>(-) Deduções da Receita</v>
      </c>
      <c r="E1205" s="5" t="str">
        <f>_xlfn.XLOOKUP(fRealizado5[[#This Row],[Conta]],'Plano de Contas'!A:A,'Plano de Contas'!D:D)</f>
        <v>03 - Devoluções de Produtos</v>
      </c>
    </row>
    <row r="1206" spans="1:5" hidden="1" x14ac:dyDescent="0.25">
      <c r="A1206" s="23">
        <f t="shared" si="16"/>
        <v>43709</v>
      </c>
      <c r="B1206" s="5" t="s">
        <v>135</v>
      </c>
      <c r="C1206" s="5">
        <v>-2142</v>
      </c>
      <c r="D1206" s="5" t="str">
        <f>_xlfn.XLOOKUP(fRealizado5[[#This Row],[Conta]],'Plano de Contas'!A:A,'Plano de Contas'!C:C)</f>
        <v>(-) Deduções da Receita</v>
      </c>
      <c r="E1206" s="5" t="str">
        <f>_xlfn.XLOOKUP(fRealizado5[[#This Row],[Conta]],'Plano de Contas'!A:A,'Plano de Contas'!D:D)</f>
        <v>03 - Devoluções de Produtos</v>
      </c>
    </row>
    <row r="1207" spans="1:5" hidden="1" x14ac:dyDescent="0.25">
      <c r="A1207" s="23">
        <f t="shared" si="16"/>
        <v>43709</v>
      </c>
      <c r="B1207" s="5" t="s">
        <v>136</v>
      </c>
      <c r="C1207" s="5">
        <v>-8410</v>
      </c>
      <c r="D1207" s="5" t="str">
        <f>_xlfn.XLOOKUP(fRealizado5[[#This Row],[Conta]],'Plano de Contas'!A:A,'Plano de Contas'!C:C)</f>
        <v>(-) Deduções da Receita</v>
      </c>
      <c r="E1207" s="5" t="str">
        <f>_xlfn.XLOOKUP(fRealizado5[[#This Row],[Conta]],'Plano de Contas'!A:A,'Plano de Contas'!D:D)</f>
        <v>04 - Taxas de Serviço</v>
      </c>
    </row>
    <row r="1208" spans="1:5" hidden="1" x14ac:dyDescent="0.25">
      <c r="A1208" s="23">
        <f t="shared" si="16"/>
        <v>43709</v>
      </c>
      <c r="B1208" s="5" t="s">
        <v>137</v>
      </c>
      <c r="C1208" s="5">
        <v>-8516</v>
      </c>
      <c r="D1208" s="5" t="str">
        <f>_xlfn.XLOOKUP(fRealizado5[[#This Row],[Conta]],'Plano de Contas'!A:A,'Plano de Contas'!C:C)</f>
        <v>(-) Deduções da Receita</v>
      </c>
      <c r="E1208" s="5" t="str">
        <f>_xlfn.XLOOKUP(fRealizado5[[#This Row],[Conta]],'Plano de Contas'!A:A,'Plano de Contas'!D:D)</f>
        <v>04 - Taxas de Serviço</v>
      </c>
    </row>
    <row r="1209" spans="1:5" hidden="1" x14ac:dyDescent="0.25">
      <c r="A1209" s="23">
        <f t="shared" si="16"/>
        <v>43709</v>
      </c>
      <c r="B1209" s="5" t="s">
        <v>138</v>
      </c>
      <c r="C1209" s="5">
        <v>-6571</v>
      </c>
      <c r="D1209" s="5" t="str">
        <f>_xlfn.XLOOKUP(fRealizado5[[#This Row],[Conta]],'Plano de Contas'!A:A,'Plano de Contas'!C:C)</f>
        <v>(-) Deduções da Receita</v>
      </c>
      <c r="E1209" s="5" t="str">
        <f>_xlfn.XLOOKUP(fRealizado5[[#This Row],[Conta]],'Plano de Contas'!A:A,'Plano de Contas'!D:D)</f>
        <v>04 - Taxas de Serviço</v>
      </c>
    </row>
    <row r="1210" spans="1:5" hidden="1" x14ac:dyDescent="0.25">
      <c r="A1210" s="23">
        <f t="shared" ref="A1210:A1222" si="17">EDATE(A1070,1)</f>
        <v>43709</v>
      </c>
      <c r="B1210" s="5" t="s">
        <v>139</v>
      </c>
      <c r="C1210" s="5">
        <v>-9706</v>
      </c>
      <c r="D1210" s="5" t="str">
        <f>_xlfn.XLOOKUP(fRealizado5[[#This Row],[Conta]],'Plano de Contas'!A:A,'Plano de Contas'!C:C)</f>
        <v>(-) Deduções da Receita</v>
      </c>
      <c r="E1210" s="5" t="str">
        <f>_xlfn.XLOOKUP(fRealizado5[[#This Row],[Conta]],'Plano de Contas'!A:A,'Plano de Contas'!D:D)</f>
        <v>04 - Taxas de Serviço</v>
      </c>
    </row>
    <row r="1211" spans="1:5" hidden="1" x14ac:dyDescent="0.25">
      <c r="A1211" s="23">
        <f t="shared" si="17"/>
        <v>43709</v>
      </c>
      <c r="B1211" s="5" t="s">
        <v>140</v>
      </c>
      <c r="C1211" s="5">
        <v>-135430</v>
      </c>
      <c r="D1211" s="5" t="str">
        <f>_xlfn.XLOOKUP(fRealizado5[[#This Row],[Conta]],'Plano de Contas'!A:A,'Plano de Contas'!C:C)</f>
        <v>(-) Custos de Vendas</v>
      </c>
      <c r="E1211" s="5" t="str">
        <f>_xlfn.XLOOKUP(fRealizado5[[#This Row],[Conta]],'Plano de Contas'!A:A,'Plano de Contas'!D:D)</f>
        <v>05 - Custo do Produto</v>
      </c>
    </row>
    <row r="1212" spans="1:5" hidden="1" x14ac:dyDescent="0.25">
      <c r="A1212" s="23">
        <f t="shared" si="17"/>
        <v>43709</v>
      </c>
      <c r="B1212" s="5" t="s">
        <v>141</v>
      </c>
      <c r="C1212" s="5">
        <v>-150438</v>
      </c>
      <c r="D1212" s="5" t="str">
        <f>_xlfn.XLOOKUP(fRealizado5[[#This Row],[Conta]],'Plano de Contas'!A:A,'Plano de Contas'!C:C)</f>
        <v>(-) Custos de Vendas</v>
      </c>
      <c r="E1212" s="5" t="str">
        <f>_xlfn.XLOOKUP(fRealizado5[[#This Row],[Conta]],'Plano de Contas'!A:A,'Plano de Contas'!D:D)</f>
        <v>05 - Custo do Produto</v>
      </c>
    </row>
    <row r="1213" spans="1:5" hidden="1" x14ac:dyDescent="0.25">
      <c r="A1213" s="23">
        <f t="shared" si="17"/>
        <v>43709</v>
      </c>
      <c r="B1213" s="5" t="s">
        <v>142</v>
      </c>
      <c r="C1213" s="5">
        <v>-199950</v>
      </c>
      <c r="D1213" s="5" t="str">
        <f>_xlfn.XLOOKUP(fRealizado5[[#This Row],[Conta]],'Plano de Contas'!A:A,'Plano de Contas'!C:C)</f>
        <v>(-) Custos de Vendas</v>
      </c>
      <c r="E1213" s="5" t="str">
        <f>_xlfn.XLOOKUP(fRealizado5[[#This Row],[Conta]],'Plano de Contas'!A:A,'Plano de Contas'!D:D)</f>
        <v>05 - Custo do Produto</v>
      </c>
    </row>
    <row r="1214" spans="1:5" hidden="1" x14ac:dyDescent="0.25">
      <c r="A1214" s="23">
        <f t="shared" si="17"/>
        <v>43709</v>
      </c>
      <c r="B1214" s="5" t="s">
        <v>143</v>
      </c>
      <c r="C1214" s="5">
        <v>-243812</v>
      </c>
      <c r="D1214" s="5" t="str">
        <f>_xlfn.XLOOKUP(fRealizado5[[#This Row],[Conta]],'Plano de Contas'!A:A,'Plano de Contas'!C:C)</f>
        <v>(-) Custos de Vendas</v>
      </c>
      <c r="E1214" s="5" t="str">
        <f>_xlfn.XLOOKUP(fRealizado5[[#This Row],[Conta]],'Plano de Contas'!A:A,'Plano de Contas'!D:D)</f>
        <v>05 - Custo do Produto</v>
      </c>
    </row>
    <row r="1215" spans="1:5" hidden="1" x14ac:dyDescent="0.25">
      <c r="A1215" s="23">
        <f t="shared" si="17"/>
        <v>43709</v>
      </c>
      <c r="B1215" s="5" t="s">
        <v>144</v>
      </c>
      <c r="C1215" s="5">
        <v>-277383</v>
      </c>
      <c r="D1215" s="5" t="str">
        <f>_xlfn.XLOOKUP(fRealizado5[[#This Row],[Conta]],'Plano de Contas'!A:A,'Plano de Contas'!C:C)</f>
        <v>(-) Custos de Vendas</v>
      </c>
      <c r="E1215" s="5" t="str">
        <f>_xlfn.XLOOKUP(fRealizado5[[#This Row],[Conta]],'Plano de Contas'!A:A,'Plano de Contas'!D:D)</f>
        <v>05 - Custo do Produto</v>
      </c>
    </row>
    <row r="1216" spans="1:5" hidden="1" x14ac:dyDescent="0.25">
      <c r="A1216" s="23">
        <f t="shared" si="17"/>
        <v>43709</v>
      </c>
      <c r="B1216" s="5" t="s">
        <v>145</v>
      </c>
      <c r="C1216" s="5">
        <v>-160598</v>
      </c>
      <c r="D1216" s="5" t="str">
        <f>_xlfn.XLOOKUP(fRealizado5[[#This Row],[Conta]],'Plano de Contas'!A:A,'Plano de Contas'!C:C)</f>
        <v>(-) Custos de Vendas</v>
      </c>
      <c r="E1216" s="5" t="str">
        <f>_xlfn.XLOOKUP(fRealizado5[[#This Row],[Conta]],'Plano de Contas'!A:A,'Plano de Contas'!D:D)</f>
        <v>05 - Custo do Produto</v>
      </c>
    </row>
    <row r="1217" spans="1:5" hidden="1" x14ac:dyDescent="0.25">
      <c r="A1217" s="23">
        <f t="shared" si="17"/>
        <v>43709</v>
      </c>
      <c r="B1217" s="5" t="s">
        <v>146</v>
      </c>
      <c r="C1217" s="5">
        <v>-161323</v>
      </c>
      <c r="D1217" s="5" t="str">
        <f>_xlfn.XLOOKUP(fRealizado5[[#This Row],[Conta]],'Plano de Contas'!A:A,'Plano de Contas'!C:C)</f>
        <v>(-) Custos de Vendas</v>
      </c>
      <c r="E1217" s="5" t="str">
        <f>_xlfn.XLOOKUP(fRealizado5[[#This Row],[Conta]],'Plano de Contas'!A:A,'Plano de Contas'!D:D)</f>
        <v>05 - Custo do Produto</v>
      </c>
    </row>
    <row r="1218" spans="1:5" hidden="1" x14ac:dyDescent="0.25">
      <c r="A1218" s="23">
        <f t="shared" si="17"/>
        <v>43709</v>
      </c>
      <c r="B1218" s="5" t="s">
        <v>147</v>
      </c>
      <c r="C1218" s="5">
        <v>-83548</v>
      </c>
      <c r="D1218" s="5" t="str">
        <f>_xlfn.XLOOKUP(fRealizado5[[#This Row],[Conta]],'Plano de Contas'!A:A,'Plano de Contas'!C:C)</f>
        <v>(-) Custos de Vendas</v>
      </c>
      <c r="E1218" s="5" t="str">
        <f>_xlfn.XLOOKUP(fRealizado5[[#This Row],[Conta]],'Plano de Contas'!A:A,'Plano de Contas'!D:D)</f>
        <v>05 - Custo do Produto</v>
      </c>
    </row>
    <row r="1219" spans="1:5" hidden="1" x14ac:dyDescent="0.25">
      <c r="A1219" s="23">
        <f t="shared" si="17"/>
        <v>43709</v>
      </c>
      <c r="B1219" s="5" t="s">
        <v>148</v>
      </c>
      <c r="C1219" s="5">
        <v>-265164</v>
      </c>
      <c r="D1219" s="5" t="str">
        <f>_xlfn.XLOOKUP(fRealizado5[[#This Row],[Conta]],'Plano de Contas'!A:A,'Plano de Contas'!C:C)</f>
        <v>(-) Custos de Vendas</v>
      </c>
      <c r="E1219" s="5" t="str">
        <f>_xlfn.XLOOKUP(fRealizado5[[#This Row],[Conta]],'Plano de Contas'!A:A,'Plano de Contas'!D:D)</f>
        <v>05 - Custo do Produto</v>
      </c>
    </row>
    <row r="1220" spans="1:5" hidden="1" x14ac:dyDescent="0.25">
      <c r="A1220" s="23">
        <f t="shared" si="17"/>
        <v>43709</v>
      </c>
      <c r="B1220" s="5" t="s">
        <v>149</v>
      </c>
      <c r="C1220" s="5">
        <v>-131420</v>
      </c>
      <c r="D1220" s="5" t="str">
        <f>_xlfn.XLOOKUP(fRealizado5[[#This Row],[Conta]],'Plano de Contas'!A:A,'Plano de Contas'!C:C)</f>
        <v>(-) Custos de Vendas</v>
      </c>
      <c r="E1220" s="5" t="str">
        <f>_xlfn.XLOOKUP(fRealizado5[[#This Row],[Conta]],'Plano de Contas'!A:A,'Plano de Contas'!D:D)</f>
        <v>05 - Custo do Produto</v>
      </c>
    </row>
    <row r="1221" spans="1:5" hidden="1" x14ac:dyDescent="0.25">
      <c r="A1221" s="23">
        <f t="shared" si="17"/>
        <v>43709</v>
      </c>
      <c r="B1221" s="5" t="s">
        <v>150</v>
      </c>
      <c r="C1221" s="5">
        <v>-283823</v>
      </c>
      <c r="D1221" s="5" t="str">
        <f>_xlfn.XLOOKUP(fRealizado5[[#This Row],[Conta]],'Plano de Contas'!A:A,'Plano de Contas'!C:C)</f>
        <v>(-) Custos de Vendas</v>
      </c>
      <c r="E1221" s="5" t="str">
        <f>_xlfn.XLOOKUP(fRealizado5[[#This Row],[Conta]],'Plano de Contas'!A:A,'Plano de Contas'!D:D)</f>
        <v>05 - Custo do Produto</v>
      </c>
    </row>
    <row r="1222" spans="1:5" hidden="1" x14ac:dyDescent="0.25">
      <c r="A1222" s="23">
        <f t="shared" si="17"/>
        <v>43709</v>
      </c>
      <c r="B1222" s="5" t="s">
        <v>151</v>
      </c>
      <c r="C1222" s="5">
        <v>-163078</v>
      </c>
      <c r="D1222" s="5" t="str">
        <f>_xlfn.XLOOKUP(fRealizado5[[#This Row],[Conta]],'Plano de Contas'!A:A,'Plano de Contas'!C:C)</f>
        <v>(-) Custos de Vendas</v>
      </c>
      <c r="E1222" s="5" t="str">
        <f>_xlfn.XLOOKUP(fRealizado5[[#This Row],[Conta]],'Plano de Contas'!A:A,'Plano de Contas'!D:D)</f>
        <v>05 - Custo do Produto</v>
      </c>
    </row>
    <row r="1223" spans="1:5" hidden="1" x14ac:dyDescent="0.25">
      <c r="A1223" s="23">
        <f>EDATE(A1083,1)</f>
        <v>43709</v>
      </c>
      <c r="B1223" s="5" t="s">
        <v>152</v>
      </c>
      <c r="C1223" s="5">
        <v>-265601</v>
      </c>
      <c r="D1223" s="5" t="str">
        <f>_xlfn.XLOOKUP(fRealizado5[[#This Row],[Conta]],'Plano de Contas'!A:A,'Plano de Contas'!C:C)</f>
        <v>(-) Custos de Vendas</v>
      </c>
      <c r="E1223" s="5" t="str">
        <f>_xlfn.XLOOKUP(fRealizado5[[#This Row],[Conta]],'Plano de Contas'!A:A,'Plano de Contas'!D:D)</f>
        <v>05 - Custo do Produto</v>
      </c>
    </row>
    <row r="1224" spans="1:5" hidden="1" x14ac:dyDescent="0.25">
      <c r="A1224" s="23">
        <f t="shared" ref="A1224:A1287" si="18">EDATE(A1084,1)</f>
        <v>43709</v>
      </c>
      <c r="B1224" s="5" t="s">
        <v>153</v>
      </c>
      <c r="C1224" s="5">
        <v>-212134</v>
      </c>
      <c r="D1224" s="5" t="str">
        <f>_xlfn.XLOOKUP(fRealizado5[[#This Row],[Conta]],'Plano de Contas'!A:A,'Plano de Contas'!C:C)</f>
        <v>(-) Custos de Vendas</v>
      </c>
      <c r="E1224" s="5" t="str">
        <f>_xlfn.XLOOKUP(fRealizado5[[#This Row],[Conta]],'Plano de Contas'!A:A,'Plano de Contas'!D:D)</f>
        <v>05 - Custo do Produto</v>
      </c>
    </row>
    <row r="1225" spans="1:5" hidden="1" x14ac:dyDescent="0.25">
      <c r="A1225" s="23">
        <f t="shared" si="18"/>
        <v>43709</v>
      </c>
      <c r="B1225" s="5" t="s">
        <v>154</v>
      </c>
      <c r="C1225" s="5">
        <v>-85270</v>
      </c>
      <c r="D1225" s="5" t="str">
        <f>_xlfn.XLOOKUP(fRealizado5[[#This Row],[Conta]],'Plano de Contas'!A:A,'Plano de Contas'!C:C)</f>
        <v>(-) Custos de Vendas</v>
      </c>
      <c r="E1225" s="5" t="str">
        <f>_xlfn.XLOOKUP(fRealizado5[[#This Row],[Conta]],'Plano de Contas'!A:A,'Plano de Contas'!D:D)</f>
        <v>05 - Custo do Produto</v>
      </c>
    </row>
    <row r="1226" spans="1:5" hidden="1" x14ac:dyDescent="0.25">
      <c r="A1226" s="23">
        <f t="shared" si="18"/>
        <v>43709</v>
      </c>
      <c r="B1226" s="5" t="s">
        <v>155</v>
      </c>
      <c r="C1226" s="5">
        <v>-244429</v>
      </c>
      <c r="D1226" s="5" t="str">
        <f>_xlfn.XLOOKUP(fRealizado5[[#This Row],[Conta]],'Plano de Contas'!A:A,'Plano de Contas'!C:C)</f>
        <v>(-) Custos de Vendas</v>
      </c>
      <c r="E1226" s="5" t="str">
        <f>_xlfn.XLOOKUP(fRealizado5[[#This Row],[Conta]],'Plano de Contas'!A:A,'Plano de Contas'!D:D)</f>
        <v>05 - Custo do Produto</v>
      </c>
    </row>
    <row r="1227" spans="1:5" hidden="1" x14ac:dyDescent="0.25">
      <c r="A1227" s="23">
        <f t="shared" si="18"/>
        <v>43709</v>
      </c>
      <c r="B1227" s="5" t="s">
        <v>156</v>
      </c>
      <c r="C1227" s="5">
        <v>-256613</v>
      </c>
      <c r="D1227" s="5" t="str">
        <f>_xlfn.XLOOKUP(fRealizado5[[#This Row],[Conta]],'Plano de Contas'!A:A,'Plano de Contas'!C:C)</f>
        <v>(-) Custos de Vendas</v>
      </c>
      <c r="E1227" s="5" t="str">
        <f>_xlfn.XLOOKUP(fRealizado5[[#This Row],[Conta]],'Plano de Contas'!A:A,'Plano de Contas'!D:D)</f>
        <v>05 - Custo do Produto</v>
      </c>
    </row>
    <row r="1228" spans="1:5" hidden="1" x14ac:dyDescent="0.25">
      <c r="A1228" s="23">
        <f t="shared" si="18"/>
        <v>43709</v>
      </c>
      <c r="B1228" s="5" t="s">
        <v>157</v>
      </c>
      <c r="C1228" s="5">
        <v>-299428</v>
      </c>
      <c r="D1228" s="5" t="str">
        <f>_xlfn.XLOOKUP(fRealizado5[[#This Row],[Conta]],'Plano de Contas'!A:A,'Plano de Contas'!C:C)</f>
        <v>(-) Custos de Vendas</v>
      </c>
      <c r="E1228" s="5" t="str">
        <f>_xlfn.XLOOKUP(fRealizado5[[#This Row],[Conta]],'Plano de Contas'!A:A,'Plano de Contas'!D:D)</f>
        <v>05 - Custo do Produto</v>
      </c>
    </row>
    <row r="1229" spans="1:5" hidden="1" x14ac:dyDescent="0.25">
      <c r="A1229" s="23">
        <f t="shared" si="18"/>
        <v>43709</v>
      </c>
      <c r="B1229" s="5" t="s">
        <v>158</v>
      </c>
      <c r="C1229" s="5">
        <v>-226729</v>
      </c>
      <c r="D1229" s="5" t="str">
        <f>_xlfn.XLOOKUP(fRealizado5[[#This Row],[Conta]],'Plano de Contas'!A:A,'Plano de Contas'!C:C)</f>
        <v>(-) Custos de Vendas</v>
      </c>
      <c r="E1229" s="5" t="str">
        <f>_xlfn.XLOOKUP(fRealizado5[[#This Row],[Conta]],'Plano de Contas'!A:A,'Plano de Contas'!D:D)</f>
        <v>05 - Custo do Produto</v>
      </c>
    </row>
    <row r="1230" spans="1:5" hidden="1" x14ac:dyDescent="0.25">
      <c r="A1230" s="23">
        <f t="shared" si="18"/>
        <v>43709</v>
      </c>
      <c r="B1230" s="5" t="s">
        <v>159</v>
      </c>
      <c r="C1230" s="5">
        <v>-179452</v>
      </c>
      <c r="D1230" s="5" t="str">
        <f>_xlfn.XLOOKUP(fRealizado5[[#This Row],[Conta]],'Plano de Contas'!A:A,'Plano de Contas'!C:C)</f>
        <v>(-) Custos de Vendas</v>
      </c>
      <c r="E1230" s="5" t="str">
        <f>_xlfn.XLOOKUP(fRealizado5[[#This Row],[Conta]],'Plano de Contas'!A:A,'Plano de Contas'!D:D)</f>
        <v>05 - Custo do Produto</v>
      </c>
    </row>
    <row r="1231" spans="1:5" hidden="1" x14ac:dyDescent="0.25">
      <c r="A1231" s="23">
        <f t="shared" si="18"/>
        <v>43709</v>
      </c>
      <c r="B1231" s="5" t="s">
        <v>160</v>
      </c>
      <c r="C1231" s="5">
        <v>-98141</v>
      </c>
      <c r="D1231" s="5" t="str">
        <f>_xlfn.XLOOKUP(fRealizado5[[#This Row],[Conta]],'Plano de Contas'!A:A,'Plano de Contas'!C:C)</f>
        <v>(-) Custos de Vendas</v>
      </c>
      <c r="E1231" s="5" t="str">
        <f>_xlfn.XLOOKUP(fRealizado5[[#This Row],[Conta]],'Plano de Contas'!A:A,'Plano de Contas'!D:D)</f>
        <v>05 - Custo do Produto</v>
      </c>
    </row>
    <row r="1232" spans="1:5" hidden="1" x14ac:dyDescent="0.25">
      <c r="A1232" s="23">
        <f t="shared" si="18"/>
        <v>43709</v>
      </c>
      <c r="B1232" s="5" t="s">
        <v>161</v>
      </c>
      <c r="C1232" s="5">
        <v>-280114</v>
      </c>
      <c r="D1232" s="5" t="str">
        <f>_xlfn.XLOOKUP(fRealizado5[[#This Row],[Conta]],'Plano de Contas'!A:A,'Plano de Contas'!C:C)</f>
        <v>(-) Custos de Vendas</v>
      </c>
      <c r="E1232" s="5" t="str">
        <f>_xlfn.XLOOKUP(fRealizado5[[#This Row],[Conta]],'Plano de Contas'!A:A,'Plano de Contas'!D:D)</f>
        <v>05 - Custo do Produto</v>
      </c>
    </row>
    <row r="1233" spans="1:5" hidden="1" x14ac:dyDescent="0.25">
      <c r="A1233" s="23">
        <f t="shared" si="18"/>
        <v>43709</v>
      </c>
      <c r="B1233" s="5" t="s">
        <v>162</v>
      </c>
      <c r="C1233" s="5">
        <v>-154411</v>
      </c>
      <c r="D1233" s="5" t="str">
        <f>_xlfn.XLOOKUP(fRealizado5[[#This Row],[Conta]],'Plano de Contas'!A:A,'Plano de Contas'!C:C)</f>
        <v>(-) Custos de Vendas</v>
      </c>
      <c r="E1233" s="5" t="str">
        <f>_xlfn.XLOOKUP(fRealizado5[[#This Row],[Conta]],'Plano de Contas'!A:A,'Plano de Contas'!D:D)</f>
        <v>05 - Custo do Produto</v>
      </c>
    </row>
    <row r="1234" spans="1:5" hidden="1" x14ac:dyDescent="0.25">
      <c r="A1234" s="23">
        <f t="shared" si="18"/>
        <v>43709</v>
      </c>
      <c r="B1234" s="5" t="s">
        <v>163</v>
      </c>
      <c r="C1234" s="5">
        <v>-190171</v>
      </c>
      <c r="D1234" s="5" t="str">
        <f>_xlfn.XLOOKUP(fRealizado5[[#This Row],[Conta]],'Plano de Contas'!A:A,'Plano de Contas'!C:C)</f>
        <v>(-) Custos de Vendas</v>
      </c>
      <c r="E1234" s="5" t="str">
        <f>_xlfn.XLOOKUP(fRealizado5[[#This Row],[Conta]],'Plano de Contas'!A:A,'Plano de Contas'!D:D)</f>
        <v>05 - Custo do Produto</v>
      </c>
    </row>
    <row r="1235" spans="1:5" hidden="1" x14ac:dyDescent="0.25">
      <c r="A1235" s="23">
        <f t="shared" si="18"/>
        <v>43709</v>
      </c>
      <c r="B1235" s="5" t="s">
        <v>164</v>
      </c>
      <c r="C1235" s="5">
        <v>-51983</v>
      </c>
      <c r="D1235" s="5" t="str">
        <f>_xlfn.XLOOKUP(fRealizado5[[#This Row],[Conta]],'Plano de Contas'!A:A,'Plano de Contas'!C:C)</f>
        <v>(-) Custos de Vendas</v>
      </c>
      <c r="E1235" s="5" t="str">
        <f>_xlfn.XLOOKUP(fRealizado5[[#This Row],[Conta]],'Plano de Contas'!A:A,'Plano de Contas'!D:D)</f>
        <v>06 - Outros Custos</v>
      </c>
    </row>
    <row r="1236" spans="1:5" hidden="1" x14ac:dyDescent="0.25">
      <c r="A1236" s="23">
        <f t="shared" si="18"/>
        <v>43709</v>
      </c>
      <c r="B1236" s="5" t="s">
        <v>165</v>
      </c>
      <c r="C1236" s="5">
        <v>-89096</v>
      </c>
      <c r="D1236" s="5" t="str">
        <f>_xlfn.XLOOKUP(fRealizado5[[#This Row],[Conta]],'Plano de Contas'!A:A,'Plano de Contas'!C:C)</f>
        <v>(-) Custos de Vendas</v>
      </c>
      <c r="E1236" s="5" t="str">
        <f>_xlfn.XLOOKUP(fRealizado5[[#This Row],[Conta]],'Plano de Contas'!A:A,'Plano de Contas'!D:D)</f>
        <v>06 - Outros Custos</v>
      </c>
    </row>
    <row r="1237" spans="1:5" hidden="1" x14ac:dyDescent="0.25">
      <c r="A1237" s="23">
        <f t="shared" si="18"/>
        <v>43709</v>
      </c>
      <c r="B1237" s="5" t="s">
        <v>166</v>
      </c>
      <c r="C1237" s="5">
        <v>-54916</v>
      </c>
      <c r="D1237" s="5" t="str">
        <f>_xlfn.XLOOKUP(fRealizado5[[#This Row],[Conta]],'Plano de Contas'!A:A,'Plano de Contas'!C:C)</f>
        <v>(-) Custos de Vendas</v>
      </c>
      <c r="E1237" s="5" t="str">
        <f>_xlfn.XLOOKUP(fRealizado5[[#This Row],[Conta]],'Plano de Contas'!A:A,'Plano de Contas'!D:D)</f>
        <v>06 - Outros Custos</v>
      </c>
    </row>
    <row r="1238" spans="1:5" hidden="1" x14ac:dyDescent="0.25">
      <c r="A1238" s="23">
        <f t="shared" si="18"/>
        <v>43709</v>
      </c>
      <c r="B1238" s="5" t="s">
        <v>167</v>
      </c>
      <c r="C1238" s="5">
        <v>-205644</v>
      </c>
      <c r="D1238" s="5" t="str">
        <f>_xlfn.XLOOKUP(fRealizado5[[#This Row],[Conta]],'Plano de Contas'!A:A,'Plano de Contas'!C:C)</f>
        <v>(-) Despesas Gerais</v>
      </c>
      <c r="E1238" s="5" t="str">
        <f>_xlfn.XLOOKUP(fRealizado5[[#This Row],[Conta]],'Plano de Contas'!A:A,'Plano de Contas'!D:D)</f>
        <v>07 - Despesas Administrativas</v>
      </c>
    </row>
    <row r="1239" spans="1:5" hidden="1" x14ac:dyDescent="0.25">
      <c r="A1239" s="23">
        <f t="shared" si="18"/>
        <v>43709</v>
      </c>
      <c r="B1239" s="5" t="s">
        <v>168</v>
      </c>
      <c r="C1239" s="5">
        <v>-270507</v>
      </c>
      <c r="D1239" s="5" t="str">
        <f>_xlfn.XLOOKUP(fRealizado5[[#This Row],[Conta]],'Plano de Contas'!A:A,'Plano de Contas'!C:C)</f>
        <v>(-) Despesas Gerais</v>
      </c>
      <c r="E1239" s="5" t="str">
        <f>_xlfn.XLOOKUP(fRealizado5[[#This Row],[Conta]],'Plano de Contas'!A:A,'Plano de Contas'!D:D)</f>
        <v>07 - Despesas Administrativas</v>
      </c>
    </row>
    <row r="1240" spans="1:5" hidden="1" x14ac:dyDescent="0.25">
      <c r="A1240" s="23">
        <f t="shared" si="18"/>
        <v>43709</v>
      </c>
      <c r="B1240" s="5" t="s">
        <v>169</v>
      </c>
      <c r="C1240" s="5">
        <v>-179176</v>
      </c>
      <c r="D1240" s="5" t="str">
        <f>_xlfn.XLOOKUP(fRealizado5[[#This Row],[Conta]],'Plano de Contas'!A:A,'Plano de Contas'!C:C)</f>
        <v>(-) Despesas Gerais</v>
      </c>
      <c r="E1240" s="5" t="str">
        <f>_xlfn.XLOOKUP(fRealizado5[[#This Row],[Conta]],'Plano de Contas'!A:A,'Plano de Contas'!D:D)</f>
        <v>07 - Despesas Administrativas</v>
      </c>
    </row>
    <row r="1241" spans="1:5" hidden="1" x14ac:dyDescent="0.25">
      <c r="A1241" s="23">
        <f t="shared" si="18"/>
        <v>43709</v>
      </c>
      <c r="B1241" s="5" t="s">
        <v>170</v>
      </c>
      <c r="C1241" s="5">
        <v>-91296</v>
      </c>
      <c r="D1241" s="5" t="str">
        <f>_xlfn.XLOOKUP(fRealizado5[[#This Row],[Conta]],'Plano de Contas'!A:A,'Plano de Contas'!C:C)</f>
        <v>(-) Despesas Gerais</v>
      </c>
      <c r="E1241" s="5" t="str">
        <f>_xlfn.XLOOKUP(fRealizado5[[#This Row],[Conta]],'Plano de Contas'!A:A,'Plano de Contas'!D:D)</f>
        <v>07 - Despesas Administrativas</v>
      </c>
    </row>
    <row r="1242" spans="1:5" hidden="1" x14ac:dyDescent="0.25">
      <c r="A1242" s="23">
        <f t="shared" si="18"/>
        <v>43709</v>
      </c>
      <c r="B1242" s="5" t="s">
        <v>171</v>
      </c>
      <c r="C1242" s="5">
        <v>-149966</v>
      </c>
      <c r="D1242" s="5" t="str">
        <f>_xlfn.XLOOKUP(fRealizado5[[#This Row],[Conta]],'Plano de Contas'!A:A,'Plano de Contas'!C:C)</f>
        <v>(-) Despesas Gerais</v>
      </c>
      <c r="E1242" s="5" t="str">
        <f>_xlfn.XLOOKUP(fRealizado5[[#This Row],[Conta]],'Plano de Contas'!A:A,'Plano de Contas'!D:D)</f>
        <v>07 - Despesas Administrativas</v>
      </c>
    </row>
    <row r="1243" spans="1:5" hidden="1" x14ac:dyDescent="0.25">
      <c r="A1243" s="23">
        <f t="shared" si="18"/>
        <v>43709</v>
      </c>
      <c r="B1243" s="5" t="s">
        <v>172</v>
      </c>
      <c r="C1243" s="5">
        <v>-130393</v>
      </c>
      <c r="D1243" s="5" t="str">
        <f>_xlfn.XLOOKUP(fRealizado5[[#This Row],[Conta]],'Plano de Contas'!A:A,'Plano de Contas'!C:C)</f>
        <v>(-) Despesas Gerais</v>
      </c>
      <c r="E1243" s="5" t="str">
        <f>_xlfn.XLOOKUP(fRealizado5[[#This Row],[Conta]],'Plano de Contas'!A:A,'Plano de Contas'!D:D)</f>
        <v>07 - Despesas Administrativas</v>
      </c>
    </row>
    <row r="1244" spans="1:5" hidden="1" x14ac:dyDescent="0.25">
      <c r="A1244" s="23">
        <f t="shared" si="18"/>
        <v>43709</v>
      </c>
      <c r="B1244" s="5" t="s">
        <v>173</v>
      </c>
      <c r="C1244" s="5">
        <v>-55911</v>
      </c>
      <c r="D1244" s="5" t="str">
        <f>_xlfn.XLOOKUP(fRealizado5[[#This Row],[Conta]],'Plano de Contas'!A:A,'Plano de Contas'!C:C)</f>
        <v>(-) Despesas Gerais</v>
      </c>
      <c r="E1244" s="5" t="str">
        <f>_xlfn.XLOOKUP(fRealizado5[[#This Row],[Conta]],'Plano de Contas'!A:A,'Plano de Contas'!D:D)</f>
        <v>08 - Despesas Financeiras</v>
      </c>
    </row>
    <row r="1245" spans="1:5" hidden="1" x14ac:dyDescent="0.25">
      <c r="A1245" s="23">
        <f t="shared" si="18"/>
        <v>43709</v>
      </c>
      <c r="B1245" s="5" t="s">
        <v>174</v>
      </c>
      <c r="C1245" s="5">
        <v>-49849</v>
      </c>
      <c r="D1245" s="5" t="str">
        <f>_xlfn.XLOOKUP(fRealizado5[[#This Row],[Conta]],'Plano de Contas'!A:A,'Plano de Contas'!C:C)</f>
        <v>(-) Despesas Gerais</v>
      </c>
      <c r="E1245" s="5" t="str">
        <f>_xlfn.XLOOKUP(fRealizado5[[#This Row],[Conta]],'Plano de Contas'!A:A,'Plano de Contas'!D:D)</f>
        <v>08 - Despesas Financeiras</v>
      </c>
    </row>
    <row r="1246" spans="1:5" hidden="1" x14ac:dyDescent="0.25">
      <c r="A1246" s="23">
        <f t="shared" si="18"/>
        <v>43709</v>
      </c>
      <c r="B1246" s="5" t="s">
        <v>175</v>
      </c>
      <c r="C1246" s="5">
        <v>-52306</v>
      </c>
      <c r="D1246" s="5" t="str">
        <f>_xlfn.XLOOKUP(fRealizado5[[#This Row],[Conta]],'Plano de Contas'!A:A,'Plano de Contas'!C:C)</f>
        <v>(-) Despesas Gerais</v>
      </c>
      <c r="E1246" s="5" t="str">
        <f>_xlfn.XLOOKUP(fRealizado5[[#This Row],[Conta]],'Plano de Contas'!A:A,'Plano de Contas'!D:D)</f>
        <v>08 - Despesas Financeiras</v>
      </c>
    </row>
    <row r="1247" spans="1:5" hidden="1" x14ac:dyDescent="0.25">
      <c r="A1247" s="23">
        <f t="shared" si="18"/>
        <v>43709</v>
      </c>
      <c r="B1247" s="5" t="s">
        <v>176</v>
      </c>
      <c r="C1247" s="5">
        <v>-46072</v>
      </c>
      <c r="D1247" s="5" t="str">
        <f>_xlfn.XLOOKUP(fRealizado5[[#This Row],[Conta]],'Plano de Contas'!A:A,'Plano de Contas'!C:C)</f>
        <v>(-) Despesas Gerais</v>
      </c>
      <c r="E1247" s="5" t="str">
        <f>_xlfn.XLOOKUP(fRealizado5[[#This Row],[Conta]],'Plano de Contas'!A:A,'Plano de Contas'!D:D)</f>
        <v>08 - Despesas Financeiras</v>
      </c>
    </row>
    <row r="1248" spans="1:5" hidden="1" x14ac:dyDescent="0.25">
      <c r="A1248" s="23">
        <f t="shared" si="18"/>
        <v>43709</v>
      </c>
      <c r="B1248" s="5" t="s">
        <v>177</v>
      </c>
      <c r="C1248" s="5">
        <v>-42634</v>
      </c>
      <c r="D1248" s="5" t="str">
        <f>_xlfn.XLOOKUP(fRealizado5[[#This Row],[Conta]],'Plano de Contas'!A:A,'Plano de Contas'!C:C)</f>
        <v>(-) Despesas Gerais</v>
      </c>
      <c r="E1248" s="5" t="str">
        <f>_xlfn.XLOOKUP(fRealizado5[[#This Row],[Conta]],'Plano de Contas'!A:A,'Plano de Contas'!D:D)</f>
        <v>08 - Despesas Financeiras</v>
      </c>
    </row>
    <row r="1249" spans="1:5" hidden="1" x14ac:dyDescent="0.25">
      <c r="A1249" s="23">
        <f t="shared" si="18"/>
        <v>43709</v>
      </c>
      <c r="B1249" s="5" t="s">
        <v>178</v>
      </c>
      <c r="C1249" s="5">
        <v>-107500</v>
      </c>
      <c r="D1249" s="5" t="str">
        <f>_xlfn.XLOOKUP(fRealizado5[[#This Row],[Conta]],'Plano de Contas'!A:A,'Plano de Contas'!C:C)</f>
        <v>(-) Despesas Gerais</v>
      </c>
      <c r="E1249" s="5" t="str">
        <f>_xlfn.XLOOKUP(fRealizado5[[#This Row],[Conta]],'Plano de Contas'!A:A,'Plano de Contas'!D:D)</f>
        <v>09 - Tecnologia da Informação</v>
      </c>
    </row>
    <row r="1250" spans="1:5" hidden="1" x14ac:dyDescent="0.25">
      <c r="A1250" s="23">
        <f t="shared" si="18"/>
        <v>43709</v>
      </c>
      <c r="B1250" s="5" t="s">
        <v>179</v>
      </c>
      <c r="C1250" s="5">
        <v>-248852</v>
      </c>
      <c r="D1250" s="5" t="str">
        <f>_xlfn.XLOOKUP(fRealizado5[[#This Row],[Conta]],'Plano de Contas'!A:A,'Plano de Contas'!C:C)</f>
        <v>(-) Despesas Gerais</v>
      </c>
      <c r="E1250" s="5" t="str">
        <f>_xlfn.XLOOKUP(fRealizado5[[#This Row],[Conta]],'Plano de Contas'!A:A,'Plano de Contas'!D:D)</f>
        <v>09 - Tecnologia da Informação</v>
      </c>
    </row>
    <row r="1251" spans="1:5" hidden="1" x14ac:dyDescent="0.25">
      <c r="A1251" s="23">
        <f t="shared" si="18"/>
        <v>43709</v>
      </c>
      <c r="B1251" s="5" t="s">
        <v>180</v>
      </c>
      <c r="C1251" s="5">
        <v>-256706</v>
      </c>
      <c r="D1251" s="5" t="str">
        <f>_xlfn.XLOOKUP(fRealizado5[[#This Row],[Conta]],'Plano de Contas'!A:A,'Plano de Contas'!C:C)</f>
        <v>(-) Despesas Gerais</v>
      </c>
      <c r="E1251" s="5" t="str">
        <f>_xlfn.XLOOKUP(fRealizado5[[#This Row],[Conta]],'Plano de Contas'!A:A,'Plano de Contas'!D:D)</f>
        <v>09 - Tecnologia da Informação</v>
      </c>
    </row>
    <row r="1252" spans="1:5" hidden="1" x14ac:dyDescent="0.25">
      <c r="A1252" s="23">
        <f t="shared" si="18"/>
        <v>43709</v>
      </c>
      <c r="B1252" s="5" t="s">
        <v>181</v>
      </c>
      <c r="C1252" s="5">
        <v>-56186</v>
      </c>
      <c r="D1252" s="5" t="str">
        <f>_xlfn.XLOOKUP(fRealizado5[[#This Row],[Conta]],'Plano de Contas'!A:A,'Plano de Contas'!C:C)</f>
        <v>(-) Despesas Gerais</v>
      </c>
      <c r="E1252" s="5" t="str">
        <f>_xlfn.XLOOKUP(fRealizado5[[#This Row],[Conta]],'Plano de Contas'!A:A,'Plano de Contas'!D:D)</f>
        <v>10 - Recursos Humanos</v>
      </c>
    </row>
    <row r="1253" spans="1:5" hidden="1" x14ac:dyDescent="0.25">
      <c r="A1253" s="23">
        <f t="shared" si="18"/>
        <v>43709</v>
      </c>
      <c r="B1253" s="5" t="s">
        <v>182</v>
      </c>
      <c r="C1253" s="5">
        <v>-56762</v>
      </c>
      <c r="D1253" s="5" t="str">
        <f>_xlfn.XLOOKUP(fRealizado5[[#This Row],[Conta]],'Plano de Contas'!A:A,'Plano de Contas'!C:C)</f>
        <v>(-) Despesas Gerais</v>
      </c>
      <c r="E1253" s="5" t="str">
        <f>_xlfn.XLOOKUP(fRealizado5[[#This Row],[Conta]],'Plano de Contas'!A:A,'Plano de Contas'!D:D)</f>
        <v>10 - Recursos Humanos</v>
      </c>
    </row>
    <row r="1254" spans="1:5" hidden="1" x14ac:dyDescent="0.25">
      <c r="A1254" s="23">
        <f t="shared" si="18"/>
        <v>43709</v>
      </c>
      <c r="B1254" s="5" t="s">
        <v>183</v>
      </c>
      <c r="C1254" s="5">
        <v>-87332</v>
      </c>
      <c r="D1254" s="5" t="str">
        <f>_xlfn.XLOOKUP(fRealizado5[[#This Row],[Conta]],'Plano de Contas'!A:A,'Plano de Contas'!C:C)</f>
        <v>(-) Despesas Gerais</v>
      </c>
      <c r="E1254" s="5" t="str">
        <f>_xlfn.XLOOKUP(fRealizado5[[#This Row],[Conta]],'Plano de Contas'!A:A,'Plano de Contas'!D:D)</f>
        <v>10 - Recursos Humanos</v>
      </c>
    </row>
    <row r="1255" spans="1:5" hidden="1" x14ac:dyDescent="0.25">
      <c r="A1255" s="23">
        <f t="shared" si="18"/>
        <v>43709</v>
      </c>
      <c r="B1255" s="5" t="s">
        <v>184</v>
      </c>
      <c r="C1255" s="5">
        <v>-60507</v>
      </c>
      <c r="D1255" s="5" t="str">
        <f>_xlfn.XLOOKUP(fRealizado5[[#This Row],[Conta]],'Plano de Contas'!A:A,'Plano de Contas'!C:C)</f>
        <v>(-) Despesas Gerais</v>
      </c>
      <c r="E1255" s="5" t="str">
        <f>_xlfn.XLOOKUP(fRealizado5[[#This Row],[Conta]],'Plano de Contas'!A:A,'Plano de Contas'!D:D)</f>
        <v>10 - Recursos Humanos</v>
      </c>
    </row>
    <row r="1256" spans="1:5" hidden="1" x14ac:dyDescent="0.25">
      <c r="A1256" s="23">
        <f t="shared" si="18"/>
        <v>43709</v>
      </c>
      <c r="B1256" s="5" t="s">
        <v>185</v>
      </c>
      <c r="C1256" s="5">
        <v>-112589</v>
      </c>
      <c r="D1256" s="5" t="str">
        <f>_xlfn.XLOOKUP(fRealizado5[[#This Row],[Conta]],'Plano de Contas'!A:A,'Plano de Contas'!C:C)</f>
        <v>(-) Despesas Gerais</v>
      </c>
      <c r="E1256" s="5" t="str">
        <f>_xlfn.XLOOKUP(fRealizado5[[#This Row],[Conta]],'Plano de Contas'!A:A,'Plano de Contas'!D:D)</f>
        <v>11 - Relacionamento com Cliente</v>
      </c>
    </row>
    <row r="1257" spans="1:5" hidden="1" x14ac:dyDescent="0.25">
      <c r="A1257" s="23">
        <f t="shared" si="18"/>
        <v>43709</v>
      </c>
      <c r="B1257" s="5" t="s">
        <v>186</v>
      </c>
      <c r="C1257" s="5">
        <v>-104836</v>
      </c>
      <c r="D1257" s="5" t="str">
        <f>_xlfn.XLOOKUP(fRealizado5[[#This Row],[Conta]],'Plano de Contas'!A:A,'Plano de Contas'!C:C)</f>
        <v>(-) Despesas Gerais</v>
      </c>
      <c r="E1257" s="5" t="str">
        <f>_xlfn.XLOOKUP(fRealizado5[[#This Row],[Conta]],'Plano de Contas'!A:A,'Plano de Contas'!D:D)</f>
        <v>11 - Relacionamento com Cliente</v>
      </c>
    </row>
    <row r="1258" spans="1:5" hidden="1" x14ac:dyDescent="0.25">
      <c r="A1258" s="23">
        <f t="shared" si="18"/>
        <v>43709</v>
      </c>
      <c r="B1258" s="5" t="s">
        <v>187</v>
      </c>
      <c r="C1258" s="5">
        <v>-141472</v>
      </c>
      <c r="D1258" s="5" t="str">
        <f>_xlfn.XLOOKUP(fRealizado5[[#This Row],[Conta]],'Plano de Contas'!A:A,'Plano de Contas'!C:C)</f>
        <v>(-) Despesas Gerais</v>
      </c>
      <c r="E1258" s="5" t="str">
        <f>_xlfn.XLOOKUP(fRealizado5[[#This Row],[Conta]],'Plano de Contas'!A:A,'Plano de Contas'!D:D)</f>
        <v>12 - Marketing e Divulgação</v>
      </c>
    </row>
    <row r="1259" spans="1:5" hidden="1" x14ac:dyDescent="0.25">
      <c r="A1259" s="23">
        <f t="shared" si="18"/>
        <v>43709</v>
      </c>
      <c r="B1259" s="5" t="s">
        <v>188</v>
      </c>
      <c r="C1259" s="5">
        <v>-133853</v>
      </c>
      <c r="D1259" s="5" t="str">
        <f>_xlfn.XLOOKUP(fRealizado5[[#This Row],[Conta]],'Plano de Contas'!A:A,'Plano de Contas'!C:C)</f>
        <v>(-) Despesas Gerais</v>
      </c>
      <c r="E1259" s="5" t="str">
        <f>_xlfn.XLOOKUP(fRealizado5[[#This Row],[Conta]],'Plano de Contas'!A:A,'Plano de Contas'!D:D)</f>
        <v>12 - Marketing e Divulgação</v>
      </c>
    </row>
    <row r="1260" spans="1:5" hidden="1" x14ac:dyDescent="0.25">
      <c r="A1260" s="23">
        <f t="shared" si="18"/>
        <v>43709</v>
      </c>
      <c r="B1260" s="5" t="s">
        <v>189</v>
      </c>
      <c r="C1260" s="5">
        <v>-9572</v>
      </c>
      <c r="D1260" s="5" t="str">
        <f>_xlfn.XLOOKUP(fRealizado5[[#This Row],[Conta]],'Plano de Contas'!A:A,'Plano de Contas'!C:C)</f>
        <v>(-) Impostos</v>
      </c>
      <c r="E1260" s="5" t="str">
        <f>_xlfn.XLOOKUP(fRealizado5[[#This Row],[Conta]],'Plano de Contas'!A:A,'Plano de Contas'!D:D)</f>
        <v>13 - Impostos Estaduais</v>
      </c>
    </row>
    <row r="1261" spans="1:5" hidden="1" x14ac:dyDescent="0.25">
      <c r="A1261" s="23">
        <f t="shared" si="18"/>
        <v>43709</v>
      </c>
      <c r="B1261" s="5" t="s">
        <v>190</v>
      </c>
      <c r="C1261" s="5">
        <v>-28466</v>
      </c>
      <c r="D1261" s="5" t="str">
        <f>_xlfn.XLOOKUP(fRealizado5[[#This Row],[Conta]],'Plano de Contas'!A:A,'Plano de Contas'!C:C)</f>
        <v>(-) Impostos</v>
      </c>
      <c r="E1261" s="5" t="str">
        <f>_xlfn.XLOOKUP(fRealizado5[[#This Row],[Conta]],'Plano de Contas'!A:A,'Plano de Contas'!D:D)</f>
        <v>14 - Impostos Federais</v>
      </c>
    </row>
    <row r="1262" spans="1:5" hidden="1" x14ac:dyDescent="0.25">
      <c r="A1262" s="23">
        <f t="shared" si="18"/>
        <v>43739</v>
      </c>
      <c r="B1262" s="5" t="s">
        <v>51</v>
      </c>
      <c r="C1262" s="5">
        <v>207926</v>
      </c>
      <c r="D1262" s="5" t="str">
        <f>_xlfn.XLOOKUP(fRealizado5[[#This Row],[Conta]],'Plano de Contas'!A:A,'Plano de Contas'!C:C)</f>
        <v>(+) RECEITA BRUTA</v>
      </c>
      <c r="E1262" s="5" t="str">
        <f>_xlfn.XLOOKUP(fRealizado5[[#This Row],[Conta]],'Plano de Contas'!A:A,'Plano de Contas'!D:D)</f>
        <v>01 - Vendas de Produtos</v>
      </c>
    </row>
    <row r="1263" spans="1:5" hidden="1" x14ac:dyDescent="0.25">
      <c r="A1263" s="23">
        <f t="shared" si="18"/>
        <v>43739</v>
      </c>
      <c r="B1263" s="5" t="s">
        <v>52</v>
      </c>
      <c r="C1263" s="5">
        <v>488279</v>
      </c>
      <c r="D1263" s="5" t="str">
        <f>_xlfn.XLOOKUP(fRealizado5[[#This Row],[Conta]],'Plano de Contas'!A:A,'Plano de Contas'!C:C)</f>
        <v>(+) RECEITA BRUTA</v>
      </c>
      <c r="E1263" s="5" t="str">
        <f>_xlfn.XLOOKUP(fRealizado5[[#This Row],[Conta]],'Plano de Contas'!A:A,'Plano de Contas'!D:D)</f>
        <v>01 - Vendas de Produtos</v>
      </c>
    </row>
    <row r="1264" spans="1:5" hidden="1" x14ac:dyDescent="0.25">
      <c r="A1264" s="23">
        <f t="shared" si="18"/>
        <v>43739</v>
      </c>
      <c r="B1264" s="5" t="s">
        <v>53</v>
      </c>
      <c r="C1264" s="5">
        <v>960239</v>
      </c>
      <c r="D1264" s="5" t="str">
        <f>_xlfn.XLOOKUP(fRealizado5[[#This Row],[Conta]],'Plano de Contas'!A:A,'Plano de Contas'!C:C)</f>
        <v>(+) RECEITA BRUTA</v>
      </c>
      <c r="E1264" s="5" t="str">
        <f>_xlfn.XLOOKUP(fRealizado5[[#This Row],[Conta]],'Plano de Contas'!A:A,'Plano de Contas'!D:D)</f>
        <v>01 - Vendas de Produtos</v>
      </c>
    </row>
    <row r="1265" spans="1:5" hidden="1" x14ac:dyDescent="0.25">
      <c r="A1265" s="23">
        <f t="shared" si="18"/>
        <v>43739</v>
      </c>
      <c r="B1265" s="5" t="s">
        <v>54</v>
      </c>
      <c r="C1265" s="5">
        <v>474922</v>
      </c>
      <c r="D1265" s="5" t="str">
        <f>_xlfn.XLOOKUP(fRealizado5[[#This Row],[Conta]],'Plano de Contas'!A:A,'Plano de Contas'!C:C)</f>
        <v>(+) RECEITA BRUTA</v>
      </c>
      <c r="E1265" s="5" t="str">
        <f>_xlfn.XLOOKUP(fRealizado5[[#This Row],[Conta]],'Plano de Contas'!A:A,'Plano de Contas'!D:D)</f>
        <v>01 - Vendas de Produtos</v>
      </c>
    </row>
    <row r="1266" spans="1:5" hidden="1" x14ac:dyDescent="0.25">
      <c r="A1266" s="23">
        <f t="shared" si="18"/>
        <v>43739</v>
      </c>
      <c r="B1266" s="5" t="s">
        <v>55</v>
      </c>
      <c r="C1266" s="5">
        <v>991049</v>
      </c>
      <c r="D1266" s="5" t="str">
        <f>_xlfn.XLOOKUP(fRealizado5[[#This Row],[Conta]],'Plano de Contas'!A:A,'Plano de Contas'!C:C)</f>
        <v>(+) RECEITA BRUTA</v>
      </c>
      <c r="E1266" s="5" t="str">
        <f>_xlfn.XLOOKUP(fRealizado5[[#This Row],[Conta]],'Plano de Contas'!A:A,'Plano de Contas'!D:D)</f>
        <v>01 - Vendas de Produtos</v>
      </c>
    </row>
    <row r="1267" spans="1:5" hidden="1" x14ac:dyDescent="0.25">
      <c r="A1267" s="23">
        <f t="shared" si="18"/>
        <v>43739</v>
      </c>
      <c r="B1267" s="5" t="s">
        <v>56</v>
      </c>
      <c r="C1267" s="5">
        <v>354363</v>
      </c>
      <c r="D1267" s="5" t="str">
        <f>_xlfn.XLOOKUP(fRealizado5[[#This Row],[Conta]],'Plano de Contas'!A:A,'Plano de Contas'!C:C)</f>
        <v>(+) RECEITA BRUTA</v>
      </c>
      <c r="E1267" s="5" t="str">
        <f>_xlfn.XLOOKUP(fRealizado5[[#This Row],[Conta]],'Plano de Contas'!A:A,'Plano de Contas'!D:D)</f>
        <v>01 - Vendas de Produtos</v>
      </c>
    </row>
    <row r="1268" spans="1:5" hidden="1" x14ac:dyDescent="0.25">
      <c r="A1268" s="23">
        <f t="shared" si="18"/>
        <v>43739</v>
      </c>
      <c r="B1268" s="5" t="s">
        <v>57</v>
      </c>
      <c r="C1268" s="5">
        <v>677602</v>
      </c>
      <c r="D1268" s="5" t="str">
        <f>_xlfn.XLOOKUP(fRealizado5[[#This Row],[Conta]],'Plano de Contas'!A:A,'Plano de Contas'!C:C)</f>
        <v>(+) RECEITA BRUTA</v>
      </c>
      <c r="E1268" s="5" t="str">
        <f>_xlfn.XLOOKUP(fRealizado5[[#This Row],[Conta]],'Plano de Contas'!A:A,'Plano de Contas'!D:D)</f>
        <v>01 - Vendas de Produtos</v>
      </c>
    </row>
    <row r="1269" spans="1:5" hidden="1" x14ac:dyDescent="0.25">
      <c r="A1269" s="23">
        <f t="shared" si="18"/>
        <v>43739</v>
      </c>
      <c r="B1269" s="5" t="s">
        <v>58</v>
      </c>
      <c r="C1269" s="5">
        <v>404690</v>
      </c>
      <c r="D1269" s="5" t="str">
        <f>_xlfn.XLOOKUP(fRealizado5[[#This Row],[Conta]],'Plano de Contas'!A:A,'Plano de Contas'!C:C)</f>
        <v>(+) RECEITA BRUTA</v>
      </c>
      <c r="E1269" s="5" t="str">
        <f>_xlfn.XLOOKUP(fRealizado5[[#This Row],[Conta]],'Plano de Contas'!A:A,'Plano de Contas'!D:D)</f>
        <v>01 - Vendas de Produtos</v>
      </c>
    </row>
    <row r="1270" spans="1:5" hidden="1" x14ac:dyDescent="0.25">
      <c r="A1270" s="23">
        <f t="shared" si="18"/>
        <v>43739</v>
      </c>
      <c r="B1270" s="5" t="s">
        <v>59</v>
      </c>
      <c r="C1270" s="5">
        <v>991642</v>
      </c>
      <c r="D1270" s="5" t="str">
        <f>_xlfn.XLOOKUP(fRealizado5[[#This Row],[Conta]],'Plano de Contas'!A:A,'Plano de Contas'!C:C)</f>
        <v>(+) RECEITA BRUTA</v>
      </c>
      <c r="E1270" s="5" t="str">
        <f>_xlfn.XLOOKUP(fRealizado5[[#This Row],[Conta]],'Plano de Contas'!A:A,'Plano de Contas'!D:D)</f>
        <v>01 - Vendas de Produtos</v>
      </c>
    </row>
    <row r="1271" spans="1:5" hidden="1" x14ac:dyDescent="0.25">
      <c r="A1271" s="23">
        <f t="shared" si="18"/>
        <v>43739</v>
      </c>
      <c r="B1271" s="5" t="s">
        <v>60</v>
      </c>
      <c r="C1271" s="5">
        <v>824111</v>
      </c>
      <c r="D1271" s="5" t="str">
        <f>_xlfn.XLOOKUP(fRealizado5[[#This Row],[Conta]],'Plano de Contas'!A:A,'Plano de Contas'!C:C)</f>
        <v>(+) RECEITA BRUTA</v>
      </c>
      <c r="E1271" s="5" t="str">
        <f>_xlfn.XLOOKUP(fRealizado5[[#This Row],[Conta]],'Plano de Contas'!A:A,'Plano de Contas'!D:D)</f>
        <v>01 - Vendas de Produtos</v>
      </c>
    </row>
    <row r="1272" spans="1:5" hidden="1" x14ac:dyDescent="0.25">
      <c r="A1272" s="23">
        <f t="shared" si="18"/>
        <v>43739</v>
      </c>
      <c r="B1272" s="5" t="s">
        <v>61</v>
      </c>
      <c r="C1272" s="5">
        <v>226258</v>
      </c>
      <c r="D1272" s="5" t="str">
        <f>_xlfn.XLOOKUP(fRealizado5[[#This Row],[Conta]],'Plano de Contas'!A:A,'Plano de Contas'!C:C)</f>
        <v>(+) RECEITA BRUTA</v>
      </c>
      <c r="E1272" s="5" t="str">
        <f>_xlfn.XLOOKUP(fRealizado5[[#This Row],[Conta]],'Plano de Contas'!A:A,'Plano de Contas'!D:D)</f>
        <v>01 - Vendas de Produtos</v>
      </c>
    </row>
    <row r="1273" spans="1:5" hidden="1" x14ac:dyDescent="0.25">
      <c r="A1273" s="23">
        <f t="shared" si="18"/>
        <v>43739</v>
      </c>
      <c r="B1273" s="5" t="s">
        <v>62</v>
      </c>
      <c r="C1273" s="5">
        <v>965451</v>
      </c>
      <c r="D1273" s="5" t="str">
        <f>_xlfn.XLOOKUP(fRealizado5[[#This Row],[Conta]],'Plano de Contas'!A:A,'Plano de Contas'!C:C)</f>
        <v>(+) RECEITA BRUTA</v>
      </c>
      <c r="E1273" s="5" t="str">
        <f>_xlfn.XLOOKUP(fRealizado5[[#This Row],[Conta]],'Plano de Contas'!A:A,'Plano de Contas'!D:D)</f>
        <v>01 - Vendas de Produtos</v>
      </c>
    </row>
    <row r="1274" spans="1:5" hidden="1" x14ac:dyDescent="0.25">
      <c r="A1274" s="23">
        <f t="shared" si="18"/>
        <v>43739</v>
      </c>
      <c r="B1274" s="5" t="s">
        <v>63</v>
      </c>
      <c r="C1274" s="5">
        <v>938376</v>
      </c>
      <c r="D1274" s="5" t="str">
        <f>_xlfn.XLOOKUP(fRealizado5[[#This Row],[Conta]],'Plano de Contas'!A:A,'Plano de Contas'!C:C)</f>
        <v>(+) RECEITA BRUTA</v>
      </c>
      <c r="E1274" s="5" t="str">
        <f>_xlfn.XLOOKUP(fRealizado5[[#This Row],[Conta]],'Plano de Contas'!A:A,'Plano de Contas'!D:D)</f>
        <v>01 - Vendas de Produtos</v>
      </c>
    </row>
    <row r="1275" spans="1:5" hidden="1" x14ac:dyDescent="0.25">
      <c r="A1275" s="23">
        <f t="shared" si="18"/>
        <v>43739</v>
      </c>
      <c r="B1275" s="5" t="s">
        <v>64</v>
      </c>
      <c r="C1275" s="5">
        <v>821647</v>
      </c>
      <c r="D1275" s="5" t="str">
        <f>_xlfn.XLOOKUP(fRealizado5[[#This Row],[Conta]],'Plano de Contas'!A:A,'Plano de Contas'!C:C)</f>
        <v>(+) RECEITA BRUTA</v>
      </c>
      <c r="E1275" s="5" t="str">
        <f>_xlfn.XLOOKUP(fRealizado5[[#This Row],[Conta]],'Plano de Contas'!A:A,'Plano de Contas'!D:D)</f>
        <v>01 - Vendas de Produtos</v>
      </c>
    </row>
    <row r="1276" spans="1:5" hidden="1" x14ac:dyDescent="0.25">
      <c r="A1276" s="23">
        <f t="shared" si="18"/>
        <v>43739</v>
      </c>
      <c r="B1276" s="5" t="s">
        <v>65</v>
      </c>
      <c r="C1276" s="5">
        <v>854149</v>
      </c>
      <c r="D1276" s="5" t="str">
        <f>_xlfn.XLOOKUP(fRealizado5[[#This Row],[Conta]],'Plano de Contas'!A:A,'Plano de Contas'!C:C)</f>
        <v>(+) RECEITA BRUTA</v>
      </c>
      <c r="E1276" s="5" t="str">
        <f>_xlfn.XLOOKUP(fRealizado5[[#This Row],[Conta]],'Plano de Contas'!A:A,'Plano de Contas'!D:D)</f>
        <v>01 - Vendas de Produtos</v>
      </c>
    </row>
    <row r="1277" spans="1:5" hidden="1" x14ac:dyDescent="0.25">
      <c r="A1277" s="23">
        <f t="shared" si="18"/>
        <v>43739</v>
      </c>
      <c r="B1277" s="5" t="s">
        <v>66</v>
      </c>
      <c r="C1277" s="5">
        <v>265633</v>
      </c>
      <c r="D1277" s="5" t="str">
        <f>_xlfn.XLOOKUP(fRealizado5[[#This Row],[Conta]],'Plano de Contas'!A:A,'Plano de Contas'!C:C)</f>
        <v>(+) RECEITA BRUTA</v>
      </c>
      <c r="E1277" s="5" t="str">
        <f>_xlfn.XLOOKUP(fRealizado5[[#This Row],[Conta]],'Plano de Contas'!A:A,'Plano de Contas'!D:D)</f>
        <v>01 - Vendas de Produtos</v>
      </c>
    </row>
    <row r="1278" spans="1:5" hidden="1" x14ac:dyDescent="0.25">
      <c r="A1278" s="23">
        <f t="shared" si="18"/>
        <v>43739</v>
      </c>
      <c r="B1278" s="5" t="s">
        <v>67</v>
      </c>
      <c r="C1278" s="5">
        <v>776737</v>
      </c>
      <c r="D1278" s="5" t="str">
        <f>_xlfn.XLOOKUP(fRealizado5[[#This Row],[Conta]],'Plano de Contas'!A:A,'Plano de Contas'!C:C)</f>
        <v>(+) RECEITA BRUTA</v>
      </c>
      <c r="E1278" s="5" t="str">
        <f>_xlfn.XLOOKUP(fRealizado5[[#This Row],[Conta]],'Plano de Contas'!A:A,'Plano de Contas'!D:D)</f>
        <v>01 - Vendas de Produtos</v>
      </c>
    </row>
    <row r="1279" spans="1:5" hidden="1" x14ac:dyDescent="0.25">
      <c r="A1279" s="23">
        <f t="shared" si="18"/>
        <v>43739</v>
      </c>
      <c r="B1279" s="5" t="s">
        <v>68</v>
      </c>
      <c r="C1279" s="5">
        <v>499789</v>
      </c>
      <c r="D1279" s="5" t="str">
        <f>_xlfn.XLOOKUP(fRealizado5[[#This Row],[Conta]],'Plano de Contas'!A:A,'Plano de Contas'!C:C)</f>
        <v>(+) RECEITA BRUTA</v>
      </c>
      <c r="E1279" s="5" t="str">
        <f>_xlfn.XLOOKUP(fRealizado5[[#This Row],[Conta]],'Plano de Contas'!A:A,'Plano de Contas'!D:D)</f>
        <v>01 - Vendas de Produtos</v>
      </c>
    </row>
    <row r="1280" spans="1:5" hidden="1" x14ac:dyDescent="0.25">
      <c r="A1280" s="23">
        <f t="shared" si="18"/>
        <v>43739</v>
      </c>
      <c r="B1280" s="5" t="s">
        <v>69</v>
      </c>
      <c r="C1280" s="5">
        <v>213269</v>
      </c>
      <c r="D1280" s="5" t="str">
        <f>_xlfn.XLOOKUP(fRealizado5[[#This Row],[Conta]],'Plano de Contas'!A:A,'Plano de Contas'!C:C)</f>
        <v>(+) RECEITA BRUTA</v>
      </c>
      <c r="E1280" s="5" t="str">
        <f>_xlfn.XLOOKUP(fRealizado5[[#This Row],[Conta]],'Plano de Contas'!A:A,'Plano de Contas'!D:D)</f>
        <v>01 - Vendas de Produtos</v>
      </c>
    </row>
    <row r="1281" spans="1:5" hidden="1" x14ac:dyDescent="0.25">
      <c r="A1281" s="23">
        <f t="shared" si="18"/>
        <v>43739</v>
      </c>
      <c r="B1281" s="5" t="s">
        <v>70</v>
      </c>
      <c r="C1281" s="5">
        <v>208238</v>
      </c>
      <c r="D1281" s="5" t="str">
        <f>_xlfn.XLOOKUP(fRealizado5[[#This Row],[Conta]],'Plano de Contas'!A:A,'Plano de Contas'!C:C)</f>
        <v>(+) RECEITA BRUTA</v>
      </c>
      <c r="E1281" s="5" t="str">
        <f>_xlfn.XLOOKUP(fRealizado5[[#This Row],[Conta]],'Plano de Contas'!A:A,'Plano de Contas'!D:D)</f>
        <v>01 - Vendas de Produtos</v>
      </c>
    </row>
    <row r="1282" spans="1:5" hidden="1" x14ac:dyDescent="0.25">
      <c r="A1282" s="23">
        <f t="shared" si="18"/>
        <v>43739</v>
      </c>
      <c r="B1282" s="5" t="s">
        <v>71</v>
      </c>
      <c r="C1282" s="5">
        <v>453127</v>
      </c>
      <c r="D1282" s="5" t="str">
        <f>_xlfn.XLOOKUP(fRealizado5[[#This Row],[Conta]],'Plano de Contas'!A:A,'Plano de Contas'!C:C)</f>
        <v>(+) RECEITA BRUTA</v>
      </c>
      <c r="E1282" s="5" t="str">
        <f>_xlfn.XLOOKUP(fRealizado5[[#This Row],[Conta]],'Plano de Contas'!A:A,'Plano de Contas'!D:D)</f>
        <v>01 - Vendas de Produtos</v>
      </c>
    </row>
    <row r="1283" spans="1:5" hidden="1" x14ac:dyDescent="0.25">
      <c r="A1283" s="23">
        <f t="shared" si="18"/>
        <v>43739</v>
      </c>
      <c r="B1283" s="5" t="s">
        <v>72</v>
      </c>
      <c r="C1283" s="5">
        <v>827703</v>
      </c>
      <c r="D1283" s="5" t="str">
        <f>_xlfn.XLOOKUP(fRealizado5[[#This Row],[Conta]],'Plano de Contas'!A:A,'Plano de Contas'!C:C)</f>
        <v>(+) RECEITA BRUTA</v>
      </c>
      <c r="E1283" s="5" t="str">
        <f>_xlfn.XLOOKUP(fRealizado5[[#This Row],[Conta]],'Plano de Contas'!A:A,'Plano de Contas'!D:D)</f>
        <v>01 - Vendas de Produtos</v>
      </c>
    </row>
    <row r="1284" spans="1:5" hidden="1" x14ac:dyDescent="0.25">
      <c r="A1284" s="23">
        <f t="shared" si="18"/>
        <v>43739</v>
      </c>
      <c r="B1284" s="5" t="s">
        <v>73</v>
      </c>
      <c r="C1284" s="5">
        <v>94263</v>
      </c>
      <c r="D1284" s="5" t="str">
        <f>_xlfn.XLOOKUP(fRealizado5[[#This Row],[Conta]],'Plano de Contas'!A:A,'Plano de Contas'!C:C)</f>
        <v>(+) RECEITA BRUTA</v>
      </c>
      <c r="E1284" s="5" t="str">
        <f>_xlfn.XLOOKUP(fRealizado5[[#This Row],[Conta]],'Plano de Contas'!A:A,'Plano de Contas'!D:D)</f>
        <v>01 - Vendas de Produtos</v>
      </c>
    </row>
    <row r="1285" spans="1:5" hidden="1" x14ac:dyDescent="0.25">
      <c r="A1285" s="23">
        <f t="shared" si="18"/>
        <v>43739</v>
      </c>
      <c r="B1285" s="5" t="s">
        <v>74</v>
      </c>
      <c r="C1285" s="5">
        <v>92952</v>
      </c>
      <c r="D1285" s="5" t="str">
        <f>_xlfn.XLOOKUP(fRealizado5[[#This Row],[Conta]],'Plano de Contas'!A:A,'Plano de Contas'!C:C)</f>
        <v>(+) RECEITA BRUTA</v>
      </c>
      <c r="E1285" s="5" t="str">
        <f>_xlfn.XLOOKUP(fRealizado5[[#This Row],[Conta]],'Plano de Contas'!A:A,'Plano de Contas'!D:D)</f>
        <v>01 - Vendas de Produtos</v>
      </c>
    </row>
    <row r="1286" spans="1:5" hidden="1" x14ac:dyDescent="0.25">
      <c r="A1286" s="23">
        <f t="shared" si="18"/>
        <v>43739</v>
      </c>
      <c r="B1286" s="5" t="s">
        <v>75</v>
      </c>
      <c r="C1286" s="5">
        <v>222000</v>
      </c>
      <c r="D1286" s="5" t="str">
        <f>_xlfn.XLOOKUP(fRealizado5[[#This Row],[Conta]],'Plano de Contas'!A:A,'Plano de Contas'!C:C)</f>
        <v>(+) RECEITA BRUTA</v>
      </c>
      <c r="E1286" s="5" t="str">
        <f>_xlfn.XLOOKUP(fRealizado5[[#This Row],[Conta]],'Plano de Contas'!A:A,'Plano de Contas'!D:D)</f>
        <v>02 - Outras Receitas</v>
      </c>
    </row>
    <row r="1287" spans="1:5" hidden="1" x14ac:dyDescent="0.25">
      <c r="A1287" s="23">
        <f t="shared" si="18"/>
        <v>43739</v>
      </c>
      <c r="B1287" s="5" t="s">
        <v>76</v>
      </c>
      <c r="C1287" s="5">
        <v>104670</v>
      </c>
      <c r="D1287" s="5" t="str">
        <f>_xlfn.XLOOKUP(fRealizado5[[#This Row],[Conta]],'Plano de Contas'!A:A,'Plano de Contas'!C:C)</f>
        <v>(+) RECEITA BRUTA</v>
      </c>
      <c r="E1287" s="5" t="str">
        <f>_xlfn.XLOOKUP(fRealizado5[[#This Row],[Conta]],'Plano de Contas'!A:A,'Plano de Contas'!D:D)</f>
        <v>02 - Outras Receitas</v>
      </c>
    </row>
    <row r="1288" spans="1:5" hidden="1" x14ac:dyDescent="0.25">
      <c r="A1288" s="23">
        <f t="shared" ref="A1288:A1351" si="19">EDATE(A1148,1)</f>
        <v>43739</v>
      </c>
      <c r="B1288" s="5" t="s">
        <v>77</v>
      </c>
      <c r="C1288" s="5">
        <v>245452</v>
      </c>
      <c r="D1288" s="5" t="str">
        <f>_xlfn.XLOOKUP(fRealizado5[[#This Row],[Conta]],'Plano de Contas'!A:A,'Plano de Contas'!C:C)</f>
        <v>(+) RECEITA BRUTA</v>
      </c>
      <c r="E1288" s="5" t="str">
        <f>_xlfn.XLOOKUP(fRealizado5[[#This Row],[Conta]],'Plano de Contas'!A:A,'Plano de Contas'!D:D)</f>
        <v>02 - Outras Receitas</v>
      </c>
    </row>
    <row r="1289" spans="1:5" hidden="1" x14ac:dyDescent="0.25">
      <c r="A1289" s="23">
        <f t="shared" si="19"/>
        <v>43739</v>
      </c>
      <c r="B1289" s="5" t="s">
        <v>78</v>
      </c>
      <c r="C1289" s="5">
        <v>65805</v>
      </c>
      <c r="D1289" s="5" t="str">
        <f>_xlfn.XLOOKUP(fRealizado5[[#This Row],[Conta]],'Plano de Contas'!A:A,'Plano de Contas'!C:C)</f>
        <v>(+) RECEITA BRUTA</v>
      </c>
      <c r="E1289" s="5" t="str">
        <f>_xlfn.XLOOKUP(fRealizado5[[#This Row],[Conta]],'Plano de Contas'!A:A,'Plano de Contas'!D:D)</f>
        <v>02 - Outras Receitas</v>
      </c>
    </row>
    <row r="1290" spans="1:5" hidden="1" x14ac:dyDescent="0.25">
      <c r="A1290" s="23">
        <f t="shared" si="19"/>
        <v>43739</v>
      </c>
      <c r="B1290" s="5" t="s">
        <v>79</v>
      </c>
      <c r="C1290" s="5">
        <v>61812</v>
      </c>
      <c r="D1290" s="5" t="str">
        <f>_xlfn.XLOOKUP(fRealizado5[[#This Row],[Conta]],'Plano de Contas'!A:A,'Plano de Contas'!C:C)</f>
        <v>(+) RECEITA BRUTA</v>
      </c>
      <c r="E1290" s="5" t="str">
        <f>_xlfn.XLOOKUP(fRealizado5[[#This Row],[Conta]],'Plano de Contas'!A:A,'Plano de Contas'!D:D)</f>
        <v>02 - Outras Receitas</v>
      </c>
    </row>
    <row r="1291" spans="1:5" hidden="1" x14ac:dyDescent="0.25">
      <c r="A1291" s="23">
        <f t="shared" si="19"/>
        <v>43739</v>
      </c>
      <c r="B1291" s="5" t="s">
        <v>80</v>
      </c>
      <c r="C1291" s="5">
        <v>260797</v>
      </c>
      <c r="D1291" s="5" t="str">
        <f>_xlfn.XLOOKUP(fRealizado5[[#This Row],[Conta]],'Plano de Contas'!A:A,'Plano de Contas'!C:C)</f>
        <v>(+) RECEITA BRUTA</v>
      </c>
      <c r="E1291" s="5" t="str">
        <f>_xlfn.XLOOKUP(fRealizado5[[#This Row],[Conta]],'Plano de Contas'!A:A,'Plano de Contas'!D:D)</f>
        <v>02 - Outras Receitas</v>
      </c>
    </row>
    <row r="1292" spans="1:5" hidden="1" x14ac:dyDescent="0.25">
      <c r="A1292" s="23">
        <f t="shared" si="19"/>
        <v>43739</v>
      </c>
      <c r="B1292" s="5" t="s">
        <v>81</v>
      </c>
      <c r="C1292" s="5">
        <v>66955</v>
      </c>
      <c r="D1292" s="5" t="str">
        <f>_xlfn.XLOOKUP(fRealizado5[[#This Row],[Conta]],'Plano de Contas'!A:A,'Plano de Contas'!C:C)</f>
        <v>(+) RECEITA BRUTA</v>
      </c>
      <c r="E1292" s="5" t="str">
        <f>_xlfn.XLOOKUP(fRealizado5[[#This Row],[Conta]],'Plano de Contas'!A:A,'Plano de Contas'!D:D)</f>
        <v>02 - Outras Receitas</v>
      </c>
    </row>
    <row r="1293" spans="1:5" hidden="1" x14ac:dyDescent="0.25">
      <c r="A1293" s="23">
        <f t="shared" si="19"/>
        <v>43739</v>
      </c>
      <c r="B1293" s="5" t="s">
        <v>82</v>
      </c>
      <c r="C1293" s="5">
        <v>223791</v>
      </c>
      <c r="D1293" s="5" t="str">
        <f>_xlfn.XLOOKUP(fRealizado5[[#This Row],[Conta]],'Plano de Contas'!A:A,'Plano de Contas'!C:C)</f>
        <v>(+) RECEITA BRUTA</v>
      </c>
      <c r="E1293" s="5" t="str">
        <f>_xlfn.XLOOKUP(fRealizado5[[#This Row],[Conta]],'Plano de Contas'!A:A,'Plano de Contas'!D:D)</f>
        <v>02 - Outras Receitas</v>
      </c>
    </row>
    <row r="1294" spans="1:5" hidden="1" x14ac:dyDescent="0.25">
      <c r="A1294" s="23">
        <f t="shared" si="19"/>
        <v>43739</v>
      </c>
      <c r="B1294" s="5" t="s">
        <v>83</v>
      </c>
      <c r="C1294" s="5">
        <v>52687</v>
      </c>
      <c r="D1294" s="5" t="str">
        <f>_xlfn.XLOOKUP(fRealizado5[[#This Row],[Conta]],'Plano de Contas'!A:A,'Plano de Contas'!C:C)</f>
        <v>(+) RECEITA BRUTA</v>
      </c>
      <c r="E1294" s="5" t="str">
        <f>_xlfn.XLOOKUP(fRealizado5[[#This Row],[Conta]],'Plano de Contas'!A:A,'Plano de Contas'!D:D)</f>
        <v>02 - Outras Receitas</v>
      </c>
    </row>
    <row r="1295" spans="1:5" hidden="1" x14ac:dyDescent="0.25">
      <c r="A1295" s="23">
        <f t="shared" si="19"/>
        <v>43739</v>
      </c>
      <c r="B1295" s="5" t="s">
        <v>84</v>
      </c>
      <c r="C1295" s="5">
        <v>124461</v>
      </c>
      <c r="D1295" s="5" t="str">
        <f>_xlfn.XLOOKUP(fRealizado5[[#This Row],[Conta]],'Plano de Contas'!A:A,'Plano de Contas'!C:C)</f>
        <v>(+) RECEITA BRUTA</v>
      </c>
      <c r="E1295" s="5" t="str">
        <f>_xlfn.XLOOKUP(fRealizado5[[#This Row],[Conta]],'Plano de Contas'!A:A,'Plano de Contas'!D:D)</f>
        <v>02 - Outras Receitas</v>
      </c>
    </row>
    <row r="1296" spans="1:5" hidden="1" x14ac:dyDescent="0.25">
      <c r="A1296" s="23">
        <f t="shared" si="19"/>
        <v>43739</v>
      </c>
      <c r="B1296" s="5" t="s">
        <v>85</v>
      </c>
      <c r="C1296" s="5">
        <v>150263</v>
      </c>
      <c r="D1296" s="5" t="str">
        <f>_xlfn.XLOOKUP(fRealizado5[[#This Row],[Conta]],'Plano de Contas'!A:A,'Plano de Contas'!C:C)</f>
        <v>(+) RECEITA BRUTA</v>
      </c>
      <c r="E1296" s="5" t="str">
        <f>_xlfn.XLOOKUP(fRealizado5[[#This Row],[Conta]],'Plano de Contas'!A:A,'Plano de Contas'!D:D)</f>
        <v>02 - Outras Receitas</v>
      </c>
    </row>
    <row r="1297" spans="1:5" hidden="1" x14ac:dyDescent="0.25">
      <c r="A1297" s="23">
        <f t="shared" si="19"/>
        <v>43739</v>
      </c>
      <c r="B1297" s="5" t="s">
        <v>86</v>
      </c>
      <c r="C1297" s="5">
        <v>106409</v>
      </c>
      <c r="D1297" s="5" t="str">
        <f>_xlfn.XLOOKUP(fRealizado5[[#This Row],[Conta]],'Plano de Contas'!A:A,'Plano de Contas'!C:C)</f>
        <v>(+) RECEITA BRUTA</v>
      </c>
      <c r="E1297" s="5" t="str">
        <f>_xlfn.XLOOKUP(fRealizado5[[#This Row],[Conta]],'Plano de Contas'!A:A,'Plano de Contas'!D:D)</f>
        <v>02 - Outras Receitas</v>
      </c>
    </row>
    <row r="1298" spans="1:5" hidden="1" x14ac:dyDescent="0.25">
      <c r="A1298" s="23">
        <f t="shared" si="19"/>
        <v>43739</v>
      </c>
      <c r="B1298" s="5" t="s">
        <v>87</v>
      </c>
      <c r="C1298" s="5">
        <v>292137</v>
      </c>
      <c r="D1298" s="5" t="str">
        <f>_xlfn.XLOOKUP(fRealizado5[[#This Row],[Conta]],'Plano de Contas'!A:A,'Plano de Contas'!C:C)</f>
        <v>(+) RECEITA BRUTA</v>
      </c>
      <c r="E1298" s="5" t="str">
        <f>_xlfn.XLOOKUP(fRealizado5[[#This Row],[Conta]],'Plano de Contas'!A:A,'Plano de Contas'!D:D)</f>
        <v>02 - Outras Receitas</v>
      </c>
    </row>
    <row r="1299" spans="1:5" hidden="1" x14ac:dyDescent="0.25">
      <c r="A1299" s="23">
        <f t="shared" si="19"/>
        <v>43739</v>
      </c>
      <c r="B1299" s="5" t="s">
        <v>88</v>
      </c>
      <c r="C1299" s="5">
        <v>168530</v>
      </c>
      <c r="D1299" s="5" t="str">
        <f>_xlfn.XLOOKUP(fRealizado5[[#This Row],[Conta]],'Plano de Contas'!A:A,'Plano de Contas'!C:C)</f>
        <v>(+) RECEITA BRUTA</v>
      </c>
      <c r="E1299" s="5" t="str">
        <f>_xlfn.XLOOKUP(fRealizado5[[#This Row],[Conta]],'Plano de Contas'!A:A,'Plano de Contas'!D:D)</f>
        <v>02 - Outras Receitas</v>
      </c>
    </row>
    <row r="1300" spans="1:5" hidden="1" x14ac:dyDescent="0.25">
      <c r="A1300" s="23">
        <f t="shared" si="19"/>
        <v>43739</v>
      </c>
      <c r="B1300" s="5" t="s">
        <v>89</v>
      </c>
      <c r="C1300" s="5">
        <v>96030</v>
      </c>
      <c r="D1300" s="5" t="str">
        <f>_xlfn.XLOOKUP(fRealizado5[[#This Row],[Conta]],'Plano de Contas'!A:A,'Plano de Contas'!C:C)</f>
        <v>(+) RECEITA BRUTA</v>
      </c>
      <c r="E1300" s="5" t="str">
        <f>_xlfn.XLOOKUP(fRealizado5[[#This Row],[Conta]],'Plano de Contas'!A:A,'Plano de Contas'!D:D)</f>
        <v>02 - Outras Receitas</v>
      </c>
    </row>
    <row r="1301" spans="1:5" hidden="1" x14ac:dyDescent="0.25">
      <c r="A1301" s="23">
        <f t="shared" si="19"/>
        <v>43739</v>
      </c>
      <c r="B1301" s="5" t="s">
        <v>90</v>
      </c>
      <c r="C1301" s="5">
        <v>210606</v>
      </c>
      <c r="D1301" s="5" t="str">
        <f>_xlfn.XLOOKUP(fRealizado5[[#This Row],[Conta]],'Plano de Contas'!A:A,'Plano de Contas'!C:C)</f>
        <v>(+) RECEITA BRUTA</v>
      </c>
      <c r="E1301" s="5" t="str">
        <f>_xlfn.XLOOKUP(fRealizado5[[#This Row],[Conta]],'Plano de Contas'!A:A,'Plano de Contas'!D:D)</f>
        <v>02 - Outras Receitas</v>
      </c>
    </row>
    <row r="1302" spans="1:5" hidden="1" x14ac:dyDescent="0.25">
      <c r="A1302" s="23">
        <f t="shared" si="19"/>
        <v>43739</v>
      </c>
      <c r="B1302" s="5" t="s">
        <v>91</v>
      </c>
      <c r="C1302" s="5">
        <v>110925</v>
      </c>
      <c r="D1302" s="5" t="str">
        <f>_xlfn.XLOOKUP(fRealizado5[[#This Row],[Conta]],'Plano de Contas'!A:A,'Plano de Contas'!C:C)</f>
        <v>(+) RECEITA BRUTA</v>
      </c>
      <c r="E1302" s="5" t="str">
        <f>_xlfn.XLOOKUP(fRealizado5[[#This Row],[Conta]],'Plano de Contas'!A:A,'Plano de Contas'!D:D)</f>
        <v>02 - Outras Receitas</v>
      </c>
    </row>
    <row r="1303" spans="1:5" hidden="1" x14ac:dyDescent="0.25">
      <c r="A1303" s="23">
        <f t="shared" si="19"/>
        <v>43739</v>
      </c>
      <c r="B1303" s="5" t="s">
        <v>92</v>
      </c>
      <c r="C1303" s="5">
        <v>147032</v>
      </c>
      <c r="D1303" s="5" t="str">
        <f>_xlfn.XLOOKUP(fRealizado5[[#This Row],[Conta]],'Plano de Contas'!A:A,'Plano de Contas'!C:C)</f>
        <v>(+) RECEITA BRUTA</v>
      </c>
      <c r="E1303" s="5" t="str">
        <f>_xlfn.XLOOKUP(fRealizado5[[#This Row],[Conta]],'Plano de Contas'!A:A,'Plano de Contas'!D:D)</f>
        <v>02 - Outras Receitas</v>
      </c>
    </row>
    <row r="1304" spans="1:5" hidden="1" x14ac:dyDescent="0.25">
      <c r="A1304" s="23">
        <f t="shared" si="19"/>
        <v>43739</v>
      </c>
      <c r="B1304" s="5" t="s">
        <v>93</v>
      </c>
      <c r="C1304" s="5">
        <v>183576</v>
      </c>
      <c r="D1304" s="5" t="str">
        <f>_xlfn.XLOOKUP(fRealizado5[[#This Row],[Conta]],'Plano de Contas'!A:A,'Plano de Contas'!C:C)</f>
        <v>(+) RECEITA BRUTA</v>
      </c>
      <c r="E1304" s="5" t="str">
        <f>_xlfn.XLOOKUP(fRealizado5[[#This Row],[Conta]],'Plano de Contas'!A:A,'Plano de Contas'!D:D)</f>
        <v>02 - Outras Receitas</v>
      </c>
    </row>
    <row r="1305" spans="1:5" hidden="1" x14ac:dyDescent="0.25">
      <c r="A1305" s="23">
        <f t="shared" si="19"/>
        <v>43739</v>
      </c>
      <c r="B1305" s="5" t="s">
        <v>94</v>
      </c>
      <c r="C1305" s="5">
        <v>155455</v>
      </c>
      <c r="D1305" s="5" t="str">
        <f>_xlfn.XLOOKUP(fRealizado5[[#This Row],[Conta]],'Plano de Contas'!A:A,'Plano de Contas'!C:C)</f>
        <v>(+) RECEITA BRUTA</v>
      </c>
      <c r="E1305" s="5" t="str">
        <f>_xlfn.XLOOKUP(fRealizado5[[#This Row],[Conta]],'Plano de Contas'!A:A,'Plano de Contas'!D:D)</f>
        <v>02 - Outras Receitas</v>
      </c>
    </row>
    <row r="1306" spans="1:5" hidden="1" x14ac:dyDescent="0.25">
      <c r="A1306" s="23">
        <f t="shared" si="19"/>
        <v>43739</v>
      </c>
      <c r="B1306" s="5" t="s">
        <v>95</v>
      </c>
      <c r="C1306" s="5">
        <v>153557</v>
      </c>
      <c r="D1306" s="5" t="str">
        <f>_xlfn.XLOOKUP(fRealizado5[[#This Row],[Conta]],'Plano de Contas'!A:A,'Plano de Contas'!C:C)</f>
        <v>(+) RECEITA BRUTA</v>
      </c>
      <c r="E1306" s="5" t="str">
        <f>_xlfn.XLOOKUP(fRealizado5[[#This Row],[Conta]],'Plano de Contas'!A:A,'Plano de Contas'!D:D)</f>
        <v>02 - Outras Receitas</v>
      </c>
    </row>
    <row r="1307" spans="1:5" hidden="1" x14ac:dyDescent="0.25">
      <c r="A1307" s="23">
        <f t="shared" si="19"/>
        <v>43739</v>
      </c>
      <c r="B1307" s="5" t="s">
        <v>96</v>
      </c>
      <c r="C1307" s="5">
        <v>189562</v>
      </c>
      <c r="D1307" s="5" t="str">
        <f>_xlfn.XLOOKUP(fRealizado5[[#This Row],[Conta]],'Plano de Contas'!A:A,'Plano de Contas'!C:C)</f>
        <v>(+) RECEITA BRUTA</v>
      </c>
      <c r="E1307" s="5" t="str">
        <f>_xlfn.XLOOKUP(fRealizado5[[#This Row],[Conta]],'Plano de Contas'!A:A,'Plano de Contas'!D:D)</f>
        <v>02 - Outras Receitas</v>
      </c>
    </row>
    <row r="1308" spans="1:5" hidden="1" x14ac:dyDescent="0.25">
      <c r="A1308" s="23">
        <f t="shared" si="19"/>
        <v>43739</v>
      </c>
      <c r="B1308" s="5" t="s">
        <v>97</v>
      </c>
      <c r="C1308" s="5">
        <v>214096</v>
      </c>
      <c r="D1308" s="5" t="str">
        <f>_xlfn.XLOOKUP(fRealizado5[[#This Row],[Conta]],'Plano de Contas'!A:A,'Plano de Contas'!C:C)</f>
        <v>(+) RECEITA BRUTA</v>
      </c>
      <c r="E1308" s="5" t="str">
        <f>_xlfn.XLOOKUP(fRealizado5[[#This Row],[Conta]],'Plano de Contas'!A:A,'Plano de Contas'!D:D)</f>
        <v>02 - Outras Receitas</v>
      </c>
    </row>
    <row r="1309" spans="1:5" hidden="1" x14ac:dyDescent="0.25">
      <c r="A1309" s="23">
        <f t="shared" si="19"/>
        <v>43739</v>
      </c>
      <c r="B1309" s="5" t="s">
        <v>98</v>
      </c>
      <c r="C1309" s="5">
        <v>145388</v>
      </c>
      <c r="D1309" s="5" t="str">
        <f>_xlfn.XLOOKUP(fRealizado5[[#This Row],[Conta]],'Plano de Contas'!A:A,'Plano de Contas'!C:C)</f>
        <v>(+) RECEITA BRUTA</v>
      </c>
      <c r="E1309" s="5" t="str">
        <f>_xlfn.XLOOKUP(fRealizado5[[#This Row],[Conta]],'Plano de Contas'!A:A,'Plano de Contas'!D:D)</f>
        <v>02 - Outras Receitas</v>
      </c>
    </row>
    <row r="1310" spans="1:5" hidden="1" x14ac:dyDescent="0.25">
      <c r="A1310" s="23">
        <f t="shared" si="19"/>
        <v>43739</v>
      </c>
      <c r="B1310" s="5" t="s">
        <v>99</v>
      </c>
      <c r="C1310" s="5">
        <v>142959</v>
      </c>
      <c r="D1310" s="5" t="str">
        <f>_xlfn.XLOOKUP(fRealizado5[[#This Row],[Conta]],'Plano de Contas'!A:A,'Plano de Contas'!C:C)</f>
        <v>(+) RECEITA BRUTA</v>
      </c>
      <c r="E1310" s="5" t="str">
        <f>_xlfn.XLOOKUP(fRealizado5[[#This Row],[Conta]],'Plano de Contas'!A:A,'Plano de Contas'!D:D)</f>
        <v>02 - Outras Receitas</v>
      </c>
    </row>
    <row r="1311" spans="1:5" hidden="1" x14ac:dyDescent="0.25">
      <c r="A1311" s="23">
        <f t="shared" si="19"/>
        <v>43739</v>
      </c>
      <c r="B1311" s="5" t="s">
        <v>100</v>
      </c>
      <c r="C1311" s="5">
        <v>171763</v>
      </c>
      <c r="D1311" s="5" t="str">
        <f>_xlfn.XLOOKUP(fRealizado5[[#This Row],[Conta]],'Plano de Contas'!A:A,'Plano de Contas'!C:C)</f>
        <v>(+) RECEITA BRUTA</v>
      </c>
      <c r="E1311" s="5" t="str">
        <f>_xlfn.XLOOKUP(fRealizado5[[#This Row],[Conta]],'Plano de Contas'!A:A,'Plano de Contas'!D:D)</f>
        <v>02 - Outras Receitas</v>
      </c>
    </row>
    <row r="1312" spans="1:5" hidden="1" x14ac:dyDescent="0.25">
      <c r="A1312" s="23">
        <f t="shared" si="19"/>
        <v>43739</v>
      </c>
      <c r="B1312" s="5" t="s">
        <v>101</v>
      </c>
      <c r="C1312" s="5">
        <v>147325</v>
      </c>
      <c r="D1312" s="5" t="str">
        <f>_xlfn.XLOOKUP(fRealizado5[[#This Row],[Conta]],'Plano de Contas'!A:A,'Plano de Contas'!C:C)</f>
        <v>(+) RECEITA BRUTA</v>
      </c>
      <c r="E1312" s="5" t="str">
        <f>_xlfn.XLOOKUP(fRealizado5[[#This Row],[Conta]],'Plano de Contas'!A:A,'Plano de Contas'!D:D)</f>
        <v>02 - Outras Receitas</v>
      </c>
    </row>
    <row r="1313" spans="1:5" hidden="1" x14ac:dyDescent="0.25">
      <c r="A1313" s="23">
        <f t="shared" si="19"/>
        <v>43739</v>
      </c>
      <c r="B1313" s="5" t="s">
        <v>102</v>
      </c>
      <c r="C1313" s="5">
        <v>178525</v>
      </c>
      <c r="D1313" s="5" t="str">
        <f>_xlfn.XLOOKUP(fRealizado5[[#This Row],[Conta]],'Plano de Contas'!A:A,'Plano de Contas'!C:C)</f>
        <v>(+) RECEITA BRUTA</v>
      </c>
      <c r="E1313" s="5" t="str">
        <f>_xlfn.XLOOKUP(fRealizado5[[#This Row],[Conta]],'Plano de Contas'!A:A,'Plano de Contas'!D:D)</f>
        <v>02 - Outras Receitas</v>
      </c>
    </row>
    <row r="1314" spans="1:5" hidden="1" x14ac:dyDescent="0.25">
      <c r="A1314" s="23">
        <f t="shared" si="19"/>
        <v>43739</v>
      </c>
      <c r="B1314" s="5" t="s">
        <v>103</v>
      </c>
      <c r="C1314" s="5">
        <v>199365</v>
      </c>
      <c r="D1314" s="5" t="str">
        <f>_xlfn.XLOOKUP(fRealizado5[[#This Row],[Conta]],'Plano de Contas'!A:A,'Plano de Contas'!C:C)</f>
        <v>(+) RECEITA BRUTA</v>
      </c>
      <c r="E1314" s="5" t="str">
        <f>_xlfn.XLOOKUP(fRealizado5[[#This Row],[Conta]],'Plano de Contas'!A:A,'Plano de Contas'!D:D)</f>
        <v>02 - Outras Receitas</v>
      </c>
    </row>
    <row r="1315" spans="1:5" hidden="1" x14ac:dyDescent="0.25">
      <c r="A1315" s="23">
        <f t="shared" si="19"/>
        <v>43739</v>
      </c>
      <c r="B1315" s="5" t="s">
        <v>104</v>
      </c>
      <c r="C1315" s="5">
        <v>90072</v>
      </c>
      <c r="D1315" s="5" t="str">
        <f>_xlfn.XLOOKUP(fRealizado5[[#This Row],[Conta]],'Plano de Contas'!A:A,'Plano de Contas'!C:C)</f>
        <v>(+) RECEITA BRUTA</v>
      </c>
      <c r="E1315" s="5" t="str">
        <f>_xlfn.XLOOKUP(fRealizado5[[#This Row],[Conta]],'Plano de Contas'!A:A,'Plano de Contas'!D:D)</f>
        <v>02 - Outras Receitas</v>
      </c>
    </row>
    <row r="1316" spans="1:5" hidden="1" x14ac:dyDescent="0.25">
      <c r="A1316" s="23">
        <f t="shared" si="19"/>
        <v>43739</v>
      </c>
      <c r="B1316" s="5" t="s">
        <v>105</v>
      </c>
      <c r="C1316" s="5">
        <v>223304</v>
      </c>
      <c r="D1316" s="5" t="str">
        <f>_xlfn.XLOOKUP(fRealizado5[[#This Row],[Conta]],'Plano de Contas'!A:A,'Plano de Contas'!C:C)</f>
        <v>(+) RECEITA BRUTA</v>
      </c>
      <c r="E1316" s="5" t="str">
        <f>_xlfn.XLOOKUP(fRealizado5[[#This Row],[Conta]],'Plano de Contas'!A:A,'Plano de Contas'!D:D)</f>
        <v>02 - Outras Receitas</v>
      </c>
    </row>
    <row r="1317" spans="1:5" hidden="1" x14ac:dyDescent="0.25">
      <c r="A1317" s="23">
        <f t="shared" si="19"/>
        <v>43739</v>
      </c>
      <c r="B1317" s="5" t="s">
        <v>106</v>
      </c>
      <c r="C1317" s="5">
        <v>73802</v>
      </c>
      <c r="D1317" s="5" t="str">
        <f>_xlfn.XLOOKUP(fRealizado5[[#This Row],[Conta]],'Plano de Contas'!A:A,'Plano de Contas'!C:C)</f>
        <v>(+) RECEITA BRUTA</v>
      </c>
      <c r="E1317" s="5" t="str">
        <f>_xlfn.XLOOKUP(fRealizado5[[#This Row],[Conta]],'Plano de Contas'!A:A,'Plano de Contas'!D:D)</f>
        <v>02 - Outras Receitas</v>
      </c>
    </row>
    <row r="1318" spans="1:5" hidden="1" x14ac:dyDescent="0.25">
      <c r="A1318" s="23">
        <f t="shared" si="19"/>
        <v>43739</v>
      </c>
      <c r="B1318" s="5" t="s">
        <v>107</v>
      </c>
      <c r="C1318" s="5">
        <v>251560</v>
      </c>
      <c r="D1318" s="5" t="str">
        <f>_xlfn.XLOOKUP(fRealizado5[[#This Row],[Conta]],'Plano de Contas'!A:A,'Plano de Contas'!C:C)</f>
        <v>(+) RECEITA BRUTA</v>
      </c>
      <c r="E1318" s="5" t="str">
        <f>_xlfn.XLOOKUP(fRealizado5[[#This Row],[Conta]],'Plano de Contas'!A:A,'Plano de Contas'!D:D)</f>
        <v>02 - Outras Receitas</v>
      </c>
    </row>
    <row r="1319" spans="1:5" hidden="1" x14ac:dyDescent="0.25">
      <c r="A1319" s="23">
        <f t="shared" si="19"/>
        <v>43739</v>
      </c>
      <c r="B1319" s="5" t="s">
        <v>108</v>
      </c>
      <c r="C1319" s="5">
        <v>252520</v>
      </c>
      <c r="D1319" s="5" t="str">
        <f>_xlfn.XLOOKUP(fRealizado5[[#This Row],[Conta]],'Plano de Contas'!A:A,'Plano de Contas'!C:C)</f>
        <v>(+) RECEITA BRUTA</v>
      </c>
      <c r="E1319" s="5" t="str">
        <f>_xlfn.XLOOKUP(fRealizado5[[#This Row],[Conta]],'Plano de Contas'!A:A,'Plano de Contas'!D:D)</f>
        <v>02 - Outras Receitas</v>
      </c>
    </row>
    <row r="1320" spans="1:5" hidden="1" x14ac:dyDescent="0.25">
      <c r="A1320" s="23">
        <f t="shared" si="19"/>
        <v>43739</v>
      </c>
      <c r="B1320" s="5" t="s">
        <v>109</v>
      </c>
      <c r="C1320" s="5">
        <v>120421</v>
      </c>
      <c r="D1320" s="5" t="str">
        <f>_xlfn.XLOOKUP(fRealizado5[[#This Row],[Conta]],'Plano de Contas'!A:A,'Plano de Contas'!C:C)</f>
        <v>(+) RECEITA BRUTA</v>
      </c>
      <c r="E1320" s="5" t="str">
        <f>_xlfn.XLOOKUP(fRealizado5[[#This Row],[Conta]],'Plano de Contas'!A:A,'Plano de Contas'!D:D)</f>
        <v>02 - Outras Receitas</v>
      </c>
    </row>
    <row r="1321" spans="1:5" hidden="1" x14ac:dyDescent="0.25">
      <c r="A1321" s="23">
        <f t="shared" si="19"/>
        <v>43739</v>
      </c>
      <c r="B1321" s="5" t="s">
        <v>110</v>
      </c>
      <c r="C1321" s="5">
        <v>-6990</v>
      </c>
      <c r="D1321" s="5" t="str">
        <f>_xlfn.XLOOKUP(fRealizado5[[#This Row],[Conta]],'Plano de Contas'!A:A,'Plano de Contas'!C:C)</f>
        <v>(-) Deduções da Receita</v>
      </c>
      <c r="E1321" s="5" t="str">
        <f>_xlfn.XLOOKUP(fRealizado5[[#This Row],[Conta]],'Plano de Contas'!A:A,'Plano de Contas'!D:D)</f>
        <v>03 - Devoluções de Produtos</v>
      </c>
    </row>
    <row r="1322" spans="1:5" hidden="1" x14ac:dyDescent="0.25">
      <c r="A1322" s="23">
        <f t="shared" si="19"/>
        <v>43739</v>
      </c>
      <c r="B1322" s="5" t="s">
        <v>111</v>
      </c>
      <c r="C1322" s="5">
        <v>-9859</v>
      </c>
      <c r="D1322" s="5" t="str">
        <f>_xlfn.XLOOKUP(fRealizado5[[#This Row],[Conta]],'Plano de Contas'!A:A,'Plano de Contas'!C:C)</f>
        <v>(-) Deduções da Receita</v>
      </c>
      <c r="E1322" s="5" t="str">
        <f>_xlfn.XLOOKUP(fRealizado5[[#This Row],[Conta]],'Plano de Contas'!A:A,'Plano de Contas'!D:D)</f>
        <v>03 - Devoluções de Produtos</v>
      </c>
    </row>
    <row r="1323" spans="1:5" hidden="1" x14ac:dyDescent="0.25">
      <c r="A1323" s="23">
        <f t="shared" si="19"/>
        <v>43739</v>
      </c>
      <c r="B1323" s="5" t="s">
        <v>112</v>
      </c>
      <c r="C1323" s="5">
        <v>-5172</v>
      </c>
      <c r="D1323" s="5" t="str">
        <f>_xlfn.XLOOKUP(fRealizado5[[#This Row],[Conta]],'Plano de Contas'!A:A,'Plano de Contas'!C:C)</f>
        <v>(-) Deduções da Receita</v>
      </c>
      <c r="E1323" s="5" t="str">
        <f>_xlfn.XLOOKUP(fRealizado5[[#This Row],[Conta]],'Plano de Contas'!A:A,'Plano de Contas'!D:D)</f>
        <v>03 - Devoluções de Produtos</v>
      </c>
    </row>
    <row r="1324" spans="1:5" hidden="1" x14ac:dyDescent="0.25">
      <c r="A1324" s="23">
        <f t="shared" si="19"/>
        <v>43739</v>
      </c>
      <c r="B1324" s="5" t="s">
        <v>113</v>
      </c>
      <c r="C1324" s="5">
        <v>-1334</v>
      </c>
      <c r="D1324" s="5" t="str">
        <f>_xlfn.XLOOKUP(fRealizado5[[#This Row],[Conta]],'Plano de Contas'!A:A,'Plano de Contas'!C:C)</f>
        <v>(-) Deduções da Receita</v>
      </c>
      <c r="E1324" s="5" t="str">
        <f>_xlfn.XLOOKUP(fRealizado5[[#This Row],[Conta]],'Plano de Contas'!A:A,'Plano de Contas'!D:D)</f>
        <v>03 - Devoluções de Produtos</v>
      </c>
    </row>
    <row r="1325" spans="1:5" hidden="1" x14ac:dyDescent="0.25">
      <c r="A1325" s="23">
        <f t="shared" si="19"/>
        <v>43739</v>
      </c>
      <c r="B1325" s="5" t="s">
        <v>114</v>
      </c>
      <c r="C1325" s="5">
        <v>-2555</v>
      </c>
      <c r="D1325" s="5" t="str">
        <f>_xlfn.XLOOKUP(fRealizado5[[#This Row],[Conta]],'Plano de Contas'!A:A,'Plano de Contas'!C:C)</f>
        <v>(-) Deduções da Receita</v>
      </c>
      <c r="E1325" s="5" t="str">
        <f>_xlfn.XLOOKUP(fRealizado5[[#This Row],[Conta]],'Plano de Contas'!A:A,'Plano de Contas'!D:D)</f>
        <v>03 - Devoluções de Produtos</v>
      </c>
    </row>
    <row r="1326" spans="1:5" hidden="1" x14ac:dyDescent="0.25">
      <c r="A1326" s="23">
        <f t="shared" si="19"/>
        <v>43739</v>
      </c>
      <c r="B1326" s="5" t="s">
        <v>115</v>
      </c>
      <c r="C1326" s="5">
        <v>-9468</v>
      </c>
      <c r="D1326" s="5" t="str">
        <f>_xlfn.XLOOKUP(fRealizado5[[#This Row],[Conta]],'Plano de Contas'!A:A,'Plano de Contas'!C:C)</f>
        <v>(-) Deduções da Receita</v>
      </c>
      <c r="E1326" s="5" t="str">
        <f>_xlfn.XLOOKUP(fRealizado5[[#This Row],[Conta]],'Plano de Contas'!A:A,'Plano de Contas'!D:D)</f>
        <v>03 - Devoluções de Produtos</v>
      </c>
    </row>
    <row r="1327" spans="1:5" hidden="1" x14ac:dyDescent="0.25">
      <c r="A1327" s="23">
        <f t="shared" si="19"/>
        <v>43739</v>
      </c>
      <c r="B1327" s="5" t="s">
        <v>116</v>
      </c>
      <c r="C1327" s="5">
        <v>-4295</v>
      </c>
      <c r="D1327" s="5" t="str">
        <f>_xlfn.XLOOKUP(fRealizado5[[#This Row],[Conta]],'Plano de Contas'!A:A,'Plano de Contas'!C:C)</f>
        <v>(-) Deduções da Receita</v>
      </c>
      <c r="E1327" s="5" t="str">
        <f>_xlfn.XLOOKUP(fRealizado5[[#This Row],[Conta]],'Plano de Contas'!A:A,'Plano de Contas'!D:D)</f>
        <v>03 - Devoluções de Produtos</v>
      </c>
    </row>
    <row r="1328" spans="1:5" hidden="1" x14ac:dyDescent="0.25">
      <c r="A1328" s="23">
        <f t="shared" si="19"/>
        <v>43739</v>
      </c>
      <c r="B1328" s="5" t="s">
        <v>117</v>
      </c>
      <c r="C1328" s="5">
        <v>-5398</v>
      </c>
      <c r="D1328" s="5" t="str">
        <f>_xlfn.XLOOKUP(fRealizado5[[#This Row],[Conta]],'Plano de Contas'!A:A,'Plano de Contas'!C:C)</f>
        <v>(-) Deduções da Receita</v>
      </c>
      <c r="E1328" s="5" t="str">
        <f>_xlfn.XLOOKUP(fRealizado5[[#This Row],[Conta]],'Plano de Contas'!A:A,'Plano de Contas'!D:D)</f>
        <v>03 - Devoluções de Produtos</v>
      </c>
    </row>
    <row r="1329" spans="1:5" hidden="1" x14ac:dyDescent="0.25">
      <c r="A1329" s="23">
        <f t="shared" si="19"/>
        <v>43739</v>
      </c>
      <c r="B1329" s="5" t="s">
        <v>118</v>
      </c>
      <c r="C1329" s="5">
        <v>-2381</v>
      </c>
      <c r="D1329" s="5" t="str">
        <f>_xlfn.XLOOKUP(fRealizado5[[#This Row],[Conta]],'Plano de Contas'!A:A,'Plano de Contas'!C:C)</f>
        <v>(-) Deduções da Receita</v>
      </c>
      <c r="E1329" s="5" t="str">
        <f>_xlfn.XLOOKUP(fRealizado5[[#This Row],[Conta]],'Plano de Contas'!A:A,'Plano de Contas'!D:D)</f>
        <v>03 - Devoluções de Produtos</v>
      </c>
    </row>
    <row r="1330" spans="1:5" hidden="1" x14ac:dyDescent="0.25">
      <c r="A1330" s="23">
        <f t="shared" si="19"/>
        <v>43739</v>
      </c>
      <c r="B1330" s="5" t="s">
        <v>119</v>
      </c>
      <c r="C1330" s="5">
        <v>-6350</v>
      </c>
      <c r="D1330" s="5" t="str">
        <f>_xlfn.XLOOKUP(fRealizado5[[#This Row],[Conta]],'Plano de Contas'!A:A,'Plano de Contas'!C:C)</f>
        <v>(-) Deduções da Receita</v>
      </c>
      <c r="E1330" s="5" t="str">
        <f>_xlfn.XLOOKUP(fRealizado5[[#This Row],[Conta]],'Plano de Contas'!A:A,'Plano de Contas'!D:D)</f>
        <v>03 - Devoluções de Produtos</v>
      </c>
    </row>
    <row r="1331" spans="1:5" hidden="1" x14ac:dyDescent="0.25">
      <c r="A1331" s="23">
        <f t="shared" si="19"/>
        <v>43739</v>
      </c>
      <c r="B1331" s="5" t="s">
        <v>120</v>
      </c>
      <c r="C1331" s="5">
        <v>-6167</v>
      </c>
      <c r="D1331" s="5" t="str">
        <f>_xlfn.XLOOKUP(fRealizado5[[#This Row],[Conta]],'Plano de Contas'!A:A,'Plano de Contas'!C:C)</f>
        <v>(-) Deduções da Receita</v>
      </c>
      <c r="E1331" s="5" t="str">
        <f>_xlfn.XLOOKUP(fRealizado5[[#This Row],[Conta]],'Plano de Contas'!A:A,'Plano de Contas'!D:D)</f>
        <v>03 - Devoluções de Produtos</v>
      </c>
    </row>
    <row r="1332" spans="1:5" hidden="1" x14ac:dyDescent="0.25">
      <c r="A1332" s="23">
        <f t="shared" si="19"/>
        <v>43739</v>
      </c>
      <c r="B1332" s="5" t="s">
        <v>121</v>
      </c>
      <c r="C1332" s="5">
        <v>-1053</v>
      </c>
      <c r="D1332" s="5" t="str">
        <f>_xlfn.XLOOKUP(fRealizado5[[#This Row],[Conta]],'Plano de Contas'!A:A,'Plano de Contas'!C:C)</f>
        <v>(-) Deduções da Receita</v>
      </c>
      <c r="E1332" s="5" t="str">
        <f>_xlfn.XLOOKUP(fRealizado5[[#This Row],[Conta]],'Plano de Contas'!A:A,'Plano de Contas'!D:D)</f>
        <v>03 - Devoluções de Produtos</v>
      </c>
    </row>
    <row r="1333" spans="1:5" hidden="1" x14ac:dyDescent="0.25">
      <c r="A1333" s="23">
        <f t="shared" si="19"/>
        <v>43739</v>
      </c>
      <c r="B1333" s="5" t="s">
        <v>122</v>
      </c>
      <c r="C1333" s="5">
        <v>-1438</v>
      </c>
      <c r="D1333" s="5" t="str">
        <f>_xlfn.XLOOKUP(fRealizado5[[#This Row],[Conta]],'Plano de Contas'!A:A,'Plano de Contas'!C:C)</f>
        <v>(-) Deduções da Receita</v>
      </c>
      <c r="E1333" s="5" t="str">
        <f>_xlfn.XLOOKUP(fRealizado5[[#This Row],[Conta]],'Plano de Contas'!A:A,'Plano de Contas'!D:D)</f>
        <v>03 - Devoluções de Produtos</v>
      </c>
    </row>
    <row r="1334" spans="1:5" hidden="1" x14ac:dyDescent="0.25">
      <c r="A1334" s="23">
        <f t="shared" si="19"/>
        <v>43739</v>
      </c>
      <c r="B1334" s="5" t="s">
        <v>123</v>
      </c>
      <c r="C1334" s="5">
        <v>-4090</v>
      </c>
      <c r="D1334" s="5" t="str">
        <f>_xlfn.XLOOKUP(fRealizado5[[#This Row],[Conta]],'Plano de Contas'!A:A,'Plano de Contas'!C:C)</f>
        <v>(-) Deduções da Receita</v>
      </c>
      <c r="E1334" s="5" t="str">
        <f>_xlfn.XLOOKUP(fRealizado5[[#This Row],[Conta]],'Plano de Contas'!A:A,'Plano de Contas'!D:D)</f>
        <v>03 - Devoluções de Produtos</v>
      </c>
    </row>
    <row r="1335" spans="1:5" hidden="1" x14ac:dyDescent="0.25">
      <c r="A1335" s="23">
        <f t="shared" si="19"/>
        <v>43739</v>
      </c>
      <c r="B1335" s="5" t="s">
        <v>124</v>
      </c>
      <c r="C1335" s="5">
        <v>-9401</v>
      </c>
      <c r="D1335" s="5" t="str">
        <f>_xlfn.XLOOKUP(fRealizado5[[#This Row],[Conta]],'Plano de Contas'!A:A,'Plano de Contas'!C:C)</f>
        <v>(-) Deduções da Receita</v>
      </c>
      <c r="E1335" s="5" t="str">
        <f>_xlfn.XLOOKUP(fRealizado5[[#This Row],[Conta]],'Plano de Contas'!A:A,'Plano de Contas'!D:D)</f>
        <v>03 - Devoluções de Produtos</v>
      </c>
    </row>
    <row r="1336" spans="1:5" hidden="1" x14ac:dyDescent="0.25">
      <c r="A1336" s="23">
        <f t="shared" si="19"/>
        <v>43739</v>
      </c>
      <c r="B1336" s="5" t="s">
        <v>125</v>
      </c>
      <c r="C1336" s="5">
        <v>-8153</v>
      </c>
      <c r="D1336" s="5" t="str">
        <f>_xlfn.XLOOKUP(fRealizado5[[#This Row],[Conta]],'Plano de Contas'!A:A,'Plano de Contas'!C:C)</f>
        <v>(-) Deduções da Receita</v>
      </c>
      <c r="E1336" s="5" t="str">
        <f>_xlfn.XLOOKUP(fRealizado5[[#This Row],[Conta]],'Plano de Contas'!A:A,'Plano de Contas'!D:D)</f>
        <v>03 - Devoluções de Produtos</v>
      </c>
    </row>
    <row r="1337" spans="1:5" hidden="1" x14ac:dyDescent="0.25">
      <c r="A1337" s="23">
        <f t="shared" si="19"/>
        <v>43739</v>
      </c>
      <c r="B1337" s="5" t="s">
        <v>126</v>
      </c>
      <c r="C1337" s="5">
        <v>-4669</v>
      </c>
      <c r="D1337" s="5" t="str">
        <f>_xlfn.XLOOKUP(fRealizado5[[#This Row],[Conta]],'Plano de Contas'!A:A,'Plano de Contas'!C:C)</f>
        <v>(-) Deduções da Receita</v>
      </c>
      <c r="E1337" s="5" t="str">
        <f>_xlfn.XLOOKUP(fRealizado5[[#This Row],[Conta]],'Plano de Contas'!A:A,'Plano de Contas'!D:D)</f>
        <v>03 - Devoluções de Produtos</v>
      </c>
    </row>
    <row r="1338" spans="1:5" hidden="1" x14ac:dyDescent="0.25">
      <c r="A1338" s="23">
        <f t="shared" si="19"/>
        <v>43739</v>
      </c>
      <c r="B1338" s="5" t="s">
        <v>127</v>
      </c>
      <c r="C1338" s="5">
        <v>-1261</v>
      </c>
      <c r="D1338" s="5" t="str">
        <f>_xlfn.XLOOKUP(fRealizado5[[#This Row],[Conta]],'Plano de Contas'!A:A,'Plano de Contas'!C:C)</f>
        <v>(-) Deduções da Receita</v>
      </c>
      <c r="E1338" s="5" t="str">
        <f>_xlfn.XLOOKUP(fRealizado5[[#This Row],[Conta]],'Plano de Contas'!A:A,'Plano de Contas'!D:D)</f>
        <v>03 - Devoluções de Produtos</v>
      </c>
    </row>
    <row r="1339" spans="1:5" hidden="1" x14ac:dyDescent="0.25">
      <c r="A1339" s="23">
        <f t="shared" si="19"/>
        <v>43739</v>
      </c>
      <c r="B1339" s="5" t="s">
        <v>128</v>
      </c>
      <c r="C1339" s="5">
        <v>-8888</v>
      </c>
      <c r="D1339" s="5" t="str">
        <f>_xlfn.XLOOKUP(fRealizado5[[#This Row],[Conta]],'Plano de Contas'!A:A,'Plano de Contas'!C:C)</f>
        <v>(-) Deduções da Receita</v>
      </c>
      <c r="E1339" s="5" t="str">
        <f>_xlfn.XLOOKUP(fRealizado5[[#This Row],[Conta]],'Plano de Contas'!A:A,'Plano de Contas'!D:D)</f>
        <v>03 - Devoluções de Produtos</v>
      </c>
    </row>
    <row r="1340" spans="1:5" hidden="1" x14ac:dyDescent="0.25">
      <c r="A1340" s="23">
        <f t="shared" si="19"/>
        <v>43739</v>
      </c>
      <c r="B1340" s="5" t="s">
        <v>129</v>
      </c>
      <c r="C1340" s="5">
        <v>-1622</v>
      </c>
      <c r="D1340" s="5" t="str">
        <f>_xlfn.XLOOKUP(fRealizado5[[#This Row],[Conta]],'Plano de Contas'!A:A,'Plano de Contas'!C:C)</f>
        <v>(-) Deduções da Receita</v>
      </c>
      <c r="E1340" s="5" t="str">
        <f>_xlfn.XLOOKUP(fRealizado5[[#This Row],[Conta]],'Plano de Contas'!A:A,'Plano de Contas'!D:D)</f>
        <v>03 - Devoluções de Produtos</v>
      </c>
    </row>
    <row r="1341" spans="1:5" hidden="1" x14ac:dyDescent="0.25">
      <c r="A1341" s="23">
        <f t="shared" si="19"/>
        <v>43739</v>
      </c>
      <c r="B1341" s="5" t="s">
        <v>130</v>
      </c>
      <c r="C1341" s="5">
        <v>-2170</v>
      </c>
      <c r="D1341" s="5" t="str">
        <f>_xlfn.XLOOKUP(fRealizado5[[#This Row],[Conta]],'Plano de Contas'!A:A,'Plano de Contas'!C:C)</f>
        <v>(-) Deduções da Receita</v>
      </c>
      <c r="E1341" s="5" t="str">
        <f>_xlfn.XLOOKUP(fRealizado5[[#This Row],[Conta]],'Plano de Contas'!A:A,'Plano de Contas'!D:D)</f>
        <v>03 - Devoluções de Produtos</v>
      </c>
    </row>
    <row r="1342" spans="1:5" hidden="1" x14ac:dyDescent="0.25">
      <c r="A1342" s="23">
        <f t="shared" si="19"/>
        <v>43739</v>
      </c>
      <c r="B1342" s="5" t="s">
        <v>131</v>
      </c>
      <c r="C1342" s="5">
        <v>-1513</v>
      </c>
      <c r="D1342" s="5" t="str">
        <f>_xlfn.XLOOKUP(fRealizado5[[#This Row],[Conta]],'Plano de Contas'!A:A,'Plano de Contas'!C:C)</f>
        <v>(-) Deduções da Receita</v>
      </c>
      <c r="E1342" s="5" t="str">
        <f>_xlfn.XLOOKUP(fRealizado5[[#This Row],[Conta]],'Plano de Contas'!A:A,'Plano de Contas'!D:D)</f>
        <v>03 - Devoluções de Produtos</v>
      </c>
    </row>
    <row r="1343" spans="1:5" hidden="1" x14ac:dyDescent="0.25">
      <c r="A1343" s="23">
        <f t="shared" si="19"/>
        <v>43739</v>
      </c>
      <c r="B1343" s="5" t="s">
        <v>132</v>
      </c>
      <c r="C1343" s="5">
        <v>-5606</v>
      </c>
      <c r="D1343" s="5" t="str">
        <f>_xlfn.XLOOKUP(fRealizado5[[#This Row],[Conta]],'Plano de Contas'!A:A,'Plano de Contas'!C:C)</f>
        <v>(-) Deduções da Receita</v>
      </c>
      <c r="E1343" s="5" t="str">
        <f>_xlfn.XLOOKUP(fRealizado5[[#This Row],[Conta]],'Plano de Contas'!A:A,'Plano de Contas'!D:D)</f>
        <v>03 - Devoluções de Produtos</v>
      </c>
    </row>
    <row r="1344" spans="1:5" hidden="1" x14ac:dyDescent="0.25">
      <c r="A1344" s="23">
        <f t="shared" si="19"/>
        <v>43739</v>
      </c>
      <c r="B1344" s="5" t="s">
        <v>133</v>
      </c>
      <c r="C1344" s="5">
        <v>-6758</v>
      </c>
      <c r="D1344" s="5" t="str">
        <f>_xlfn.XLOOKUP(fRealizado5[[#This Row],[Conta]],'Plano de Contas'!A:A,'Plano de Contas'!C:C)</f>
        <v>(-) Deduções da Receita</v>
      </c>
      <c r="E1344" s="5" t="str">
        <f>_xlfn.XLOOKUP(fRealizado5[[#This Row],[Conta]],'Plano de Contas'!A:A,'Plano de Contas'!D:D)</f>
        <v>03 - Devoluções de Produtos</v>
      </c>
    </row>
    <row r="1345" spans="1:5" hidden="1" x14ac:dyDescent="0.25">
      <c r="A1345" s="23">
        <f t="shared" si="19"/>
        <v>43739</v>
      </c>
      <c r="B1345" s="5" t="s">
        <v>134</v>
      </c>
      <c r="C1345" s="5">
        <v>-2306</v>
      </c>
      <c r="D1345" s="5" t="str">
        <f>_xlfn.XLOOKUP(fRealizado5[[#This Row],[Conta]],'Plano de Contas'!A:A,'Plano de Contas'!C:C)</f>
        <v>(-) Deduções da Receita</v>
      </c>
      <c r="E1345" s="5" t="str">
        <f>_xlfn.XLOOKUP(fRealizado5[[#This Row],[Conta]],'Plano de Contas'!A:A,'Plano de Contas'!D:D)</f>
        <v>03 - Devoluções de Produtos</v>
      </c>
    </row>
    <row r="1346" spans="1:5" hidden="1" x14ac:dyDescent="0.25">
      <c r="A1346" s="23">
        <f t="shared" si="19"/>
        <v>43739</v>
      </c>
      <c r="B1346" s="5" t="s">
        <v>135</v>
      </c>
      <c r="C1346" s="5">
        <v>-5365</v>
      </c>
      <c r="D1346" s="5" t="str">
        <f>_xlfn.XLOOKUP(fRealizado5[[#This Row],[Conta]],'Plano de Contas'!A:A,'Plano de Contas'!C:C)</f>
        <v>(-) Deduções da Receita</v>
      </c>
      <c r="E1346" s="5" t="str">
        <f>_xlfn.XLOOKUP(fRealizado5[[#This Row],[Conta]],'Plano de Contas'!A:A,'Plano de Contas'!D:D)</f>
        <v>03 - Devoluções de Produtos</v>
      </c>
    </row>
    <row r="1347" spans="1:5" hidden="1" x14ac:dyDescent="0.25">
      <c r="A1347" s="23">
        <f t="shared" si="19"/>
        <v>43739</v>
      </c>
      <c r="B1347" s="5" t="s">
        <v>136</v>
      </c>
      <c r="C1347" s="5">
        <v>-5524</v>
      </c>
      <c r="D1347" s="5" t="str">
        <f>_xlfn.XLOOKUP(fRealizado5[[#This Row],[Conta]],'Plano de Contas'!A:A,'Plano de Contas'!C:C)</f>
        <v>(-) Deduções da Receita</v>
      </c>
      <c r="E1347" s="5" t="str">
        <f>_xlfn.XLOOKUP(fRealizado5[[#This Row],[Conta]],'Plano de Contas'!A:A,'Plano de Contas'!D:D)</f>
        <v>04 - Taxas de Serviço</v>
      </c>
    </row>
    <row r="1348" spans="1:5" hidden="1" x14ac:dyDescent="0.25">
      <c r="A1348" s="23">
        <f t="shared" si="19"/>
        <v>43739</v>
      </c>
      <c r="B1348" s="5" t="s">
        <v>137</v>
      </c>
      <c r="C1348" s="5">
        <v>-8919</v>
      </c>
      <c r="D1348" s="5" t="str">
        <f>_xlfn.XLOOKUP(fRealizado5[[#This Row],[Conta]],'Plano de Contas'!A:A,'Plano de Contas'!C:C)</f>
        <v>(-) Deduções da Receita</v>
      </c>
      <c r="E1348" s="5" t="str">
        <f>_xlfn.XLOOKUP(fRealizado5[[#This Row],[Conta]],'Plano de Contas'!A:A,'Plano de Contas'!D:D)</f>
        <v>04 - Taxas de Serviço</v>
      </c>
    </row>
    <row r="1349" spans="1:5" hidden="1" x14ac:dyDescent="0.25">
      <c r="A1349" s="23">
        <f t="shared" si="19"/>
        <v>43739</v>
      </c>
      <c r="B1349" s="5" t="s">
        <v>138</v>
      </c>
      <c r="C1349" s="5">
        <v>-7082</v>
      </c>
      <c r="D1349" s="5" t="str">
        <f>_xlfn.XLOOKUP(fRealizado5[[#This Row],[Conta]],'Plano de Contas'!A:A,'Plano de Contas'!C:C)</f>
        <v>(-) Deduções da Receita</v>
      </c>
      <c r="E1349" s="5" t="str">
        <f>_xlfn.XLOOKUP(fRealizado5[[#This Row],[Conta]],'Plano de Contas'!A:A,'Plano de Contas'!D:D)</f>
        <v>04 - Taxas de Serviço</v>
      </c>
    </row>
    <row r="1350" spans="1:5" hidden="1" x14ac:dyDescent="0.25">
      <c r="A1350" s="23">
        <f t="shared" si="19"/>
        <v>43739</v>
      </c>
      <c r="B1350" s="5" t="s">
        <v>139</v>
      </c>
      <c r="C1350" s="5">
        <v>-7264</v>
      </c>
      <c r="D1350" s="5" t="str">
        <f>_xlfn.XLOOKUP(fRealizado5[[#This Row],[Conta]],'Plano de Contas'!A:A,'Plano de Contas'!C:C)</f>
        <v>(-) Deduções da Receita</v>
      </c>
      <c r="E1350" s="5" t="str">
        <f>_xlfn.XLOOKUP(fRealizado5[[#This Row],[Conta]],'Plano de Contas'!A:A,'Plano de Contas'!D:D)</f>
        <v>04 - Taxas de Serviço</v>
      </c>
    </row>
    <row r="1351" spans="1:5" hidden="1" x14ac:dyDescent="0.25">
      <c r="A1351" s="23">
        <f t="shared" si="19"/>
        <v>43739</v>
      </c>
      <c r="B1351" s="5" t="s">
        <v>140</v>
      </c>
      <c r="C1351" s="5">
        <v>-228233</v>
      </c>
      <c r="D1351" s="5" t="str">
        <f>_xlfn.XLOOKUP(fRealizado5[[#This Row],[Conta]],'Plano de Contas'!A:A,'Plano de Contas'!C:C)</f>
        <v>(-) Custos de Vendas</v>
      </c>
      <c r="E1351" s="5" t="str">
        <f>_xlfn.XLOOKUP(fRealizado5[[#This Row],[Conta]],'Plano de Contas'!A:A,'Plano de Contas'!D:D)</f>
        <v>05 - Custo do Produto</v>
      </c>
    </row>
    <row r="1352" spans="1:5" hidden="1" x14ac:dyDescent="0.25">
      <c r="A1352" s="23">
        <f t="shared" ref="A1352:A1415" si="20">EDATE(A1212,1)</f>
        <v>43739</v>
      </c>
      <c r="B1352" s="5" t="s">
        <v>141</v>
      </c>
      <c r="C1352" s="5">
        <v>-115712</v>
      </c>
      <c r="D1352" s="5" t="str">
        <f>_xlfn.XLOOKUP(fRealizado5[[#This Row],[Conta]],'Plano de Contas'!A:A,'Plano de Contas'!C:C)</f>
        <v>(-) Custos de Vendas</v>
      </c>
      <c r="E1352" s="5" t="str">
        <f>_xlfn.XLOOKUP(fRealizado5[[#This Row],[Conta]],'Plano de Contas'!A:A,'Plano de Contas'!D:D)</f>
        <v>05 - Custo do Produto</v>
      </c>
    </row>
    <row r="1353" spans="1:5" hidden="1" x14ac:dyDescent="0.25">
      <c r="A1353" s="23">
        <f t="shared" si="20"/>
        <v>43739</v>
      </c>
      <c r="B1353" s="5" t="s">
        <v>142</v>
      </c>
      <c r="C1353" s="5">
        <v>-139704</v>
      </c>
      <c r="D1353" s="5" t="str">
        <f>_xlfn.XLOOKUP(fRealizado5[[#This Row],[Conta]],'Plano de Contas'!A:A,'Plano de Contas'!C:C)</f>
        <v>(-) Custos de Vendas</v>
      </c>
      <c r="E1353" s="5" t="str">
        <f>_xlfn.XLOOKUP(fRealizado5[[#This Row],[Conta]],'Plano de Contas'!A:A,'Plano de Contas'!D:D)</f>
        <v>05 - Custo do Produto</v>
      </c>
    </row>
    <row r="1354" spans="1:5" hidden="1" x14ac:dyDescent="0.25">
      <c r="A1354" s="23">
        <f t="shared" si="20"/>
        <v>43739</v>
      </c>
      <c r="B1354" s="5" t="s">
        <v>143</v>
      </c>
      <c r="C1354" s="5">
        <v>-147927</v>
      </c>
      <c r="D1354" s="5" t="str">
        <f>_xlfn.XLOOKUP(fRealizado5[[#This Row],[Conta]],'Plano de Contas'!A:A,'Plano de Contas'!C:C)</f>
        <v>(-) Custos de Vendas</v>
      </c>
      <c r="E1354" s="5" t="str">
        <f>_xlfn.XLOOKUP(fRealizado5[[#This Row],[Conta]],'Plano de Contas'!A:A,'Plano de Contas'!D:D)</f>
        <v>05 - Custo do Produto</v>
      </c>
    </row>
    <row r="1355" spans="1:5" hidden="1" x14ac:dyDescent="0.25">
      <c r="A1355" s="23">
        <f t="shared" si="20"/>
        <v>43739</v>
      </c>
      <c r="B1355" s="5" t="s">
        <v>144</v>
      </c>
      <c r="C1355" s="5">
        <v>-275314</v>
      </c>
      <c r="D1355" s="5" t="str">
        <f>_xlfn.XLOOKUP(fRealizado5[[#This Row],[Conta]],'Plano de Contas'!A:A,'Plano de Contas'!C:C)</f>
        <v>(-) Custos de Vendas</v>
      </c>
      <c r="E1355" s="5" t="str">
        <f>_xlfn.XLOOKUP(fRealizado5[[#This Row],[Conta]],'Plano de Contas'!A:A,'Plano de Contas'!D:D)</f>
        <v>05 - Custo do Produto</v>
      </c>
    </row>
    <row r="1356" spans="1:5" hidden="1" x14ac:dyDescent="0.25">
      <c r="A1356" s="23">
        <f t="shared" si="20"/>
        <v>43739</v>
      </c>
      <c r="B1356" s="5" t="s">
        <v>145</v>
      </c>
      <c r="C1356" s="5">
        <v>-140436</v>
      </c>
      <c r="D1356" s="5" t="str">
        <f>_xlfn.XLOOKUP(fRealizado5[[#This Row],[Conta]],'Plano de Contas'!A:A,'Plano de Contas'!C:C)</f>
        <v>(-) Custos de Vendas</v>
      </c>
      <c r="E1356" s="5" t="str">
        <f>_xlfn.XLOOKUP(fRealizado5[[#This Row],[Conta]],'Plano de Contas'!A:A,'Plano de Contas'!D:D)</f>
        <v>05 - Custo do Produto</v>
      </c>
    </row>
    <row r="1357" spans="1:5" hidden="1" x14ac:dyDescent="0.25">
      <c r="A1357" s="23">
        <f t="shared" si="20"/>
        <v>43739</v>
      </c>
      <c r="B1357" s="5" t="s">
        <v>146</v>
      </c>
      <c r="C1357" s="5">
        <v>-290602</v>
      </c>
      <c r="D1357" s="5" t="str">
        <f>_xlfn.XLOOKUP(fRealizado5[[#This Row],[Conta]],'Plano de Contas'!A:A,'Plano de Contas'!C:C)</f>
        <v>(-) Custos de Vendas</v>
      </c>
      <c r="E1357" s="5" t="str">
        <f>_xlfn.XLOOKUP(fRealizado5[[#This Row],[Conta]],'Plano de Contas'!A:A,'Plano de Contas'!D:D)</f>
        <v>05 - Custo do Produto</v>
      </c>
    </row>
    <row r="1358" spans="1:5" hidden="1" x14ac:dyDescent="0.25">
      <c r="A1358" s="23">
        <f t="shared" si="20"/>
        <v>43739</v>
      </c>
      <c r="B1358" s="5" t="s">
        <v>147</v>
      </c>
      <c r="C1358" s="5">
        <v>-78375</v>
      </c>
      <c r="D1358" s="5" t="str">
        <f>_xlfn.XLOOKUP(fRealizado5[[#This Row],[Conta]],'Plano de Contas'!A:A,'Plano de Contas'!C:C)</f>
        <v>(-) Custos de Vendas</v>
      </c>
      <c r="E1358" s="5" t="str">
        <f>_xlfn.XLOOKUP(fRealizado5[[#This Row],[Conta]],'Plano de Contas'!A:A,'Plano de Contas'!D:D)</f>
        <v>05 - Custo do Produto</v>
      </c>
    </row>
    <row r="1359" spans="1:5" hidden="1" x14ac:dyDescent="0.25">
      <c r="A1359" s="23">
        <f t="shared" si="20"/>
        <v>43739</v>
      </c>
      <c r="B1359" s="5" t="s">
        <v>148</v>
      </c>
      <c r="C1359" s="5">
        <v>-287092</v>
      </c>
      <c r="D1359" s="5" t="str">
        <f>_xlfn.XLOOKUP(fRealizado5[[#This Row],[Conta]],'Plano de Contas'!A:A,'Plano de Contas'!C:C)</f>
        <v>(-) Custos de Vendas</v>
      </c>
      <c r="E1359" s="5" t="str">
        <f>_xlfn.XLOOKUP(fRealizado5[[#This Row],[Conta]],'Plano de Contas'!A:A,'Plano de Contas'!D:D)</f>
        <v>05 - Custo do Produto</v>
      </c>
    </row>
    <row r="1360" spans="1:5" hidden="1" x14ac:dyDescent="0.25">
      <c r="A1360" s="23">
        <f t="shared" si="20"/>
        <v>43739</v>
      </c>
      <c r="B1360" s="5" t="s">
        <v>149</v>
      </c>
      <c r="C1360" s="5">
        <v>-115415</v>
      </c>
      <c r="D1360" s="5" t="str">
        <f>_xlfn.XLOOKUP(fRealizado5[[#This Row],[Conta]],'Plano de Contas'!A:A,'Plano de Contas'!C:C)</f>
        <v>(-) Custos de Vendas</v>
      </c>
      <c r="E1360" s="5" t="str">
        <f>_xlfn.XLOOKUP(fRealizado5[[#This Row],[Conta]],'Plano de Contas'!A:A,'Plano de Contas'!D:D)</f>
        <v>05 - Custo do Produto</v>
      </c>
    </row>
    <row r="1361" spans="1:5" hidden="1" x14ac:dyDescent="0.25">
      <c r="A1361" s="23">
        <f t="shared" si="20"/>
        <v>43739</v>
      </c>
      <c r="B1361" s="5" t="s">
        <v>150</v>
      </c>
      <c r="C1361" s="5">
        <v>-116354</v>
      </c>
      <c r="D1361" s="5" t="str">
        <f>_xlfn.XLOOKUP(fRealizado5[[#This Row],[Conta]],'Plano de Contas'!A:A,'Plano de Contas'!C:C)</f>
        <v>(-) Custos de Vendas</v>
      </c>
      <c r="E1361" s="5" t="str">
        <f>_xlfn.XLOOKUP(fRealizado5[[#This Row],[Conta]],'Plano de Contas'!A:A,'Plano de Contas'!D:D)</f>
        <v>05 - Custo do Produto</v>
      </c>
    </row>
    <row r="1362" spans="1:5" hidden="1" x14ac:dyDescent="0.25">
      <c r="A1362" s="23">
        <f t="shared" si="20"/>
        <v>43739</v>
      </c>
      <c r="B1362" s="5" t="s">
        <v>151</v>
      </c>
      <c r="C1362" s="5">
        <v>-102134</v>
      </c>
      <c r="D1362" s="5" t="str">
        <f>_xlfn.XLOOKUP(fRealizado5[[#This Row],[Conta]],'Plano de Contas'!A:A,'Plano de Contas'!C:C)</f>
        <v>(-) Custos de Vendas</v>
      </c>
      <c r="E1362" s="5" t="str">
        <f>_xlfn.XLOOKUP(fRealizado5[[#This Row],[Conta]],'Plano de Contas'!A:A,'Plano de Contas'!D:D)</f>
        <v>05 - Custo do Produto</v>
      </c>
    </row>
    <row r="1363" spans="1:5" hidden="1" x14ac:dyDescent="0.25">
      <c r="A1363" s="23">
        <f t="shared" si="20"/>
        <v>43739</v>
      </c>
      <c r="B1363" s="5" t="s">
        <v>152</v>
      </c>
      <c r="C1363" s="5">
        <v>-125385</v>
      </c>
      <c r="D1363" s="5" t="str">
        <f>_xlfn.XLOOKUP(fRealizado5[[#This Row],[Conta]],'Plano de Contas'!A:A,'Plano de Contas'!C:C)</f>
        <v>(-) Custos de Vendas</v>
      </c>
      <c r="E1363" s="5" t="str">
        <f>_xlfn.XLOOKUP(fRealizado5[[#This Row],[Conta]],'Plano de Contas'!A:A,'Plano de Contas'!D:D)</f>
        <v>05 - Custo do Produto</v>
      </c>
    </row>
    <row r="1364" spans="1:5" hidden="1" x14ac:dyDescent="0.25">
      <c r="A1364" s="23">
        <f t="shared" si="20"/>
        <v>43739</v>
      </c>
      <c r="B1364" s="5" t="s">
        <v>153</v>
      </c>
      <c r="C1364" s="5">
        <v>-169306</v>
      </c>
      <c r="D1364" s="5" t="str">
        <f>_xlfn.XLOOKUP(fRealizado5[[#This Row],[Conta]],'Plano de Contas'!A:A,'Plano de Contas'!C:C)</f>
        <v>(-) Custos de Vendas</v>
      </c>
      <c r="E1364" s="5" t="str">
        <f>_xlfn.XLOOKUP(fRealizado5[[#This Row],[Conta]],'Plano de Contas'!A:A,'Plano de Contas'!D:D)</f>
        <v>05 - Custo do Produto</v>
      </c>
    </row>
    <row r="1365" spans="1:5" hidden="1" x14ac:dyDescent="0.25">
      <c r="A1365" s="23">
        <f t="shared" si="20"/>
        <v>43739</v>
      </c>
      <c r="B1365" s="5" t="s">
        <v>154</v>
      </c>
      <c r="C1365" s="5">
        <v>-97849</v>
      </c>
      <c r="D1365" s="5" t="str">
        <f>_xlfn.XLOOKUP(fRealizado5[[#This Row],[Conta]],'Plano de Contas'!A:A,'Plano de Contas'!C:C)</f>
        <v>(-) Custos de Vendas</v>
      </c>
      <c r="E1365" s="5" t="str">
        <f>_xlfn.XLOOKUP(fRealizado5[[#This Row],[Conta]],'Plano de Contas'!A:A,'Plano de Contas'!D:D)</f>
        <v>05 - Custo do Produto</v>
      </c>
    </row>
    <row r="1366" spans="1:5" hidden="1" x14ac:dyDescent="0.25">
      <c r="A1366" s="23">
        <f t="shared" si="20"/>
        <v>43739</v>
      </c>
      <c r="B1366" s="5" t="s">
        <v>155</v>
      </c>
      <c r="C1366" s="5">
        <v>-149433</v>
      </c>
      <c r="D1366" s="5" t="str">
        <f>_xlfn.XLOOKUP(fRealizado5[[#This Row],[Conta]],'Plano de Contas'!A:A,'Plano de Contas'!C:C)</f>
        <v>(-) Custos de Vendas</v>
      </c>
      <c r="E1366" s="5" t="str">
        <f>_xlfn.XLOOKUP(fRealizado5[[#This Row],[Conta]],'Plano de Contas'!A:A,'Plano de Contas'!D:D)</f>
        <v>05 - Custo do Produto</v>
      </c>
    </row>
    <row r="1367" spans="1:5" hidden="1" x14ac:dyDescent="0.25">
      <c r="A1367" s="23">
        <f t="shared" si="20"/>
        <v>43739</v>
      </c>
      <c r="B1367" s="5" t="s">
        <v>156</v>
      </c>
      <c r="C1367" s="5">
        <v>-143134</v>
      </c>
      <c r="D1367" s="5" t="str">
        <f>_xlfn.XLOOKUP(fRealizado5[[#This Row],[Conta]],'Plano de Contas'!A:A,'Plano de Contas'!C:C)</f>
        <v>(-) Custos de Vendas</v>
      </c>
      <c r="E1367" s="5" t="str">
        <f>_xlfn.XLOOKUP(fRealizado5[[#This Row],[Conta]],'Plano de Contas'!A:A,'Plano de Contas'!D:D)</f>
        <v>05 - Custo do Produto</v>
      </c>
    </row>
    <row r="1368" spans="1:5" hidden="1" x14ac:dyDescent="0.25">
      <c r="A1368" s="23">
        <f t="shared" si="20"/>
        <v>43739</v>
      </c>
      <c r="B1368" s="5" t="s">
        <v>157</v>
      </c>
      <c r="C1368" s="5">
        <v>-140327</v>
      </c>
      <c r="D1368" s="5" t="str">
        <f>_xlfn.XLOOKUP(fRealizado5[[#This Row],[Conta]],'Plano de Contas'!A:A,'Plano de Contas'!C:C)</f>
        <v>(-) Custos de Vendas</v>
      </c>
      <c r="E1368" s="5" t="str">
        <f>_xlfn.XLOOKUP(fRealizado5[[#This Row],[Conta]],'Plano de Contas'!A:A,'Plano de Contas'!D:D)</f>
        <v>05 - Custo do Produto</v>
      </c>
    </row>
    <row r="1369" spans="1:5" hidden="1" x14ac:dyDescent="0.25">
      <c r="A1369" s="23">
        <f t="shared" si="20"/>
        <v>43739</v>
      </c>
      <c r="B1369" s="5" t="s">
        <v>158</v>
      </c>
      <c r="C1369" s="5">
        <v>-158705</v>
      </c>
      <c r="D1369" s="5" t="str">
        <f>_xlfn.XLOOKUP(fRealizado5[[#This Row],[Conta]],'Plano de Contas'!A:A,'Plano de Contas'!C:C)</f>
        <v>(-) Custos de Vendas</v>
      </c>
      <c r="E1369" s="5" t="str">
        <f>_xlfn.XLOOKUP(fRealizado5[[#This Row],[Conta]],'Plano de Contas'!A:A,'Plano de Contas'!D:D)</f>
        <v>05 - Custo do Produto</v>
      </c>
    </row>
    <row r="1370" spans="1:5" hidden="1" x14ac:dyDescent="0.25">
      <c r="A1370" s="23">
        <f t="shared" si="20"/>
        <v>43739</v>
      </c>
      <c r="B1370" s="5" t="s">
        <v>159</v>
      </c>
      <c r="C1370" s="5">
        <v>-282932</v>
      </c>
      <c r="D1370" s="5" t="str">
        <f>_xlfn.XLOOKUP(fRealizado5[[#This Row],[Conta]],'Plano de Contas'!A:A,'Plano de Contas'!C:C)</f>
        <v>(-) Custos de Vendas</v>
      </c>
      <c r="E1370" s="5" t="str">
        <f>_xlfn.XLOOKUP(fRealizado5[[#This Row],[Conta]],'Plano de Contas'!A:A,'Plano de Contas'!D:D)</f>
        <v>05 - Custo do Produto</v>
      </c>
    </row>
    <row r="1371" spans="1:5" hidden="1" x14ac:dyDescent="0.25">
      <c r="A1371" s="23">
        <f t="shared" si="20"/>
        <v>43739</v>
      </c>
      <c r="B1371" s="5" t="s">
        <v>160</v>
      </c>
      <c r="C1371" s="5">
        <v>-269997</v>
      </c>
      <c r="D1371" s="5" t="str">
        <f>_xlfn.XLOOKUP(fRealizado5[[#This Row],[Conta]],'Plano de Contas'!A:A,'Plano de Contas'!C:C)</f>
        <v>(-) Custos de Vendas</v>
      </c>
      <c r="E1371" s="5" t="str">
        <f>_xlfn.XLOOKUP(fRealizado5[[#This Row],[Conta]],'Plano de Contas'!A:A,'Plano de Contas'!D:D)</f>
        <v>05 - Custo do Produto</v>
      </c>
    </row>
    <row r="1372" spans="1:5" hidden="1" x14ac:dyDescent="0.25">
      <c r="A1372" s="23">
        <f t="shared" si="20"/>
        <v>43739</v>
      </c>
      <c r="B1372" s="5" t="s">
        <v>161</v>
      </c>
      <c r="C1372" s="5">
        <v>-255301</v>
      </c>
      <c r="D1372" s="5" t="str">
        <f>_xlfn.XLOOKUP(fRealizado5[[#This Row],[Conta]],'Plano de Contas'!A:A,'Plano de Contas'!C:C)</f>
        <v>(-) Custos de Vendas</v>
      </c>
      <c r="E1372" s="5" t="str">
        <f>_xlfn.XLOOKUP(fRealizado5[[#This Row],[Conta]],'Plano de Contas'!A:A,'Plano de Contas'!D:D)</f>
        <v>05 - Custo do Produto</v>
      </c>
    </row>
    <row r="1373" spans="1:5" hidden="1" x14ac:dyDescent="0.25">
      <c r="A1373" s="23">
        <f t="shared" si="20"/>
        <v>43739</v>
      </c>
      <c r="B1373" s="5" t="s">
        <v>162</v>
      </c>
      <c r="C1373" s="5">
        <v>-293840</v>
      </c>
      <c r="D1373" s="5" t="str">
        <f>_xlfn.XLOOKUP(fRealizado5[[#This Row],[Conta]],'Plano de Contas'!A:A,'Plano de Contas'!C:C)</f>
        <v>(-) Custos de Vendas</v>
      </c>
      <c r="E1373" s="5" t="str">
        <f>_xlfn.XLOOKUP(fRealizado5[[#This Row],[Conta]],'Plano de Contas'!A:A,'Plano de Contas'!D:D)</f>
        <v>05 - Custo do Produto</v>
      </c>
    </row>
    <row r="1374" spans="1:5" hidden="1" x14ac:dyDescent="0.25">
      <c r="A1374" s="23">
        <f t="shared" si="20"/>
        <v>43739</v>
      </c>
      <c r="B1374" s="5" t="s">
        <v>163</v>
      </c>
      <c r="C1374" s="5">
        <v>-109779</v>
      </c>
      <c r="D1374" s="5" t="str">
        <f>_xlfn.XLOOKUP(fRealizado5[[#This Row],[Conta]],'Plano de Contas'!A:A,'Plano de Contas'!C:C)</f>
        <v>(-) Custos de Vendas</v>
      </c>
      <c r="E1374" s="5" t="str">
        <f>_xlfn.XLOOKUP(fRealizado5[[#This Row],[Conta]],'Plano de Contas'!A:A,'Plano de Contas'!D:D)</f>
        <v>05 - Custo do Produto</v>
      </c>
    </row>
    <row r="1375" spans="1:5" hidden="1" x14ac:dyDescent="0.25">
      <c r="A1375" s="23">
        <f t="shared" si="20"/>
        <v>43739</v>
      </c>
      <c r="B1375" s="5" t="s">
        <v>164</v>
      </c>
      <c r="C1375" s="5">
        <v>-90277</v>
      </c>
      <c r="D1375" s="5" t="str">
        <f>_xlfn.XLOOKUP(fRealizado5[[#This Row],[Conta]],'Plano de Contas'!A:A,'Plano de Contas'!C:C)</f>
        <v>(-) Custos de Vendas</v>
      </c>
      <c r="E1375" s="5" t="str">
        <f>_xlfn.XLOOKUP(fRealizado5[[#This Row],[Conta]],'Plano de Contas'!A:A,'Plano de Contas'!D:D)</f>
        <v>06 - Outros Custos</v>
      </c>
    </row>
    <row r="1376" spans="1:5" hidden="1" x14ac:dyDescent="0.25">
      <c r="A1376" s="23">
        <f t="shared" si="20"/>
        <v>43739</v>
      </c>
      <c r="B1376" s="5" t="s">
        <v>165</v>
      </c>
      <c r="C1376" s="5">
        <v>-58563</v>
      </c>
      <c r="D1376" s="5" t="str">
        <f>_xlfn.XLOOKUP(fRealizado5[[#This Row],[Conta]],'Plano de Contas'!A:A,'Plano de Contas'!C:C)</f>
        <v>(-) Custos de Vendas</v>
      </c>
      <c r="E1376" s="5" t="str">
        <f>_xlfn.XLOOKUP(fRealizado5[[#This Row],[Conta]],'Plano de Contas'!A:A,'Plano de Contas'!D:D)</f>
        <v>06 - Outros Custos</v>
      </c>
    </row>
    <row r="1377" spans="1:5" hidden="1" x14ac:dyDescent="0.25">
      <c r="A1377" s="23">
        <f t="shared" si="20"/>
        <v>43739</v>
      </c>
      <c r="B1377" s="5" t="s">
        <v>166</v>
      </c>
      <c r="C1377" s="5">
        <v>-98781</v>
      </c>
      <c r="D1377" s="5" t="str">
        <f>_xlfn.XLOOKUP(fRealizado5[[#This Row],[Conta]],'Plano de Contas'!A:A,'Plano de Contas'!C:C)</f>
        <v>(-) Custos de Vendas</v>
      </c>
      <c r="E1377" s="5" t="str">
        <f>_xlfn.XLOOKUP(fRealizado5[[#This Row],[Conta]],'Plano de Contas'!A:A,'Plano de Contas'!D:D)</f>
        <v>06 - Outros Custos</v>
      </c>
    </row>
    <row r="1378" spans="1:5" hidden="1" x14ac:dyDescent="0.25">
      <c r="A1378" s="23">
        <f t="shared" si="20"/>
        <v>43739</v>
      </c>
      <c r="B1378" s="5" t="s">
        <v>167</v>
      </c>
      <c r="C1378" s="5">
        <v>-130605</v>
      </c>
      <c r="D1378" s="5" t="str">
        <f>_xlfn.XLOOKUP(fRealizado5[[#This Row],[Conta]],'Plano de Contas'!A:A,'Plano de Contas'!C:C)</f>
        <v>(-) Despesas Gerais</v>
      </c>
      <c r="E1378" s="5" t="str">
        <f>_xlfn.XLOOKUP(fRealizado5[[#This Row],[Conta]],'Plano de Contas'!A:A,'Plano de Contas'!D:D)</f>
        <v>07 - Despesas Administrativas</v>
      </c>
    </row>
    <row r="1379" spans="1:5" hidden="1" x14ac:dyDescent="0.25">
      <c r="A1379" s="23">
        <f t="shared" si="20"/>
        <v>43739</v>
      </c>
      <c r="B1379" s="5" t="s">
        <v>168</v>
      </c>
      <c r="C1379" s="5">
        <v>-224103</v>
      </c>
      <c r="D1379" s="5" t="str">
        <f>_xlfn.XLOOKUP(fRealizado5[[#This Row],[Conta]],'Plano de Contas'!A:A,'Plano de Contas'!C:C)</f>
        <v>(-) Despesas Gerais</v>
      </c>
      <c r="E1379" s="5" t="str">
        <f>_xlfn.XLOOKUP(fRealizado5[[#This Row],[Conta]],'Plano de Contas'!A:A,'Plano de Contas'!D:D)</f>
        <v>07 - Despesas Administrativas</v>
      </c>
    </row>
    <row r="1380" spans="1:5" hidden="1" x14ac:dyDescent="0.25">
      <c r="A1380" s="23">
        <f t="shared" si="20"/>
        <v>43739</v>
      </c>
      <c r="B1380" s="5" t="s">
        <v>169</v>
      </c>
      <c r="C1380" s="5">
        <v>-229826</v>
      </c>
      <c r="D1380" s="5" t="str">
        <f>_xlfn.XLOOKUP(fRealizado5[[#This Row],[Conta]],'Plano de Contas'!A:A,'Plano de Contas'!C:C)</f>
        <v>(-) Despesas Gerais</v>
      </c>
      <c r="E1380" s="5" t="str">
        <f>_xlfn.XLOOKUP(fRealizado5[[#This Row],[Conta]],'Plano de Contas'!A:A,'Plano de Contas'!D:D)</f>
        <v>07 - Despesas Administrativas</v>
      </c>
    </row>
    <row r="1381" spans="1:5" hidden="1" x14ac:dyDescent="0.25">
      <c r="A1381" s="23">
        <f t="shared" si="20"/>
        <v>43739</v>
      </c>
      <c r="B1381" s="5" t="s">
        <v>170</v>
      </c>
      <c r="C1381" s="5">
        <v>-124219</v>
      </c>
      <c r="D1381" s="5" t="str">
        <f>_xlfn.XLOOKUP(fRealizado5[[#This Row],[Conta]],'Plano de Contas'!A:A,'Plano de Contas'!C:C)</f>
        <v>(-) Despesas Gerais</v>
      </c>
      <c r="E1381" s="5" t="str">
        <f>_xlfn.XLOOKUP(fRealizado5[[#This Row],[Conta]],'Plano de Contas'!A:A,'Plano de Contas'!D:D)</f>
        <v>07 - Despesas Administrativas</v>
      </c>
    </row>
    <row r="1382" spans="1:5" hidden="1" x14ac:dyDescent="0.25">
      <c r="A1382" s="23">
        <f t="shared" si="20"/>
        <v>43739</v>
      </c>
      <c r="B1382" s="5" t="s">
        <v>171</v>
      </c>
      <c r="C1382" s="5">
        <v>-337587</v>
      </c>
      <c r="D1382" s="5" t="str">
        <f>_xlfn.XLOOKUP(fRealizado5[[#This Row],[Conta]],'Plano de Contas'!A:A,'Plano de Contas'!C:C)</f>
        <v>(-) Despesas Gerais</v>
      </c>
      <c r="E1382" s="5" t="str">
        <f>_xlfn.XLOOKUP(fRealizado5[[#This Row],[Conta]],'Plano de Contas'!A:A,'Plano de Contas'!D:D)</f>
        <v>07 - Despesas Administrativas</v>
      </c>
    </row>
    <row r="1383" spans="1:5" hidden="1" x14ac:dyDescent="0.25">
      <c r="A1383" s="23">
        <f t="shared" si="20"/>
        <v>43739</v>
      </c>
      <c r="B1383" s="5" t="s">
        <v>172</v>
      </c>
      <c r="C1383" s="5">
        <v>-302501</v>
      </c>
      <c r="D1383" s="5" t="str">
        <f>_xlfn.XLOOKUP(fRealizado5[[#This Row],[Conta]],'Plano de Contas'!A:A,'Plano de Contas'!C:C)</f>
        <v>(-) Despesas Gerais</v>
      </c>
      <c r="E1383" s="5" t="str">
        <f>_xlfn.XLOOKUP(fRealizado5[[#This Row],[Conta]],'Plano de Contas'!A:A,'Plano de Contas'!D:D)</f>
        <v>07 - Despesas Administrativas</v>
      </c>
    </row>
    <row r="1384" spans="1:5" hidden="1" x14ac:dyDescent="0.25">
      <c r="A1384" s="23">
        <f t="shared" si="20"/>
        <v>43739</v>
      </c>
      <c r="B1384" s="5" t="s">
        <v>173</v>
      </c>
      <c r="C1384" s="5">
        <v>-40450</v>
      </c>
      <c r="D1384" s="5" t="str">
        <f>_xlfn.XLOOKUP(fRealizado5[[#This Row],[Conta]],'Plano de Contas'!A:A,'Plano de Contas'!C:C)</f>
        <v>(-) Despesas Gerais</v>
      </c>
      <c r="E1384" s="5" t="str">
        <f>_xlfn.XLOOKUP(fRealizado5[[#This Row],[Conta]],'Plano de Contas'!A:A,'Plano de Contas'!D:D)</f>
        <v>08 - Despesas Financeiras</v>
      </c>
    </row>
    <row r="1385" spans="1:5" hidden="1" x14ac:dyDescent="0.25">
      <c r="A1385" s="23">
        <f t="shared" si="20"/>
        <v>43739</v>
      </c>
      <c r="B1385" s="5" t="s">
        <v>174</v>
      </c>
      <c r="C1385" s="5">
        <v>-43362</v>
      </c>
      <c r="D1385" s="5" t="str">
        <f>_xlfn.XLOOKUP(fRealizado5[[#This Row],[Conta]],'Plano de Contas'!A:A,'Plano de Contas'!C:C)</f>
        <v>(-) Despesas Gerais</v>
      </c>
      <c r="E1385" s="5" t="str">
        <f>_xlfn.XLOOKUP(fRealizado5[[#This Row],[Conta]],'Plano de Contas'!A:A,'Plano de Contas'!D:D)</f>
        <v>08 - Despesas Financeiras</v>
      </c>
    </row>
    <row r="1386" spans="1:5" hidden="1" x14ac:dyDescent="0.25">
      <c r="A1386" s="23">
        <f t="shared" si="20"/>
        <v>43739</v>
      </c>
      <c r="B1386" s="5" t="s">
        <v>175</v>
      </c>
      <c r="C1386" s="5">
        <v>-54081</v>
      </c>
      <c r="D1386" s="5" t="str">
        <f>_xlfn.XLOOKUP(fRealizado5[[#This Row],[Conta]],'Plano de Contas'!A:A,'Plano de Contas'!C:C)</f>
        <v>(-) Despesas Gerais</v>
      </c>
      <c r="E1386" s="5" t="str">
        <f>_xlfn.XLOOKUP(fRealizado5[[#This Row],[Conta]],'Plano de Contas'!A:A,'Plano de Contas'!D:D)</f>
        <v>08 - Despesas Financeiras</v>
      </c>
    </row>
    <row r="1387" spans="1:5" hidden="1" x14ac:dyDescent="0.25">
      <c r="A1387" s="23">
        <f t="shared" si="20"/>
        <v>43739</v>
      </c>
      <c r="B1387" s="5" t="s">
        <v>176</v>
      </c>
      <c r="C1387" s="5">
        <v>-41447</v>
      </c>
      <c r="D1387" s="5" t="str">
        <f>_xlfn.XLOOKUP(fRealizado5[[#This Row],[Conta]],'Plano de Contas'!A:A,'Plano de Contas'!C:C)</f>
        <v>(-) Despesas Gerais</v>
      </c>
      <c r="E1387" s="5" t="str">
        <f>_xlfn.XLOOKUP(fRealizado5[[#This Row],[Conta]],'Plano de Contas'!A:A,'Plano de Contas'!D:D)</f>
        <v>08 - Despesas Financeiras</v>
      </c>
    </row>
    <row r="1388" spans="1:5" hidden="1" x14ac:dyDescent="0.25">
      <c r="A1388" s="23">
        <f t="shared" si="20"/>
        <v>43739</v>
      </c>
      <c r="B1388" s="5" t="s">
        <v>177</v>
      </c>
      <c r="C1388" s="5">
        <v>-48785</v>
      </c>
      <c r="D1388" s="5" t="str">
        <f>_xlfn.XLOOKUP(fRealizado5[[#This Row],[Conta]],'Plano de Contas'!A:A,'Plano de Contas'!C:C)</f>
        <v>(-) Despesas Gerais</v>
      </c>
      <c r="E1388" s="5" t="str">
        <f>_xlfn.XLOOKUP(fRealizado5[[#This Row],[Conta]],'Plano de Contas'!A:A,'Plano de Contas'!D:D)</f>
        <v>08 - Despesas Financeiras</v>
      </c>
    </row>
    <row r="1389" spans="1:5" hidden="1" x14ac:dyDescent="0.25">
      <c r="A1389" s="23">
        <f t="shared" si="20"/>
        <v>43739</v>
      </c>
      <c r="B1389" s="5" t="s">
        <v>178</v>
      </c>
      <c r="C1389" s="5">
        <v>-273839</v>
      </c>
      <c r="D1389" s="5" t="str">
        <f>_xlfn.XLOOKUP(fRealizado5[[#This Row],[Conta]],'Plano de Contas'!A:A,'Plano de Contas'!C:C)</f>
        <v>(-) Despesas Gerais</v>
      </c>
      <c r="E1389" s="5" t="str">
        <f>_xlfn.XLOOKUP(fRealizado5[[#This Row],[Conta]],'Plano de Contas'!A:A,'Plano de Contas'!D:D)</f>
        <v>09 - Tecnologia da Informação</v>
      </c>
    </row>
    <row r="1390" spans="1:5" hidden="1" x14ac:dyDescent="0.25">
      <c r="A1390" s="23">
        <f t="shared" si="20"/>
        <v>43739</v>
      </c>
      <c r="B1390" s="5" t="s">
        <v>179</v>
      </c>
      <c r="C1390" s="5">
        <v>-265519</v>
      </c>
      <c r="D1390" s="5" t="str">
        <f>_xlfn.XLOOKUP(fRealizado5[[#This Row],[Conta]],'Plano de Contas'!A:A,'Plano de Contas'!C:C)</f>
        <v>(-) Despesas Gerais</v>
      </c>
      <c r="E1390" s="5" t="str">
        <f>_xlfn.XLOOKUP(fRealizado5[[#This Row],[Conta]],'Plano de Contas'!A:A,'Plano de Contas'!D:D)</f>
        <v>09 - Tecnologia da Informação</v>
      </c>
    </row>
    <row r="1391" spans="1:5" hidden="1" x14ac:dyDescent="0.25">
      <c r="A1391" s="23">
        <f t="shared" si="20"/>
        <v>43739</v>
      </c>
      <c r="B1391" s="5" t="s">
        <v>180</v>
      </c>
      <c r="C1391" s="5">
        <v>-255433</v>
      </c>
      <c r="D1391" s="5" t="str">
        <f>_xlfn.XLOOKUP(fRealizado5[[#This Row],[Conta]],'Plano de Contas'!A:A,'Plano de Contas'!C:C)</f>
        <v>(-) Despesas Gerais</v>
      </c>
      <c r="E1391" s="5" t="str">
        <f>_xlfn.XLOOKUP(fRealizado5[[#This Row],[Conta]],'Plano de Contas'!A:A,'Plano de Contas'!D:D)</f>
        <v>09 - Tecnologia da Informação</v>
      </c>
    </row>
    <row r="1392" spans="1:5" hidden="1" x14ac:dyDescent="0.25">
      <c r="A1392" s="23">
        <f t="shared" si="20"/>
        <v>43739</v>
      </c>
      <c r="B1392" s="5" t="s">
        <v>181</v>
      </c>
      <c r="C1392" s="5">
        <v>-61694</v>
      </c>
      <c r="D1392" s="5" t="str">
        <f>_xlfn.XLOOKUP(fRealizado5[[#This Row],[Conta]],'Plano de Contas'!A:A,'Plano de Contas'!C:C)</f>
        <v>(-) Despesas Gerais</v>
      </c>
      <c r="E1392" s="5" t="str">
        <f>_xlfn.XLOOKUP(fRealizado5[[#This Row],[Conta]],'Plano de Contas'!A:A,'Plano de Contas'!D:D)</f>
        <v>10 - Recursos Humanos</v>
      </c>
    </row>
    <row r="1393" spans="1:5" hidden="1" x14ac:dyDescent="0.25">
      <c r="A1393" s="23">
        <f t="shared" si="20"/>
        <v>43739</v>
      </c>
      <c r="B1393" s="5" t="s">
        <v>182</v>
      </c>
      <c r="C1393" s="5">
        <v>-68274</v>
      </c>
      <c r="D1393" s="5" t="str">
        <f>_xlfn.XLOOKUP(fRealizado5[[#This Row],[Conta]],'Plano de Contas'!A:A,'Plano de Contas'!C:C)</f>
        <v>(-) Despesas Gerais</v>
      </c>
      <c r="E1393" s="5" t="str">
        <f>_xlfn.XLOOKUP(fRealizado5[[#This Row],[Conta]],'Plano de Contas'!A:A,'Plano de Contas'!D:D)</f>
        <v>10 - Recursos Humanos</v>
      </c>
    </row>
    <row r="1394" spans="1:5" hidden="1" x14ac:dyDescent="0.25">
      <c r="A1394" s="23">
        <f t="shared" si="20"/>
        <v>43739</v>
      </c>
      <c r="B1394" s="5" t="s">
        <v>183</v>
      </c>
      <c r="C1394" s="5">
        <v>-84532</v>
      </c>
      <c r="D1394" s="5" t="str">
        <f>_xlfn.XLOOKUP(fRealizado5[[#This Row],[Conta]],'Plano de Contas'!A:A,'Plano de Contas'!C:C)</f>
        <v>(-) Despesas Gerais</v>
      </c>
      <c r="E1394" s="5" t="str">
        <f>_xlfn.XLOOKUP(fRealizado5[[#This Row],[Conta]],'Plano de Contas'!A:A,'Plano de Contas'!D:D)</f>
        <v>10 - Recursos Humanos</v>
      </c>
    </row>
    <row r="1395" spans="1:5" hidden="1" x14ac:dyDescent="0.25">
      <c r="A1395" s="23">
        <f t="shared" si="20"/>
        <v>43739</v>
      </c>
      <c r="B1395" s="5" t="s">
        <v>184</v>
      </c>
      <c r="C1395" s="5">
        <v>-64146</v>
      </c>
      <c r="D1395" s="5" t="str">
        <f>_xlfn.XLOOKUP(fRealizado5[[#This Row],[Conta]],'Plano de Contas'!A:A,'Plano de Contas'!C:C)</f>
        <v>(-) Despesas Gerais</v>
      </c>
      <c r="E1395" s="5" t="str">
        <f>_xlfn.XLOOKUP(fRealizado5[[#This Row],[Conta]],'Plano de Contas'!A:A,'Plano de Contas'!D:D)</f>
        <v>10 - Recursos Humanos</v>
      </c>
    </row>
    <row r="1396" spans="1:5" hidden="1" x14ac:dyDescent="0.25">
      <c r="A1396" s="23">
        <f t="shared" si="20"/>
        <v>43739</v>
      </c>
      <c r="B1396" s="5" t="s">
        <v>185</v>
      </c>
      <c r="C1396" s="5">
        <v>-105799</v>
      </c>
      <c r="D1396" s="5" t="str">
        <f>_xlfn.XLOOKUP(fRealizado5[[#This Row],[Conta]],'Plano de Contas'!A:A,'Plano de Contas'!C:C)</f>
        <v>(-) Despesas Gerais</v>
      </c>
      <c r="E1396" s="5" t="str">
        <f>_xlfn.XLOOKUP(fRealizado5[[#This Row],[Conta]],'Plano de Contas'!A:A,'Plano de Contas'!D:D)</f>
        <v>11 - Relacionamento com Cliente</v>
      </c>
    </row>
    <row r="1397" spans="1:5" hidden="1" x14ac:dyDescent="0.25">
      <c r="A1397" s="23">
        <f t="shared" si="20"/>
        <v>43739</v>
      </c>
      <c r="B1397" s="5" t="s">
        <v>186</v>
      </c>
      <c r="C1397" s="5">
        <v>-118911</v>
      </c>
      <c r="D1397" s="5" t="str">
        <f>_xlfn.XLOOKUP(fRealizado5[[#This Row],[Conta]],'Plano de Contas'!A:A,'Plano de Contas'!C:C)</f>
        <v>(-) Despesas Gerais</v>
      </c>
      <c r="E1397" s="5" t="str">
        <f>_xlfn.XLOOKUP(fRealizado5[[#This Row],[Conta]],'Plano de Contas'!A:A,'Plano de Contas'!D:D)</f>
        <v>11 - Relacionamento com Cliente</v>
      </c>
    </row>
    <row r="1398" spans="1:5" hidden="1" x14ac:dyDescent="0.25">
      <c r="A1398" s="23">
        <f t="shared" si="20"/>
        <v>43739</v>
      </c>
      <c r="B1398" s="5" t="s">
        <v>187</v>
      </c>
      <c r="C1398" s="5">
        <v>-121556</v>
      </c>
      <c r="D1398" s="5" t="str">
        <f>_xlfn.XLOOKUP(fRealizado5[[#This Row],[Conta]],'Plano de Contas'!A:A,'Plano de Contas'!C:C)</f>
        <v>(-) Despesas Gerais</v>
      </c>
      <c r="E1398" s="5" t="str">
        <f>_xlfn.XLOOKUP(fRealizado5[[#This Row],[Conta]],'Plano de Contas'!A:A,'Plano de Contas'!D:D)</f>
        <v>12 - Marketing e Divulgação</v>
      </c>
    </row>
    <row r="1399" spans="1:5" hidden="1" x14ac:dyDescent="0.25">
      <c r="A1399" s="23">
        <f t="shared" si="20"/>
        <v>43739</v>
      </c>
      <c r="B1399" s="5" t="s">
        <v>188</v>
      </c>
      <c r="C1399" s="5">
        <v>-198878</v>
      </c>
      <c r="D1399" s="5" t="str">
        <f>_xlfn.XLOOKUP(fRealizado5[[#This Row],[Conta]],'Plano de Contas'!A:A,'Plano de Contas'!C:C)</f>
        <v>(-) Despesas Gerais</v>
      </c>
      <c r="E1399" s="5" t="str">
        <f>_xlfn.XLOOKUP(fRealizado5[[#This Row],[Conta]],'Plano de Contas'!A:A,'Plano de Contas'!D:D)</f>
        <v>12 - Marketing e Divulgação</v>
      </c>
    </row>
    <row r="1400" spans="1:5" hidden="1" x14ac:dyDescent="0.25">
      <c r="A1400" s="23">
        <f t="shared" si="20"/>
        <v>43739</v>
      </c>
      <c r="B1400" s="5" t="s">
        <v>189</v>
      </c>
      <c r="C1400" s="5">
        <v>-10528</v>
      </c>
      <c r="D1400" s="5" t="str">
        <f>_xlfn.XLOOKUP(fRealizado5[[#This Row],[Conta]],'Plano de Contas'!A:A,'Plano de Contas'!C:C)</f>
        <v>(-) Impostos</v>
      </c>
      <c r="E1400" s="5" t="str">
        <f>_xlfn.XLOOKUP(fRealizado5[[#This Row],[Conta]],'Plano de Contas'!A:A,'Plano de Contas'!D:D)</f>
        <v>13 - Impostos Estaduais</v>
      </c>
    </row>
    <row r="1401" spans="1:5" hidden="1" x14ac:dyDescent="0.25">
      <c r="A1401" s="23">
        <f t="shared" si="20"/>
        <v>43739</v>
      </c>
      <c r="B1401" s="5" t="s">
        <v>190</v>
      </c>
      <c r="C1401" s="5">
        <v>-16647</v>
      </c>
      <c r="D1401" s="5" t="str">
        <f>_xlfn.XLOOKUP(fRealizado5[[#This Row],[Conta]],'Plano de Contas'!A:A,'Plano de Contas'!C:C)</f>
        <v>(-) Impostos</v>
      </c>
      <c r="E1401" s="5" t="str">
        <f>_xlfn.XLOOKUP(fRealizado5[[#This Row],[Conta]],'Plano de Contas'!A:A,'Plano de Contas'!D:D)</f>
        <v>14 - Impostos Federais</v>
      </c>
    </row>
    <row r="1402" spans="1:5" hidden="1" x14ac:dyDescent="0.25">
      <c r="A1402" s="23">
        <f t="shared" si="20"/>
        <v>43770</v>
      </c>
      <c r="B1402" s="5" t="s">
        <v>51</v>
      </c>
      <c r="C1402" s="5">
        <v>646287</v>
      </c>
      <c r="D1402" s="5" t="str">
        <f>_xlfn.XLOOKUP(fRealizado5[[#This Row],[Conta]],'Plano de Contas'!A:A,'Plano de Contas'!C:C)</f>
        <v>(+) RECEITA BRUTA</v>
      </c>
      <c r="E1402" s="5" t="str">
        <f>_xlfn.XLOOKUP(fRealizado5[[#This Row],[Conta]],'Plano de Contas'!A:A,'Plano de Contas'!D:D)</f>
        <v>01 - Vendas de Produtos</v>
      </c>
    </row>
    <row r="1403" spans="1:5" hidden="1" x14ac:dyDescent="0.25">
      <c r="A1403" s="23">
        <f t="shared" si="20"/>
        <v>43770</v>
      </c>
      <c r="B1403" s="5" t="s">
        <v>52</v>
      </c>
      <c r="C1403" s="5">
        <v>337160</v>
      </c>
      <c r="D1403" s="5" t="str">
        <f>_xlfn.XLOOKUP(fRealizado5[[#This Row],[Conta]],'Plano de Contas'!A:A,'Plano de Contas'!C:C)</f>
        <v>(+) RECEITA BRUTA</v>
      </c>
      <c r="E1403" s="5" t="str">
        <f>_xlfn.XLOOKUP(fRealizado5[[#This Row],[Conta]],'Plano de Contas'!A:A,'Plano de Contas'!D:D)</f>
        <v>01 - Vendas de Produtos</v>
      </c>
    </row>
    <row r="1404" spans="1:5" hidden="1" x14ac:dyDescent="0.25">
      <c r="A1404" s="23">
        <f t="shared" si="20"/>
        <v>43770</v>
      </c>
      <c r="B1404" s="5" t="s">
        <v>53</v>
      </c>
      <c r="C1404" s="5">
        <v>880454</v>
      </c>
      <c r="D1404" s="5" t="str">
        <f>_xlfn.XLOOKUP(fRealizado5[[#This Row],[Conta]],'Plano de Contas'!A:A,'Plano de Contas'!C:C)</f>
        <v>(+) RECEITA BRUTA</v>
      </c>
      <c r="E1404" s="5" t="str">
        <f>_xlfn.XLOOKUP(fRealizado5[[#This Row],[Conta]],'Plano de Contas'!A:A,'Plano de Contas'!D:D)</f>
        <v>01 - Vendas de Produtos</v>
      </c>
    </row>
    <row r="1405" spans="1:5" hidden="1" x14ac:dyDescent="0.25">
      <c r="A1405" s="23">
        <f t="shared" si="20"/>
        <v>43770</v>
      </c>
      <c r="B1405" s="5" t="s">
        <v>54</v>
      </c>
      <c r="C1405" s="5">
        <v>987829</v>
      </c>
      <c r="D1405" s="5" t="str">
        <f>_xlfn.XLOOKUP(fRealizado5[[#This Row],[Conta]],'Plano de Contas'!A:A,'Plano de Contas'!C:C)</f>
        <v>(+) RECEITA BRUTA</v>
      </c>
      <c r="E1405" s="5" t="str">
        <f>_xlfn.XLOOKUP(fRealizado5[[#This Row],[Conta]],'Plano de Contas'!A:A,'Plano de Contas'!D:D)</f>
        <v>01 - Vendas de Produtos</v>
      </c>
    </row>
    <row r="1406" spans="1:5" hidden="1" x14ac:dyDescent="0.25">
      <c r="A1406" s="23">
        <f t="shared" si="20"/>
        <v>43770</v>
      </c>
      <c r="B1406" s="5" t="s">
        <v>55</v>
      </c>
      <c r="C1406" s="5">
        <v>978570</v>
      </c>
      <c r="D1406" s="5" t="str">
        <f>_xlfn.XLOOKUP(fRealizado5[[#This Row],[Conta]],'Plano de Contas'!A:A,'Plano de Contas'!C:C)</f>
        <v>(+) RECEITA BRUTA</v>
      </c>
      <c r="E1406" s="5" t="str">
        <f>_xlfn.XLOOKUP(fRealizado5[[#This Row],[Conta]],'Plano de Contas'!A:A,'Plano de Contas'!D:D)</f>
        <v>01 - Vendas de Produtos</v>
      </c>
    </row>
    <row r="1407" spans="1:5" hidden="1" x14ac:dyDescent="0.25">
      <c r="A1407" s="23">
        <f t="shared" si="20"/>
        <v>43770</v>
      </c>
      <c r="B1407" s="5" t="s">
        <v>56</v>
      </c>
      <c r="C1407" s="5">
        <v>783900</v>
      </c>
      <c r="D1407" s="5" t="str">
        <f>_xlfn.XLOOKUP(fRealizado5[[#This Row],[Conta]],'Plano de Contas'!A:A,'Plano de Contas'!C:C)</f>
        <v>(+) RECEITA BRUTA</v>
      </c>
      <c r="E1407" s="5" t="str">
        <f>_xlfn.XLOOKUP(fRealizado5[[#This Row],[Conta]],'Plano de Contas'!A:A,'Plano de Contas'!D:D)</f>
        <v>01 - Vendas de Produtos</v>
      </c>
    </row>
    <row r="1408" spans="1:5" hidden="1" x14ac:dyDescent="0.25">
      <c r="A1408" s="23">
        <f t="shared" si="20"/>
        <v>43770</v>
      </c>
      <c r="B1408" s="5" t="s">
        <v>57</v>
      </c>
      <c r="C1408" s="5">
        <v>534071</v>
      </c>
      <c r="D1408" s="5" t="str">
        <f>_xlfn.XLOOKUP(fRealizado5[[#This Row],[Conta]],'Plano de Contas'!A:A,'Plano de Contas'!C:C)</f>
        <v>(+) RECEITA BRUTA</v>
      </c>
      <c r="E1408" s="5" t="str">
        <f>_xlfn.XLOOKUP(fRealizado5[[#This Row],[Conta]],'Plano de Contas'!A:A,'Plano de Contas'!D:D)</f>
        <v>01 - Vendas de Produtos</v>
      </c>
    </row>
    <row r="1409" spans="1:5" hidden="1" x14ac:dyDescent="0.25">
      <c r="A1409" s="23">
        <f t="shared" si="20"/>
        <v>43770</v>
      </c>
      <c r="B1409" s="5" t="s">
        <v>58</v>
      </c>
      <c r="C1409" s="5">
        <v>702959</v>
      </c>
      <c r="D1409" s="5" t="str">
        <f>_xlfn.XLOOKUP(fRealizado5[[#This Row],[Conta]],'Plano de Contas'!A:A,'Plano de Contas'!C:C)</f>
        <v>(+) RECEITA BRUTA</v>
      </c>
      <c r="E1409" s="5" t="str">
        <f>_xlfn.XLOOKUP(fRealizado5[[#This Row],[Conta]],'Plano de Contas'!A:A,'Plano de Contas'!D:D)</f>
        <v>01 - Vendas de Produtos</v>
      </c>
    </row>
    <row r="1410" spans="1:5" hidden="1" x14ac:dyDescent="0.25">
      <c r="A1410" s="23">
        <f t="shared" si="20"/>
        <v>43770</v>
      </c>
      <c r="B1410" s="5" t="s">
        <v>59</v>
      </c>
      <c r="C1410" s="5">
        <v>640590</v>
      </c>
      <c r="D1410" s="5" t="str">
        <f>_xlfn.XLOOKUP(fRealizado5[[#This Row],[Conta]],'Plano de Contas'!A:A,'Plano de Contas'!C:C)</f>
        <v>(+) RECEITA BRUTA</v>
      </c>
      <c r="E1410" s="5" t="str">
        <f>_xlfn.XLOOKUP(fRealizado5[[#This Row],[Conta]],'Plano de Contas'!A:A,'Plano de Contas'!D:D)</f>
        <v>01 - Vendas de Produtos</v>
      </c>
    </row>
    <row r="1411" spans="1:5" hidden="1" x14ac:dyDescent="0.25">
      <c r="A1411" s="23">
        <f t="shared" si="20"/>
        <v>43770</v>
      </c>
      <c r="B1411" s="5" t="s">
        <v>60</v>
      </c>
      <c r="C1411" s="5">
        <v>315129</v>
      </c>
      <c r="D1411" s="5" t="str">
        <f>_xlfn.XLOOKUP(fRealizado5[[#This Row],[Conta]],'Plano de Contas'!A:A,'Plano de Contas'!C:C)</f>
        <v>(+) RECEITA BRUTA</v>
      </c>
      <c r="E1411" s="5" t="str">
        <f>_xlfn.XLOOKUP(fRealizado5[[#This Row],[Conta]],'Plano de Contas'!A:A,'Plano de Contas'!D:D)</f>
        <v>01 - Vendas de Produtos</v>
      </c>
    </row>
    <row r="1412" spans="1:5" hidden="1" x14ac:dyDescent="0.25">
      <c r="A1412" s="23">
        <f t="shared" si="20"/>
        <v>43770</v>
      </c>
      <c r="B1412" s="5" t="s">
        <v>61</v>
      </c>
      <c r="C1412" s="5">
        <v>309391</v>
      </c>
      <c r="D1412" s="5" t="str">
        <f>_xlfn.XLOOKUP(fRealizado5[[#This Row],[Conta]],'Plano de Contas'!A:A,'Plano de Contas'!C:C)</f>
        <v>(+) RECEITA BRUTA</v>
      </c>
      <c r="E1412" s="5" t="str">
        <f>_xlfn.XLOOKUP(fRealizado5[[#This Row],[Conta]],'Plano de Contas'!A:A,'Plano de Contas'!D:D)</f>
        <v>01 - Vendas de Produtos</v>
      </c>
    </row>
    <row r="1413" spans="1:5" hidden="1" x14ac:dyDescent="0.25">
      <c r="A1413" s="23">
        <f t="shared" si="20"/>
        <v>43770</v>
      </c>
      <c r="B1413" s="5" t="s">
        <v>62</v>
      </c>
      <c r="C1413" s="5">
        <v>342593</v>
      </c>
      <c r="D1413" s="5" t="str">
        <f>_xlfn.XLOOKUP(fRealizado5[[#This Row],[Conta]],'Plano de Contas'!A:A,'Plano de Contas'!C:C)</f>
        <v>(+) RECEITA BRUTA</v>
      </c>
      <c r="E1413" s="5" t="str">
        <f>_xlfn.XLOOKUP(fRealizado5[[#This Row],[Conta]],'Plano de Contas'!A:A,'Plano de Contas'!D:D)</f>
        <v>01 - Vendas de Produtos</v>
      </c>
    </row>
    <row r="1414" spans="1:5" hidden="1" x14ac:dyDescent="0.25">
      <c r="A1414" s="23">
        <f t="shared" si="20"/>
        <v>43770</v>
      </c>
      <c r="B1414" s="5" t="s">
        <v>63</v>
      </c>
      <c r="C1414" s="5">
        <v>337035</v>
      </c>
      <c r="D1414" s="5" t="str">
        <f>_xlfn.XLOOKUP(fRealizado5[[#This Row],[Conta]],'Plano de Contas'!A:A,'Plano de Contas'!C:C)</f>
        <v>(+) RECEITA BRUTA</v>
      </c>
      <c r="E1414" s="5" t="str">
        <f>_xlfn.XLOOKUP(fRealizado5[[#This Row],[Conta]],'Plano de Contas'!A:A,'Plano de Contas'!D:D)</f>
        <v>01 - Vendas de Produtos</v>
      </c>
    </row>
    <row r="1415" spans="1:5" hidden="1" x14ac:dyDescent="0.25">
      <c r="A1415" s="23">
        <f t="shared" si="20"/>
        <v>43770</v>
      </c>
      <c r="B1415" s="5" t="s">
        <v>64</v>
      </c>
      <c r="C1415" s="5">
        <v>988046</v>
      </c>
      <c r="D1415" s="5" t="str">
        <f>_xlfn.XLOOKUP(fRealizado5[[#This Row],[Conta]],'Plano de Contas'!A:A,'Plano de Contas'!C:C)</f>
        <v>(+) RECEITA BRUTA</v>
      </c>
      <c r="E1415" s="5" t="str">
        <f>_xlfn.XLOOKUP(fRealizado5[[#This Row],[Conta]],'Plano de Contas'!A:A,'Plano de Contas'!D:D)</f>
        <v>01 - Vendas de Produtos</v>
      </c>
    </row>
    <row r="1416" spans="1:5" hidden="1" x14ac:dyDescent="0.25">
      <c r="A1416" s="23">
        <f t="shared" ref="A1416:A1479" si="21">EDATE(A1276,1)</f>
        <v>43770</v>
      </c>
      <c r="B1416" s="5" t="s">
        <v>65</v>
      </c>
      <c r="C1416" s="5">
        <v>409690</v>
      </c>
      <c r="D1416" s="5" t="str">
        <f>_xlfn.XLOOKUP(fRealizado5[[#This Row],[Conta]],'Plano de Contas'!A:A,'Plano de Contas'!C:C)</f>
        <v>(+) RECEITA BRUTA</v>
      </c>
      <c r="E1416" s="5" t="str">
        <f>_xlfn.XLOOKUP(fRealizado5[[#This Row],[Conta]],'Plano de Contas'!A:A,'Plano de Contas'!D:D)</f>
        <v>01 - Vendas de Produtos</v>
      </c>
    </row>
    <row r="1417" spans="1:5" hidden="1" x14ac:dyDescent="0.25">
      <c r="A1417" s="23">
        <f t="shared" si="21"/>
        <v>43770</v>
      </c>
      <c r="B1417" s="5" t="s">
        <v>66</v>
      </c>
      <c r="C1417" s="5">
        <v>329773</v>
      </c>
      <c r="D1417" s="5" t="str">
        <f>_xlfn.XLOOKUP(fRealizado5[[#This Row],[Conta]],'Plano de Contas'!A:A,'Plano de Contas'!C:C)</f>
        <v>(+) RECEITA BRUTA</v>
      </c>
      <c r="E1417" s="5" t="str">
        <f>_xlfn.XLOOKUP(fRealizado5[[#This Row],[Conta]],'Plano de Contas'!A:A,'Plano de Contas'!D:D)</f>
        <v>01 - Vendas de Produtos</v>
      </c>
    </row>
    <row r="1418" spans="1:5" hidden="1" x14ac:dyDescent="0.25">
      <c r="A1418" s="23">
        <f t="shared" si="21"/>
        <v>43770</v>
      </c>
      <c r="B1418" s="5" t="s">
        <v>67</v>
      </c>
      <c r="C1418" s="5">
        <v>328009</v>
      </c>
      <c r="D1418" s="5" t="str">
        <f>_xlfn.XLOOKUP(fRealizado5[[#This Row],[Conta]],'Plano de Contas'!A:A,'Plano de Contas'!C:C)</f>
        <v>(+) RECEITA BRUTA</v>
      </c>
      <c r="E1418" s="5" t="str">
        <f>_xlfn.XLOOKUP(fRealizado5[[#This Row],[Conta]],'Plano de Contas'!A:A,'Plano de Contas'!D:D)</f>
        <v>01 - Vendas de Produtos</v>
      </c>
    </row>
    <row r="1419" spans="1:5" hidden="1" x14ac:dyDescent="0.25">
      <c r="A1419" s="23">
        <f t="shared" si="21"/>
        <v>43770</v>
      </c>
      <c r="B1419" s="5" t="s">
        <v>68</v>
      </c>
      <c r="C1419" s="5">
        <v>694781</v>
      </c>
      <c r="D1419" s="5" t="str">
        <f>_xlfn.XLOOKUP(fRealizado5[[#This Row],[Conta]],'Plano de Contas'!A:A,'Plano de Contas'!C:C)</f>
        <v>(+) RECEITA BRUTA</v>
      </c>
      <c r="E1419" s="5" t="str">
        <f>_xlfn.XLOOKUP(fRealizado5[[#This Row],[Conta]],'Plano de Contas'!A:A,'Plano de Contas'!D:D)</f>
        <v>01 - Vendas de Produtos</v>
      </c>
    </row>
    <row r="1420" spans="1:5" hidden="1" x14ac:dyDescent="0.25">
      <c r="A1420" s="23">
        <f t="shared" si="21"/>
        <v>43770</v>
      </c>
      <c r="B1420" s="5" t="s">
        <v>69</v>
      </c>
      <c r="C1420" s="5">
        <v>813625</v>
      </c>
      <c r="D1420" s="5" t="str">
        <f>_xlfn.XLOOKUP(fRealizado5[[#This Row],[Conta]],'Plano de Contas'!A:A,'Plano de Contas'!C:C)</f>
        <v>(+) RECEITA BRUTA</v>
      </c>
      <c r="E1420" s="5" t="str">
        <f>_xlfn.XLOOKUP(fRealizado5[[#This Row],[Conta]],'Plano de Contas'!A:A,'Plano de Contas'!D:D)</f>
        <v>01 - Vendas de Produtos</v>
      </c>
    </row>
    <row r="1421" spans="1:5" hidden="1" x14ac:dyDescent="0.25">
      <c r="A1421" s="23">
        <f t="shared" si="21"/>
        <v>43770</v>
      </c>
      <c r="B1421" s="5" t="s">
        <v>70</v>
      </c>
      <c r="C1421" s="5">
        <v>613980</v>
      </c>
      <c r="D1421" s="5" t="str">
        <f>_xlfn.XLOOKUP(fRealizado5[[#This Row],[Conta]],'Plano de Contas'!A:A,'Plano de Contas'!C:C)</f>
        <v>(+) RECEITA BRUTA</v>
      </c>
      <c r="E1421" s="5" t="str">
        <f>_xlfn.XLOOKUP(fRealizado5[[#This Row],[Conta]],'Plano de Contas'!A:A,'Plano de Contas'!D:D)</f>
        <v>01 - Vendas de Produtos</v>
      </c>
    </row>
    <row r="1422" spans="1:5" hidden="1" x14ac:dyDescent="0.25">
      <c r="A1422" s="23">
        <f t="shared" si="21"/>
        <v>43770</v>
      </c>
      <c r="B1422" s="5" t="s">
        <v>71</v>
      </c>
      <c r="C1422" s="5">
        <v>597347</v>
      </c>
      <c r="D1422" s="5" t="str">
        <f>_xlfn.XLOOKUP(fRealizado5[[#This Row],[Conta]],'Plano de Contas'!A:A,'Plano de Contas'!C:C)</f>
        <v>(+) RECEITA BRUTA</v>
      </c>
      <c r="E1422" s="5" t="str">
        <f>_xlfn.XLOOKUP(fRealizado5[[#This Row],[Conta]],'Plano de Contas'!A:A,'Plano de Contas'!D:D)</f>
        <v>01 - Vendas de Produtos</v>
      </c>
    </row>
    <row r="1423" spans="1:5" hidden="1" x14ac:dyDescent="0.25">
      <c r="A1423" s="23">
        <f t="shared" si="21"/>
        <v>43770</v>
      </c>
      <c r="B1423" s="5" t="s">
        <v>72</v>
      </c>
      <c r="C1423" s="5">
        <v>480942</v>
      </c>
      <c r="D1423" s="5" t="str">
        <f>_xlfn.XLOOKUP(fRealizado5[[#This Row],[Conta]],'Plano de Contas'!A:A,'Plano de Contas'!C:C)</f>
        <v>(+) RECEITA BRUTA</v>
      </c>
      <c r="E1423" s="5" t="str">
        <f>_xlfn.XLOOKUP(fRealizado5[[#This Row],[Conta]],'Plano de Contas'!A:A,'Plano de Contas'!D:D)</f>
        <v>01 - Vendas de Produtos</v>
      </c>
    </row>
    <row r="1424" spans="1:5" hidden="1" x14ac:dyDescent="0.25">
      <c r="A1424" s="23">
        <f t="shared" si="21"/>
        <v>43770</v>
      </c>
      <c r="B1424" s="5" t="s">
        <v>73</v>
      </c>
      <c r="C1424" s="5">
        <v>188738</v>
      </c>
      <c r="D1424" s="5" t="str">
        <f>_xlfn.XLOOKUP(fRealizado5[[#This Row],[Conta]],'Plano de Contas'!A:A,'Plano de Contas'!C:C)</f>
        <v>(+) RECEITA BRUTA</v>
      </c>
      <c r="E1424" s="5" t="str">
        <f>_xlfn.XLOOKUP(fRealizado5[[#This Row],[Conta]],'Plano de Contas'!A:A,'Plano de Contas'!D:D)</f>
        <v>01 - Vendas de Produtos</v>
      </c>
    </row>
    <row r="1425" spans="1:5" hidden="1" x14ac:dyDescent="0.25">
      <c r="A1425" s="23">
        <f t="shared" si="21"/>
        <v>43770</v>
      </c>
      <c r="B1425" s="5" t="s">
        <v>74</v>
      </c>
      <c r="C1425" s="5">
        <v>263069</v>
      </c>
      <c r="D1425" s="5" t="str">
        <f>_xlfn.XLOOKUP(fRealizado5[[#This Row],[Conta]],'Plano de Contas'!A:A,'Plano de Contas'!C:C)</f>
        <v>(+) RECEITA BRUTA</v>
      </c>
      <c r="E1425" s="5" t="str">
        <f>_xlfn.XLOOKUP(fRealizado5[[#This Row],[Conta]],'Plano de Contas'!A:A,'Plano de Contas'!D:D)</f>
        <v>01 - Vendas de Produtos</v>
      </c>
    </row>
    <row r="1426" spans="1:5" hidden="1" x14ac:dyDescent="0.25">
      <c r="A1426" s="23">
        <f t="shared" si="21"/>
        <v>43770</v>
      </c>
      <c r="B1426" s="5" t="s">
        <v>75</v>
      </c>
      <c r="C1426" s="5">
        <v>66425</v>
      </c>
      <c r="D1426" s="5" t="str">
        <f>_xlfn.XLOOKUP(fRealizado5[[#This Row],[Conta]],'Plano de Contas'!A:A,'Plano de Contas'!C:C)</f>
        <v>(+) RECEITA BRUTA</v>
      </c>
      <c r="E1426" s="5" t="str">
        <f>_xlfn.XLOOKUP(fRealizado5[[#This Row],[Conta]],'Plano de Contas'!A:A,'Plano de Contas'!D:D)</f>
        <v>02 - Outras Receitas</v>
      </c>
    </row>
    <row r="1427" spans="1:5" hidden="1" x14ac:dyDescent="0.25">
      <c r="A1427" s="23">
        <f t="shared" si="21"/>
        <v>43770</v>
      </c>
      <c r="B1427" s="5" t="s">
        <v>76</v>
      </c>
      <c r="C1427" s="5">
        <v>57189</v>
      </c>
      <c r="D1427" s="5" t="str">
        <f>_xlfn.XLOOKUP(fRealizado5[[#This Row],[Conta]],'Plano de Contas'!A:A,'Plano de Contas'!C:C)</f>
        <v>(+) RECEITA BRUTA</v>
      </c>
      <c r="E1427" s="5" t="str">
        <f>_xlfn.XLOOKUP(fRealizado5[[#This Row],[Conta]],'Plano de Contas'!A:A,'Plano de Contas'!D:D)</f>
        <v>02 - Outras Receitas</v>
      </c>
    </row>
    <row r="1428" spans="1:5" hidden="1" x14ac:dyDescent="0.25">
      <c r="A1428" s="23">
        <f t="shared" si="21"/>
        <v>43770</v>
      </c>
      <c r="B1428" s="5" t="s">
        <v>77</v>
      </c>
      <c r="C1428" s="5">
        <v>67675</v>
      </c>
      <c r="D1428" s="5" t="str">
        <f>_xlfn.XLOOKUP(fRealizado5[[#This Row],[Conta]],'Plano de Contas'!A:A,'Plano de Contas'!C:C)</f>
        <v>(+) RECEITA BRUTA</v>
      </c>
      <c r="E1428" s="5" t="str">
        <f>_xlfn.XLOOKUP(fRealizado5[[#This Row],[Conta]],'Plano de Contas'!A:A,'Plano de Contas'!D:D)</f>
        <v>02 - Outras Receitas</v>
      </c>
    </row>
    <row r="1429" spans="1:5" hidden="1" x14ac:dyDescent="0.25">
      <c r="A1429" s="23">
        <f t="shared" si="21"/>
        <v>43770</v>
      </c>
      <c r="B1429" s="5" t="s">
        <v>78</v>
      </c>
      <c r="C1429" s="5">
        <v>267615</v>
      </c>
      <c r="D1429" s="5" t="str">
        <f>_xlfn.XLOOKUP(fRealizado5[[#This Row],[Conta]],'Plano de Contas'!A:A,'Plano de Contas'!C:C)</f>
        <v>(+) RECEITA BRUTA</v>
      </c>
      <c r="E1429" s="5" t="str">
        <f>_xlfn.XLOOKUP(fRealizado5[[#This Row],[Conta]],'Plano de Contas'!A:A,'Plano de Contas'!D:D)</f>
        <v>02 - Outras Receitas</v>
      </c>
    </row>
    <row r="1430" spans="1:5" hidden="1" x14ac:dyDescent="0.25">
      <c r="A1430" s="23">
        <f t="shared" si="21"/>
        <v>43770</v>
      </c>
      <c r="B1430" s="5" t="s">
        <v>79</v>
      </c>
      <c r="C1430" s="5">
        <v>127004</v>
      </c>
      <c r="D1430" s="5" t="str">
        <f>_xlfn.XLOOKUP(fRealizado5[[#This Row],[Conta]],'Plano de Contas'!A:A,'Plano de Contas'!C:C)</f>
        <v>(+) RECEITA BRUTA</v>
      </c>
      <c r="E1430" s="5" t="str">
        <f>_xlfn.XLOOKUP(fRealizado5[[#This Row],[Conta]],'Plano de Contas'!A:A,'Plano de Contas'!D:D)</f>
        <v>02 - Outras Receitas</v>
      </c>
    </row>
    <row r="1431" spans="1:5" hidden="1" x14ac:dyDescent="0.25">
      <c r="A1431" s="23">
        <f t="shared" si="21"/>
        <v>43770</v>
      </c>
      <c r="B1431" s="5" t="s">
        <v>80</v>
      </c>
      <c r="C1431" s="5">
        <v>148910</v>
      </c>
      <c r="D1431" s="5" t="str">
        <f>_xlfn.XLOOKUP(fRealizado5[[#This Row],[Conta]],'Plano de Contas'!A:A,'Plano de Contas'!C:C)</f>
        <v>(+) RECEITA BRUTA</v>
      </c>
      <c r="E1431" s="5" t="str">
        <f>_xlfn.XLOOKUP(fRealizado5[[#This Row],[Conta]],'Plano de Contas'!A:A,'Plano de Contas'!D:D)</f>
        <v>02 - Outras Receitas</v>
      </c>
    </row>
    <row r="1432" spans="1:5" hidden="1" x14ac:dyDescent="0.25">
      <c r="A1432" s="23">
        <f t="shared" si="21"/>
        <v>43770</v>
      </c>
      <c r="B1432" s="5" t="s">
        <v>81</v>
      </c>
      <c r="C1432" s="5">
        <v>190784</v>
      </c>
      <c r="D1432" s="5" t="str">
        <f>_xlfn.XLOOKUP(fRealizado5[[#This Row],[Conta]],'Plano de Contas'!A:A,'Plano de Contas'!C:C)</f>
        <v>(+) RECEITA BRUTA</v>
      </c>
      <c r="E1432" s="5" t="str">
        <f>_xlfn.XLOOKUP(fRealizado5[[#This Row],[Conta]],'Plano de Contas'!A:A,'Plano de Contas'!D:D)</f>
        <v>02 - Outras Receitas</v>
      </c>
    </row>
    <row r="1433" spans="1:5" hidden="1" x14ac:dyDescent="0.25">
      <c r="A1433" s="23">
        <f t="shared" si="21"/>
        <v>43770</v>
      </c>
      <c r="B1433" s="5" t="s">
        <v>82</v>
      </c>
      <c r="C1433" s="5">
        <v>184766</v>
      </c>
      <c r="D1433" s="5" t="str">
        <f>_xlfn.XLOOKUP(fRealizado5[[#This Row],[Conta]],'Plano de Contas'!A:A,'Plano de Contas'!C:C)</f>
        <v>(+) RECEITA BRUTA</v>
      </c>
      <c r="E1433" s="5" t="str">
        <f>_xlfn.XLOOKUP(fRealizado5[[#This Row],[Conta]],'Plano de Contas'!A:A,'Plano de Contas'!D:D)</f>
        <v>02 - Outras Receitas</v>
      </c>
    </row>
    <row r="1434" spans="1:5" hidden="1" x14ac:dyDescent="0.25">
      <c r="A1434" s="23">
        <f t="shared" si="21"/>
        <v>43770</v>
      </c>
      <c r="B1434" s="5" t="s">
        <v>83</v>
      </c>
      <c r="C1434" s="5">
        <v>268927</v>
      </c>
      <c r="D1434" s="5" t="str">
        <f>_xlfn.XLOOKUP(fRealizado5[[#This Row],[Conta]],'Plano de Contas'!A:A,'Plano de Contas'!C:C)</f>
        <v>(+) RECEITA BRUTA</v>
      </c>
      <c r="E1434" s="5" t="str">
        <f>_xlfn.XLOOKUP(fRealizado5[[#This Row],[Conta]],'Plano de Contas'!A:A,'Plano de Contas'!D:D)</f>
        <v>02 - Outras Receitas</v>
      </c>
    </row>
    <row r="1435" spans="1:5" hidden="1" x14ac:dyDescent="0.25">
      <c r="A1435" s="23">
        <f t="shared" si="21"/>
        <v>43770</v>
      </c>
      <c r="B1435" s="5" t="s">
        <v>84</v>
      </c>
      <c r="C1435" s="5">
        <v>82436</v>
      </c>
      <c r="D1435" s="5" t="str">
        <f>_xlfn.XLOOKUP(fRealizado5[[#This Row],[Conta]],'Plano de Contas'!A:A,'Plano de Contas'!C:C)</f>
        <v>(+) RECEITA BRUTA</v>
      </c>
      <c r="E1435" s="5" t="str">
        <f>_xlfn.XLOOKUP(fRealizado5[[#This Row],[Conta]],'Plano de Contas'!A:A,'Plano de Contas'!D:D)</f>
        <v>02 - Outras Receitas</v>
      </c>
    </row>
    <row r="1436" spans="1:5" hidden="1" x14ac:dyDescent="0.25">
      <c r="A1436" s="23">
        <f t="shared" si="21"/>
        <v>43770</v>
      </c>
      <c r="B1436" s="5" t="s">
        <v>85</v>
      </c>
      <c r="C1436" s="5">
        <v>159686</v>
      </c>
      <c r="D1436" s="5" t="str">
        <f>_xlfn.XLOOKUP(fRealizado5[[#This Row],[Conta]],'Plano de Contas'!A:A,'Plano de Contas'!C:C)</f>
        <v>(+) RECEITA BRUTA</v>
      </c>
      <c r="E1436" s="5" t="str">
        <f>_xlfn.XLOOKUP(fRealizado5[[#This Row],[Conta]],'Plano de Contas'!A:A,'Plano de Contas'!D:D)</f>
        <v>02 - Outras Receitas</v>
      </c>
    </row>
    <row r="1437" spans="1:5" hidden="1" x14ac:dyDescent="0.25">
      <c r="A1437" s="23">
        <f t="shared" si="21"/>
        <v>43770</v>
      </c>
      <c r="B1437" s="5" t="s">
        <v>86</v>
      </c>
      <c r="C1437" s="5">
        <v>175201</v>
      </c>
      <c r="D1437" s="5" t="str">
        <f>_xlfn.XLOOKUP(fRealizado5[[#This Row],[Conta]],'Plano de Contas'!A:A,'Plano de Contas'!C:C)</f>
        <v>(+) RECEITA BRUTA</v>
      </c>
      <c r="E1437" s="5" t="str">
        <f>_xlfn.XLOOKUP(fRealizado5[[#This Row],[Conta]],'Plano de Contas'!A:A,'Plano de Contas'!D:D)</f>
        <v>02 - Outras Receitas</v>
      </c>
    </row>
    <row r="1438" spans="1:5" hidden="1" x14ac:dyDescent="0.25">
      <c r="A1438" s="23">
        <f t="shared" si="21"/>
        <v>43770</v>
      </c>
      <c r="B1438" s="5" t="s">
        <v>87</v>
      </c>
      <c r="C1438" s="5">
        <v>101859</v>
      </c>
      <c r="D1438" s="5" t="str">
        <f>_xlfn.XLOOKUP(fRealizado5[[#This Row],[Conta]],'Plano de Contas'!A:A,'Plano de Contas'!C:C)</f>
        <v>(+) RECEITA BRUTA</v>
      </c>
      <c r="E1438" s="5" t="str">
        <f>_xlfn.XLOOKUP(fRealizado5[[#This Row],[Conta]],'Plano de Contas'!A:A,'Plano de Contas'!D:D)</f>
        <v>02 - Outras Receitas</v>
      </c>
    </row>
    <row r="1439" spans="1:5" hidden="1" x14ac:dyDescent="0.25">
      <c r="A1439" s="23">
        <f t="shared" si="21"/>
        <v>43770</v>
      </c>
      <c r="B1439" s="5" t="s">
        <v>88</v>
      </c>
      <c r="C1439" s="5">
        <v>224057</v>
      </c>
      <c r="D1439" s="5" t="str">
        <f>_xlfn.XLOOKUP(fRealizado5[[#This Row],[Conta]],'Plano de Contas'!A:A,'Plano de Contas'!C:C)</f>
        <v>(+) RECEITA BRUTA</v>
      </c>
      <c r="E1439" s="5" t="str">
        <f>_xlfn.XLOOKUP(fRealizado5[[#This Row],[Conta]],'Plano de Contas'!A:A,'Plano de Contas'!D:D)</f>
        <v>02 - Outras Receitas</v>
      </c>
    </row>
    <row r="1440" spans="1:5" hidden="1" x14ac:dyDescent="0.25">
      <c r="A1440" s="23">
        <f t="shared" si="21"/>
        <v>43770</v>
      </c>
      <c r="B1440" s="5" t="s">
        <v>89</v>
      </c>
      <c r="C1440" s="5">
        <v>231875</v>
      </c>
      <c r="D1440" s="5" t="str">
        <f>_xlfn.XLOOKUP(fRealizado5[[#This Row],[Conta]],'Plano de Contas'!A:A,'Plano de Contas'!C:C)</f>
        <v>(+) RECEITA BRUTA</v>
      </c>
      <c r="E1440" s="5" t="str">
        <f>_xlfn.XLOOKUP(fRealizado5[[#This Row],[Conta]],'Plano de Contas'!A:A,'Plano de Contas'!D:D)</f>
        <v>02 - Outras Receitas</v>
      </c>
    </row>
    <row r="1441" spans="1:5" hidden="1" x14ac:dyDescent="0.25">
      <c r="A1441" s="23">
        <f t="shared" si="21"/>
        <v>43770</v>
      </c>
      <c r="B1441" s="5" t="s">
        <v>90</v>
      </c>
      <c r="C1441" s="5">
        <v>255642</v>
      </c>
      <c r="D1441" s="5" t="str">
        <f>_xlfn.XLOOKUP(fRealizado5[[#This Row],[Conta]],'Plano de Contas'!A:A,'Plano de Contas'!C:C)</f>
        <v>(+) RECEITA BRUTA</v>
      </c>
      <c r="E1441" s="5" t="str">
        <f>_xlfn.XLOOKUP(fRealizado5[[#This Row],[Conta]],'Plano de Contas'!A:A,'Plano de Contas'!D:D)</f>
        <v>02 - Outras Receitas</v>
      </c>
    </row>
    <row r="1442" spans="1:5" hidden="1" x14ac:dyDescent="0.25">
      <c r="A1442" s="23">
        <f t="shared" si="21"/>
        <v>43770</v>
      </c>
      <c r="B1442" s="5" t="s">
        <v>91</v>
      </c>
      <c r="C1442" s="5">
        <v>241712</v>
      </c>
      <c r="D1442" s="5" t="str">
        <f>_xlfn.XLOOKUP(fRealizado5[[#This Row],[Conta]],'Plano de Contas'!A:A,'Plano de Contas'!C:C)</f>
        <v>(+) RECEITA BRUTA</v>
      </c>
      <c r="E1442" s="5" t="str">
        <f>_xlfn.XLOOKUP(fRealizado5[[#This Row],[Conta]],'Plano de Contas'!A:A,'Plano de Contas'!D:D)</f>
        <v>02 - Outras Receitas</v>
      </c>
    </row>
    <row r="1443" spans="1:5" hidden="1" x14ac:dyDescent="0.25">
      <c r="A1443" s="23">
        <f t="shared" si="21"/>
        <v>43770</v>
      </c>
      <c r="B1443" s="5" t="s">
        <v>92</v>
      </c>
      <c r="C1443" s="5">
        <v>215015</v>
      </c>
      <c r="D1443" s="5" t="str">
        <f>_xlfn.XLOOKUP(fRealizado5[[#This Row],[Conta]],'Plano de Contas'!A:A,'Plano de Contas'!C:C)</f>
        <v>(+) RECEITA BRUTA</v>
      </c>
      <c r="E1443" s="5" t="str">
        <f>_xlfn.XLOOKUP(fRealizado5[[#This Row],[Conta]],'Plano de Contas'!A:A,'Plano de Contas'!D:D)</f>
        <v>02 - Outras Receitas</v>
      </c>
    </row>
    <row r="1444" spans="1:5" hidden="1" x14ac:dyDescent="0.25">
      <c r="A1444" s="23">
        <f t="shared" si="21"/>
        <v>43770</v>
      </c>
      <c r="B1444" s="5" t="s">
        <v>93</v>
      </c>
      <c r="C1444" s="5">
        <v>295253</v>
      </c>
      <c r="D1444" s="5" t="str">
        <f>_xlfn.XLOOKUP(fRealizado5[[#This Row],[Conta]],'Plano de Contas'!A:A,'Plano de Contas'!C:C)</f>
        <v>(+) RECEITA BRUTA</v>
      </c>
      <c r="E1444" s="5" t="str">
        <f>_xlfn.XLOOKUP(fRealizado5[[#This Row],[Conta]],'Plano de Contas'!A:A,'Plano de Contas'!D:D)</f>
        <v>02 - Outras Receitas</v>
      </c>
    </row>
    <row r="1445" spans="1:5" hidden="1" x14ac:dyDescent="0.25">
      <c r="A1445" s="23">
        <f t="shared" si="21"/>
        <v>43770</v>
      </c>
      <c r="B1445" s="5" t="s">
        <v>94</v>
      </c>
      <c r="C1445" s="5">
        <v>170968</v>
      </c>
      <c r="D1445" s="5" t="str">
        <f>_xlfn.XLOOKUP(fRealizado5[[#This Row],[Conta]],'Plano de Contas'!A:A,'Plano de Contas'!C:C)</f>
        <v>(+) RECEITA BRUTA</v>
      </c>
      <c r="E1445" s="5" t="str">
        <f>_xlfn.XLOOKUP(fRealizado5[[#This Row],[Conta]],'Plano de Contas'!A:A,'Plano de Contas'!D:D)</f>
        <v>02 - Outras Receitas</v>
      </c>
    </row>
    <row r="1446" spans="1:5" hidden="1" x14ac:dyDescent="0.25">
      <c r="A1446" s="23">
        <f t="shared" si="21"/>
        <v>43770</v>
      </c>
      <c r="B1446" s="5" t="s">
        <v>95</v>
      </c>
      <c r="C1446" s="5">
        <v>76442</v>
      </c>
      <c r="D1446" s="5" t="str">
        <f>_xlfn.XLOOKUP(fRealizado5[[#This Row],[Conta]],'Plano de Contas'!A:A,'Plano de Contas'!C:C)</f>
        <v>(+) RECEITA BRUTA</v>
      </c>
      <c r="E1446" s="5" t="str">
        <f>_xlfn.XLOOKUP(fRealizado5[[#This Row],[Conta]],'Plano de Contas'!A:A,'Plano de Contas'!D:D)</f>
        <v>02 - Outras Receitas</v>
      </c>
    </row>
    <row r="1447" spans="1:5" hidden="1" x14ac:dyDescent="0.25">
      <c r="A1447" s="23">
        <f t="shared" si="21"/>
        <v>43770</v>
      </c>
      <c r="B1447" s="5" t="s">
        <v>96</v>
      </c>
      <c r="C1447" s="5">
        <v>177625</v>
      </c>
      <c r="D1447" s="5" t="str">
        <f>_xlfn.XLOOKUP(fRealizado5[[#This Row],[Conta]],'Plano de Contas'!A:A,'Plano de Contas'!C:C)</f>
        <v>(+) RECEITA BRUTA</v>
      </c>
      <c r="E1447" s="5" t="str">
        <f>_xlfn.XLOOKUP(fRealizado5[[#This Row],[Conta]],'Plano de Contas'!A:A,'Plano de Contas'!D:D)</f>
        <v>02 - Outras Receitas</v>
      </c>
    </row>
    <row r="1448" spans="1:5" hidden="1" x14ac:dyDescent="0.25">
      <c r="A1448" s="23">
        <f t="shared" si="21"/>
        <v>43770</v>
      </c>
      <c r="B1448" s="5" t="s">
        <v>97</v>
      </c>
      <c r="C1448" s="5">
        <v>62938</v>
      </c>
      <c r="D1448" s="5" t="str">
        <f>_xlfn.XLOOKUP(fRealizado5[[#This Row],[Conta]],'Plano de Contas'!A:A,'Plano de Contas'!C:C)</f>
        <v>(+) RECEITA BRUTA</v>
      </c>
      <c r="E1448" s="5" t="str">
        <f>_xlfn.XLOOKUP(fRealizado5[[#This Row],[Conta]],'Plano de Contas'!A:A,'Plano de Contas'!D:D)</f>
        <v>02 - Outras Receitas</v>
      </c>
    </row>
    <row r="1449" spans="1:5" hidden="1" x14ac:dyDescent="0.25">
      <c r="A1449" s="23">
        <f t="shared" si="21"/>
        <v>43770</v>
      </c>
      <c r="B1449" s="5" t="s">
        <v>98</v>
      </c>
      <c r="C1449" s="5">
        <v>120215</v>
      </c>
      <c r="D1449" s="5" t="str">
        <f>_xlfn.XLOOKUP(fRealizado5[[#This Row],[Conta]],'Plano de Contas'!A:A,'Plano de Contas'!C:C)</f>
        <v>(+) RECEITA BRUTA</v>
      </c>
      <c r="E1449" s="5" t="str">
        <f>_xlfn.XLOOKUP(fRealizado5[[#This Row],[Conta]],'Plano de Contas'!A:A,'Plano de Contas'!D:D)</f>
        <v>02 - Outras Receitas</v>
      </c>
    </row>
    <row r="1450" spans="1:5" hidden="1" x14ac:dyDescent="0.25">
      <c r="A1450" s="23">
        <f t="shared" si="21"/>
        <v>43770</v>
      </c>
      <c r="B1450" s="5" t="s">
        <v>99</v>
      </c>
      <c r="C1450" s="5">
        <v>195868</v>
      </c>
      <c r="D1450" s="5" t="str">
        <f>_xlfn.XLOOKUP(fRealizado5[[#This Row],[Conta]],'Plano de Contas'!A:A,'Plano de Contas'!C:C)</f>
        <v>(+) RECEITA BRUTA</v>
      </c>
      <c r="E1450" s="5" t="str">
        <f>_xlfn.XLOOKUP(fRealizado5[[#This Row],[Conta]],'Plano de Contas'!A:A,'Plano de Contas'!D:D)</f>
        <v>02 - Outras Receitas</v>
      </c>
    </row>
    <row r="1451" spans="1:5" hidden="1" x14ac:dyDescent="0.25">
      <c r="A1451" s="23">
        <f t="shared" si="21"/>
        <v>43770</v>
      </c>
      <c r="B1451" s="5" t="s">
        <v>100</v>
      </c>
      <c r="C1451" s="5">
        <v>222369</v>
      </c>
      <c r="D1451" s="5" t="str">
        <f>_xlfn.XLOOKUP(fRealizado5[[#This Row],[Conta]],'Plano de Contas'!A:A,'Plano de Contas'!C:C)</f>
        <v>(+) RECEITA BRUTA</v>
      </c>
      <c r="E1451" s="5" t="str">
        <f>_xlfn.XLOOKUP(fRealizado5[[#This Row],[Conta]],'Plano de Contas'!A:A,'Plano de Contas'!D:D)</f>
        <v>02 - Outras Receitas</v>
      </c>
    </row>
    <row r="1452" spans="1:5" hidden="1" x14ac:dyDescent="0.25">
      <c r="A1452" s="23">
        <f t="shared" si="21"/>
        <v>43770</v>
      </c>
      <c r="B1452" s="5" t="s">
        <v>101</v>
      </c>
      <c r="C1452" s="5">
        <v>214887</v>
      </c>
      <c r="D1452" s="5" t="str">
        <f>_xlfn.XLOOKUP(fRealizado5[[#This Row],[Conta]],'Plano de Contas'!A:A,'Plano de Contas'!C:C)</f>
        <v>(+) RECEITA BRUTA</v>
      </c>
      <c r="E1452" s="5" t="str">
        <f>_xlfn.XLOOKUP(fRealizado5[[#This Row],[Conta]],'Plano de Contas'!A:A,'Plano de Contas'!D:D)</f>
        <v>02 - Outras Receitas</v>
      </c>
    </row>
    <row r="1453" spans="1:5" hidden="1" x14ac:dyDescent="0.25">
      <c r="A1453" s="23">
        <f t="shared" si="21"/>
        <v>43770</v>
      </c>
      <c r="B1453" s="5" t="s">
        <v>102</v>
      </c>
      <c r="C1453" s="5">
        <v>178158</v>
      </c>
      <c r="D1453" s="5" t="str">
        <f>_xlfn.XLOOKUP(fRealizado5[[#This Row],[Conta]],'Plano de Contas'!A:A,'Plano de Contas'!C:C)</f>
        <v>(+) RECEITA BRUTA</v>
      </c>
      <c r="E1453" s="5" t="str">
        <f>_xlfn.XLOOKUP(fRealizado5[[#This Row],[Conta]],'Plano de Contas'!A:A,'Plano de Contas'!D:D)</f>
        <v>02 - Outras Receitas</v>
      </c>
    </row>
    <row r="1454" spans="1:5" hidden="1" x14ac:dyDescent="0.25">
      <c r="A1454" s="23">
        <f t="shared" si="21"/>
        <v>43770</v>
      </c>
      <c r="B1454" s="5" t="s">
        <v>103</v>
      </c>
      <c r="C1454" s="5">
        <v>134231</v>
      </c>
      <c r="D1454" s="5" t="str">
        <f>_xlfn.XLOOKUP(fRealizado5[[#This Row],[Conta]],'Plano de Contas'!A:A,'Plano de Contas'!C:C)</f>
        <v>(+) RECEITA BRUTA</v>
      </c>
      <c r="E1454" s="5" t="str">
        <f>_xlfn.XLOOKUP(fRealizado5[[#This Row],[Conta]],'Plano de Contas'!A:A,'Plano de Contas'!D:D)</f>
        <v>02 - Outras Receitas</v>
      </c>
    </row>
    <row r="1455" spans="1:5" hidden="1" x14ac:dyDescent="0.25">
      <c r="A1455" s="23">
        <f t="shared" si="21"/>
        <v>43770</v>
      </c>
      <c r="B1455" s="5" t="s">
        <v>104</v>
      </c>
      <c r="C1455" s="5">
        <v>162462</v>
      </c>
      <c r="D1455" s="5" t="str">
        <f>_xlfn.XLOOKUP(fRealizado5[[#This Row],[Conta]],'Plano de Contas'!A:A,'Plano de Contas'!C:C)</f>
        <v>(+) RECEITA BRUTA</v>
      </c>
      <c r="E1455" s="5" t="str">
        <f>_xlfn.XLOOKUP(fRealizado5[[#This Row],[Conta]],'Plano de Contas'!A:A,'Plano de Contas'!D:D)</f>
        <v>02 - Outras Receitas</v>
      </c>
    </row>
    <row r="1456" spans="1:5" hidden="1" x14ac:dyDescent="0.25">
      <c r="A1456" s="23">
        <f t="shared" si="21"/>
        <v>43770</v>
      </c>
      <c r="B1456" s="5" t="s">
        <v>105</v>
      </c>
      <c r="C1456" s="5">
        <v>72909</v>
      </c>
      <c r="D1456" s="5" t="str">
        <f>_xlfn.XLOOKUP(fRealizado5[[#This Row],[Conta]],'Plano de Contas'!A:A,'Plano de Contas'!C:C)</f>
        <v>(+) RECEITA BRUTA</v>
      </c>
      <c r="E1456" s="5" t="str">
        <f>_xlfn.XLOOKUP(fRealizado5[[#This Row],[Conta]],'Plano de Contas'!A:A,'Plano de Contas'!D:D)</f>
        <v>02 - Outras Receitas</v>
      </c>
    </row>
    <row r="1457" spans="1:5" hidden="1" x14ac:dyDescent="0.25">
      <c r="A1457" s="23">
        <f t="shared" si="21"/>
        <v>43770</v>
      </c>
      <c r="B1457" s="5" t="s">
        <v>106</v>
      </c>
      <c r="C1457" s="5">
        <v>280148</v>
      </c>
      <c r="D1457" s="5" t="str">
        <f>_xlfn.XLOOKUP(fRealizado5[[#This Row],[Conta]],'Plano de Contas'!A:A,'Plano de Contas'!C:C)</f>
        <v>(+) RECEITA BRUTA</v>
      </c>
      <c r="E1457" s="5" t="str">
        <f>_xlfn.XLOOKUP(fRealizado5[[#This Row],[Conta]],'Plano de Contas'!A:A,'Plano de Contas'!D:D)</f>
        <v>02 - Outras Receitas</v>
      </c>
    </row>
    <row r="1458" spans="1:5" hidden="1" x14ac:dyDescent="0.25">
      <c r="A1458" s="23">
        <f t="shared" si="21"/>
        <v>43770</v>
      </c>
      <c r="B1458" s="5" t="s">
        <v>107</v>
      </c>
      <c r="C1458" s="5">
        <v>108113</v>
      </c>
      <c r="D1458" s="5" t="str">
        <f>_xlfn.XLOOKUP(fRealizado5[[#This Row],[Conta]],'Plano de Contas'!A:A,'Plano de Contas'!C:C)</f>
        <v>(+) RECEITA BRUTA</v>
      </c>
      <c r="E1458" s="5" t="str">
        <f>_xlfn.XLOOKUP(fRealizado5[[#This Row],[Conta]],'Plano de Contas'!A:A,'Plano de Contas'!D:D)</f>
        <v>02 - Outras Receitas</v>
      </c>
    </row>
    <row r="1459" spans="1:5" hidden="1" x14ac:dyDescent="0.25">
      <c r="A1459" s="23">
        <f t="shared" si="21"/>
        <v>43770</v>
      </c>
      <c r="B1459" s="5" t="s">
        <v>108</v>
      </c>
      <c r="C1459" s="5">
        <v>100737</v>
      </c>
      <c r="D1459" s="5" t="str">
        <f>_xlfn.XLOOKUP(fRealizado5[[#This Row],[Conta]],'Plano de Contas'!A:A,'Plano de Contas'!C:C)</f>
        <v>(+) RECEITA BRUTA</v>
      </c>
      <c r="E1459" s="5" t="str">
        <f>_xlfn.XLOOKUP(fRealizado5[[#This Row],[Conta]],'Plano de Contas'!A:A,'Plano de Contas'!D:D)</f>
        <v>02 - Outras Receitas</v>
      </c>
    </row>
    <row r="1460" spans="1:5" hidden="1" x14ac:dyDescent="0.25">
      <c r="A1460" s="23">
        <f t="shared" si="21"/>
        <v>43770</v>
      </c>
      <c r="B1460" s="5" t="s">
        <v>109</v>
      </c>
      <c r="C1460" s="5">
        <v>287642</v>
      </c>
      <c r="D1460" s="5" t="str">
        <f>_xlfn.XLOOKUP(fRealizado5[[#This Row],[Conta]],'Plano de Contas'!A:A,'Plano de Contas'!C:C)</f>
        <v>(+) RECEITA BRUTA</v>
      </c>
      <c r="E1460" s="5" t="str">
        <f>_xlfn.XLOOKUP(fRealizado5[[#This Row],[Conta]],'Plano de Contas'!A:A,'Plano de Contas'!D:D)</f>
        <v>02 - Outras Receitas</v>
      </c>
    </row>
    <row r="1461" spans="1:5" hidden="1" x14ac:dyDescent="0.25">
      <c r="A1461" s="23">
        <f t="shared" si="21"/>
        <v>43770</v>
      </c>
      <c r="B1461" s="5" t="s">
        <v>110</v>
      </c>
      <c r="C1461" s="5">
        <v>-2568</v>
      </c>
      <c r="D1461" s="5" t="str">
        <f>_xlfn.XLOOKUP(fRealizado5[[#This Row],[Conta]],'Plano de Contas'!A:A,'Plano de Contas'!C:C)</f>
        <v>(-) Deduções da Receita</v>
      </c>
      <c r="E1461" s="5" t="str">
        <f>_xlfn.XLOOKUP(fRealizado5[[#This Row],[Conta]],'Plano de Contas'!A:A,'Plano de Contas'!D:D)</f>
        <v>03 - Devoluções de Produtos</v>
      </c>
    </row>
    <row r="1462" spans="1:5" hidden="1" x14ac:dyDescent="0.25">
      <c r="A1462" s="23">
        <f t="shared" si="21"/>
        <v>43770</v>
      </c>
      <c r="B1462" s="5" t="s">
        <v>111</v>
      </c>
      <c r="C1462" s="5">
        <v>-6393</v>
      </c>
      <c r="D1462" s="5" t="str">
        <f>_xlfn.XLOOKUP(fRealizado5[[#This Row],[Conta]],'Plano de Contas'!A:A,'Plano de Contas'!C:C)</f>
        <v>(-) Deduções da Receita</v>
      </c>
      <c r="E1462" s="5" t="str">
        <f>_xlfn.XLOOKUP(fRealizado5[[#This Row],[Conta]],'Plano de Contas'!A:A,'Plano de Contas'!D:D)</f>
        <v>03 - Devoluções de Produtos</v>
      </c>
    </row>
    <row r="1463" spans="1:5" hidden="1" x14ac:dyDescent="0.25">
      <c r="A1463" s="23">
        <f t="shared" si="21"/>
        <v>43770</v>
      </c>
      <c r="B1463" s="5" t="s">
        <v>112</v>
      </c>
      <c r="C1463" s="5">
        <v>-1538</v>
      </c>
      <c r="D1463" s="5" t="str">
        <f>_xlfn.XLOOKUP(fRealizado5[[#This Row],[Conta]],'Plano de Contas'!A:A,'Plano de Contas'!C:C)</f>
        <v>(-) Deduções da Receita</v>
      </c>
      <c r="E1463" s="5" t="str">
        <f>_xlfn.XLOOKUP(fRealizado5[[#This Row],[Conta]],'Plano de Contas'!A:A,'Plano de Contas'!D:D)</f>
        <v>03 - Devoluções de Produtos</v>
      </c>
    </row>
    <row r="1464" spans="1:5" hidden="1" x14ac:dyDescent="0.25">
      <c r="A1464" s="23">
        <f t="shared" si="21"/>
        <v>43770</v>
      </c>
      <c r="B1464" s="5" t="s">
        <v>113</v>
      </c>
      <c r="C1464" s="5">
        <v>-3905</v>
      </c>
      <c r="D1464" s="5" t="str">
        <f>_xlfn.XLOOKUP(fRealizado5[[#This Row],[Conta]],'Plano de Contas'!A:A,'Plano de Contas'!C:C)</f>
        <v>(-) Deduções da Receita</v>
      </c>
      <c r="E1464" s="5" t="str">
        <f>_xlfn.XLOOKUP(fRealizado5[[#This Row],[Conta]],'Plano de Contas'!A:A,'Plano de Contas'!D:D)</f>
        <v>03 - Devoluções de Produtos</v>
      </c>
    </row>
    <row r="1465" spans="1:5" hidden="1" x14ac:dyDescent="0.25">
      <c r="A1465" s="23">
        <f t="shared" si="21"/>
        <v>43770</v>
      </c>
      <c r="B1465" s="5" t="s">
        <v>114</v>
      </c>
      <c r="C1465" s="5">
        <v>-2666</v>
      </c>
      <c r="D1465" s="5" t="str">
        <f>_xlfn.XLOOKUP(fRealizado5[[#This Row],[Conta]],'Plano de Contas'!A:A,'Plano de Contas'!C:C)</f>
        <v>(-) Deduções da Receita</v>
      </c>
      <c r="E1465" s="5" t="str">
        <f>_xlfn.XLOOKUP(fRealizado5[[#This Row],[Conta]],'Plano de Contas'!A:A,'Plano de Contas'!D:D)</f>
        <v>03 - Devoluções de Produtos</v>
      </c>
    </row>
    <row r="1466" spans="1:5" hidden="1" x14ac:dyDescent="0.25">
      <c r="A1466" s="23">
        <f t="shared" si="21"/>
        <v>43770</v>
      </c>
      <c r="B1466" s="5" t="s">
        <v>115</v>
      </c>
      <c r="C1466" s="5">
        <v>-3595</v>
      </c>
      <c r="D1466" s="5" t="str">
        <f>_xlfn.XLOOKUP(fRealizado5[[#This Row],[Conta]],'Plano de Contas'!A:A,'Plano de Contas'!C:C)</f>
        <v>(-) Deduções da Receita</v>
      </c>
      <c r="E1466" s="5" t="str">
        <f>_xlfn.XLOOKUP(fRealizado5[[#This Row],[Conta]],'Plano de Contas'!A:A,'Plano de Contas'!D:D)</f>
        <v>03 - Devoluções de Produtos</v>
      </c>
    </row>
    <row r="1467" spans="1:5" hidden="1" x14ac:dyDescent="0.25">
      <c r="A1467" s="23">
        <f t="shared" si="21"/>
        <v>43770</v>
      </c>
      <c r="B1467" s="5" t="s">
        <v>116</v>
      </c>
      <c r="C1467" s="5">
        <v>-8891</v>
      </c>
      <c r="D1467" s="5" t="str">
        <f>_xlfn.XLOOKUP(fRealizado5[[#This Row],[Conta]],'Plano de Contas'!A:A,'Plano de Contas'!C:C)</f>
        <v>(-) Deduções da Receita</v>
      </c>
      <c r="E1467" s="5" t="str">
        <f>_xlfn.XLOOKUP(fRealizado5[[#This Row],[Conta]],'Plano de Contas'!A:A,'Plano de Contas'!D:D)</f>
        <v>03 - Devoluções de Produtos</v>
      </c>
    </row>
    <row r="1468" spans="1:5" hidden="1" x14ac:dyDescent="0.25">
      <c r="A1468" s="23">
        <f t="shared" si="21"/>
        <v>43770</v>
      </c>
      <c r="B1468" s="5" t="s">
        <v>117</v>
      </c>
      <c r="C1468" s="5">
        <v>-8269</v>
      </c>
      <c r="D1468" s="5" t="str">
        <f>_xlfn.XLOOKUP(fRealizado5[[#This Row],[Conta]],'Plano de Contas'!A:A,'Plano de Contas'!C:C)</f>
        <v>(-) Deduções da Receita</v>
      </c>
      <c r="E1468" s="5" t="str">
        <f>_xlfn.XLOOKUP(fRealizado5[[#This Row],[Conta]],'Plano de Contas'!A:A,'Plano de Contas'!D:D)</f>
        <v>03 - Devoluções de Produtos</v>
      </c>
    </row>
    <row r="1469" spans="1:5" hidden="1" x14ac:dyDescent="0.25">
      <c r="A1469" s="23">
        <f t="shared" si="21"/>
        <v>43770</v>
      </c>
      <c r="B1469" s="5" t="s">
        <v>118</v>
      </c>
      <c r="C1469" s="5">
        <v>-8072</v>
      </c>
      <c r="D1469" s="5" t="str">
        <f>_xlfn.XLOOKUP(fRealizado5[[#This Row],[Conta]],'Plano de Contas'!A:A,'Plano de Contas'!C:C)</f>
        <v>(-) Deduções da Receita</v>
      </c>
      <c r="E1469" s="5" t="str">
        <f>_xlfn.XLOOKUP(fRealizado5[[#This Row],[Conta]],'Plano de Contas'!A:A,'Plano de Contas'!D:D)</f>
        <v>03 - Devoluções de Produtos</v>
      </c>
    </row>
    <row r="1470" spans="1:5" hidden="1" x14ac:dyDescent="0.25">
      <c r="A1470" s="23">
        <f t="shared" si="21"/>
        <v>43770</v>
      </c>
      <c r="B1470" s="5" t="s">
        <v>119</v>
      </c>
      <c r="C1470" s="5">
        <v>-4616</v>
      </c>
      <c r="D1470" s="5" t="str">
        <f>_xlfn.XLOOKUP(fRealizado5[[#This Row],[Conta]],'Plano de Contas'!A:A,'Plano de Contas'!C:C)</f>
        <v>(-) Deduções da Receita</v>
      </c>
      <c r="E1470" s="5" t="str">
        <f>_xlfn.XLOOKUP(fRealizado5[[#This Row],[Conta]],'Plano de Contas'!A:A,'Plano de Contas'!D:D)</f>
        <v>03 - Devoluções de Produtos</v>
      </c>
    </row>
    <row r="1471" spans="1:5" hidden="1" x14ac:dyDescent="0.25">
      <c r="A1471" s="23">
        <f t="shared" si="21"/>
        <v>43770</v>
      </c>
      <c r="B1471" s="5" t="s">
        <v>120</v>
      </c>
      <c r="C1471" s="5">
        <v>-2547</v>
      </c>
      <c r="D1471" s="5" t="str">
        <f>_xlfn.XLOOKUP(fRealizado5[[#This Row],[Conta]],'Plano de Contas'!A:A,'Plano de Contas'!C:C)</f>
        <v>(-) Deduções da Receita</v>
      </c>
      <c r="E1471" s="5" t="str">
        <f>_xlfn.XLOOKUP(fRealizado5[[#This Row],[Conta]],'Plano de Contas'!A:A,'Plano de Contas'!D:D)</f>
        <v>03 - Devoluções de Produtos</v>
      </c>
    </row>
    <row r="1472" spans="1:5" hidden="1" x14ac:dyDescent="0.25">
      <c r="A1472" s="23">
        <f t="shared" si="21"/>
        <v>43770</v>
      </c>
      <c r="B1472" s="5" t="s">
        <v>121</v>
      </c>
      <c r="C1472" s="5">
        <v>-8944</v>
      </c>
      <c r="D1472" s="5" t="str">
        <f>_xlfn.XLOOKUP(fRealizado5[[#This Row],[Conta]],'Plano de Contas'!A:A,'Plano de Contas'!C:C)</f>
        <v>(-) Deduções da Receita</v>
      </c>
      <c r="E1472" s="5" t="str">
        <f>_xlfn.XLOOKUP(fRealizado5[[#This Row],[Conta]],'Plano de Contas'!A:A,'Plano de Contas'!D:D)</f>
        <v>03 - Devoluções de Produtos</v>
      </c>
    </row>
    <row r="1473" spans="1:5" hidden="1" x14ac:dyDescent="0.25">
      <c r="A1473" s="23">
        <f t="shared" si="21"/>
        <v>43770</v>
      </c>
      <c r="B1473" s="5" t="s">
        <v>122</v>
      </c>
      <c r="C1473" s="5">
        <v>-3708</v>
      </c>
      <c r="D1473" s="5" t="str">
        <f>_xlfn.XLOOKUP(fRealizado5[[#This Row],[Conta]],'Plano de Contas'!A:A,'Plano de Contas'!C:C)</f>
        <v>(-) Deduções da Receita</v>
      </c>
      <c r="E1473" s="5" t="str">
        <f>_xlfn.XLOOKUP(fRealizado5[[#This Row],[Conta]],'Plano de Contas'!A:A,'Plano de Contas'!D:D)</f>
        <v>03 - Devoluções de Produtos</v>
      </c>
    </row>
    <row r="1474" spans="1:5" hidden="1" x14ac:dyDescent="0.25">
      <c r="A1474" s="23">
        <f t="shared" si="21"/>
        <v>43770</v>
      </c>
      <c r="B1474" s="5" t="s">
        <v>123</v>
      </c>
      <c r="C1474" s="5">
        <v>-8214</v>
      </c>
      <c r="D1474" s="5" t="str">
        <f>_xlfn.XLOOKUP(fRealizado5[[#This Row],[Conta]],'Plano de Contas'!A:A,'Plano de Contas'!C:C)</f>
        <v>(-) Deduções da Receita</v>
      </c>
      <c r="E1474" s="5" t="str">
        <f>_xlfn.XLOOKUP(fRealizado5[[#This Row],[Conta]],'Plano de Contas'!A:A,'Plano de Contas'!D:D)</f>
        <v>03 - Devoluções de Produtos</v>
      </c>
    </row>
    <row r="1475" spans="1:5" hidden="1" x14ac:dyDescent="0.25">
      <c r="A1475" s="23">
        <f t="shared" si="21"/>
        <v>43770</v>
      </c>
      <c r="B1475" s="5" t="s">
        <v>124</v>
      </c>
      <c r="C1475" s="5">
        <v>-5142</v>
      </c>
      <c r="D1475" s="5" t="str">
        <f>_xlfn.XLOOKUP(fRealizado5[[#This Row],[Conta]],'Plano de Contas'!A:A,'Plano de Contas'!C:C)</f>
        <v>(-) Deduções da Receita</v>
      </c>
      <c r="E1475" s="5" t="str">
        <f>_xlfn.XLOOKUP(fRealizado5[[#This Row],[Conta]],'Plano de Contas'!A:A,'Plano de Contas'!D:D)</f>
        <v>03 - Devoluções de Produtos</v>
      </c>
    </row>
    <row r="1476" spans="1:5" hidden="1" x14ac:dyDescent="0.25">
      <c r="A1476" s="23">
        <f t="shared" si="21"/>
        <v>43770</v>
      </c>
      <c r="B1476" s="5" t="s">
        <v>125</v>
      </c>
      <c r="C1476" s="5">
        <v>-7140</v>
      </c>
      <c r="D1476" s="5" t="str">
        <f>_xlfn.XLOOKUP(fRealizado5[[#This Row],[Conta]],'Plano de Contas'!A:A,'Plano de Contas'!C:C)</f>
        <v>(-) Deduções da Receita</v>
      </c>
      <c r="E1476" s="5" t="str">
        <f>_xlfn.XLOOKUP(fRealizado5[[#This Row],[Conta]],'Plano de Contas'!A:A,'Plano de Contas'!D:D)</f>
        <v>03 - Devoluções de Produtos</v>
      </c>
    </row>
    <row r="1477" spans="1:5" hidden="1" x14ac:dyDescent="0.25">
      <c r="A1477" s="23">
        <f t="shared" si="21"/>
        <v>43770</v>
      </c>
      <c r="B1477" s="5" t="s">
        <v>126</v>
      </c>
      <c r="C1477" s="5">
        <v>-9849</v>
      </c>
      <c r="D1477" s="5" t="str">
        <f>_xlfn.XLOOKUP(fRealizado5[[#This Row],[Conta]],'Plano de Contas'!A:A,'Plano de Contas'!C:C)</f>
        <v>(-) Deduções da Receita</v>
      </c>
      <c r="E1477" s="5" t="str">
        <f>_xlfn.XLOOKUP(fRealizado5[[#This Row],[Conta]],'Plano de Contas'!A:A,'Plano de Contas'!D:D)</f>
        <v>03 - Devoluções de Produtos</v>
      </c>
    </row>
    <row r="1478" spans="1:5" hidden="1" x14ac:dyDescent="0.25">
      <c r="A1478" s="23">
        <f t="shared" si="21"/>
        <v>43770</v>
      </c>
      <c r="B1478" s="5" t="s">
        <v>127</v>
      </c>
      <c r="C1478" s="5">
        <v>-2744</v>
      </c>
      <c r="D1478" s="5" t="str">
        <f>_xlfn.XLOOKUP(fRealizado5[[#This Row],[Conta]],'Plano de Contas'!A:A,'Plano de Contas'!C:C)</f>
        <v>(-) Deduções da Receita</v>
      </c>
      <c r="E1478" s="5" t="str">
        <f>_xlfn.XLOOKUP(fRealizado5[[#This Row],[Conta]],'Plano de Contas'!A:A,'Plano de Contas'!D:D)</f>
        <v>03 - Devoluções de Produtos</v>
      </c>
    </row>
    <row r="1479" spans="1:5" hidden="1" x14ac:dyDescent="0.25">
      <c r="A1479" s="23">
        <f t="shared" si="21"/>
        <v>43770</v>
      </c>
      <c r="B1479" s="5" t="s">
        <v>128</v>
      </c>
      <c r="C1479" s="5">
        <v>-9147</v>
      </c>
      <c r="D1479" s="5" t="str">
        <f>_xlfn.XLOOKUP(fRealizado5[[#This Row],[Conta]],'Plano de Contas'!A:A,'Plano de Contas'!C:C)</f>
        <v>(-) Deduções da Receita</v>
      </c>
      <c r="E1479" s="5" t="str">
        <f>_xlfn.XLOOKUP(fRealizado5[[#This Row],[Conta]],'Plano de Contas'!A:A,'Plano de Contas'!D:D)</f>
        <v>03 - Devoluções de Produtos</v>
      </c>
    </row>
    <row r="1480" spans="1:5" hidden="1" x14ac:dyDescent="0.25">
      <c r="A1480" s="23">
        <f t="shared" ref="A1480:A1543" si="22">EDATE(A1340,1)</f>
        <v>43770</v>
      </c>
      <c r="B1480" s="5" t="s">
        <v>129</v>
      </c>
      <c r="C1480" s="5">
        <v>-8650</v>
      </c>
      <c r="D1480" s="5" t="str">
        <f>_xlfn.XLOOKUP(fRealizado5[[#This Row],[Conta]],'Plano de Contas'!A:A,'Plano de Contas'!C:C)</f>
        <v>(-) Deduções da Receita</v>
      </c>
      <c r="E1480" s="5" t="str">
        <f>_xlfn.XLOOKUP(fRealizado5[[#This Row],[Conta]],'Plano de Contas'!A:A,'Plano de Contas'!D:D)</f>
        <v>03 - Devoluções de Produtos</v>
      </c>
    </row>
    <row r="1481" spans="1:5" hidden="1" x14ac:dyDescent="0.25">
      <c r="A1481" s="23">
        <f t="shared" si="22"/>
        <v>43770</v>
      </c>
      <c r="B1481" s="5" t="s">
        <v>130</v>
      </c>
      <c r="C1481" s="5">
        <v>-7258</v>
      </c>
      <c r="D1481" s="5" t="str">
        <f>_xlfn.XLOOKUP(fRealizado5[[#This Row],[Conta]],'Plano de Contas'!A:A,'Plano de Contas'!C:C)</f>
        <v>(-) Deduções da Receita</v>
      </c>
      <c r="E1481" s="5" t="str">
        <f>_xlfn.XLOOKUP(fRealizado5[[#This Row],[Conta]],'Plano de Contas'!A:A,'Plano de Contas'!D:D)</f>
        <v>03 - Devoluções de Produtos</v>
      </c>
    </row>
    <row r="1482" spans="1:5" hidden="1" x14ac:dyDescent="0.25">
      <c r="A1482" s="23">
        <f t="shared" si="22"/>
        <v>43770</v>
      </c>
      <c r="B1482" s="5" t="s">
        <v>131</v>
      </c>
      <c r="C1482" s="5">
        <v>-9165</v>
      </c>
      <c r="D1482" s="5" t="str">
        <f>_xlfn.XLOOKUP(fRealizado5[[#This Row],[Conta]],'Plano de Contas'!A:A,'Plano de Contas'!C:C)</f>
        <v>(-) Deduções da Receita</v>
      </c>
      <c r="E1482" s="5" t="str">
        <f>_xlfn.XLOOKUP(fRealizado5[[#This Row],[Conta]],'Plano de Contas'!A:A,'Plano de Contas'!D:D)</f>
        <v>03 - Devoluções de Produtos</v>
      </c>
    </row>
    <row r="1483" spans="1:5" hidden="1" x14ac:dyDescent="0.25">
      <c r="A1483" s="23">
        <f t="shared" si="22"/>
        <v>43770</v>
      </c>
      <c r="B1483" s="5" t="s">
        <v>132</v>
      </c>
      <c r="C1483" s="5">
        <v>-8859</v>
      </c>
      <c r="D1483" s="5" t="str">
        <f>_xlfn.XLOOKUP(fRealizado5[[#This Row],[Conta]],'Plano de Contas'!A:A,'Plano de Contas'!C:C)</f>
        <v>(-) Deduções da Receita</v>
      </c>
      <c r="E1483" s="5" t="str">
        <f>_xlfn.XLOOKUP(fRealizado5[[#This Row],[Conta]],'Plano de Contas'!A:A,'Plano de Contas'!D:D)</f>
        <v>03 - Devoluções de Produtos</v>
      </c>
    </row>
    <row r="1484" spans="1:5" hidden="1" x14ac:dyDescent="0.25">
      <c r="A1484" s="23">
        <f t="shared" si="22"/>
        <v>43770</v>
      </c>
      <c r="B1484" s="5" t="s">
        <v>133</v>
      </c>
      <c r="C1484" s="5">
        <v>-4867</v>
      </c>
      <c r="D1484" s="5" t="str">
        <f>_xlfn.XLOOKUP(fRealizado5[[#This Row],[Conta]],'Plano de Contas'!A:A,'Plano de Contas'!C:C)</f>
        <v>(-) Deduções da Receita</v>
      </c>
      <c r="E1484" s="5" t="str">
        <f>_xlfn.XLOOKUP(fRealizado5[[#This Row],[Conta]],'Plano de Contas'!A:A,'Plano de Contas'!D:D)</f>
        <v>03 - Devoluções de Produtos</v>
      </c>
    </row>
    <row r="1485" spans="1:5" hidden="1" x14ac:dyDescent="0.25">
      <c r="A1485" s="23">
        <f t="shared" si="22"/>
        <v>43770</v>
      </c>
      <c r="B1485" s="5" t="s">
        <v>134</v>
      </c>
      <c r="C1485" s="5">
        <v>-1989</v>
      </c>
      <c r="D1485" s="5" t="str">
        <f>_xlfn.XLOOKUP(fRealizado5[[#This Row],[Conta]],'Plano de Contas'!A:A,'Plano de Contas'!C:C)</f>
        <v>(-) Deduções da Receita</v>
      </c>
      <c r="E1485" s="5" t="str">
        <f>_xlfn.XLOOKUP(fRealizado5[[#This Row],[Conta]],'Plano de Contas'!A:A,'Plano de Contas'!D:D)</f>
        <v>03 - Devoluções de Produtos</v>
      </c>
    </row>
    <row r="1486" spans="1:5" hidden="1" x14ac:dyDescent="0.25">
      <c r="A1486" s="23">
        <f t="shared" si="22"/>
        <v>43770</v>
      </c>
      <c r="B1486" s="5" t="s">
        <v>135</v>
      </c>
      <c r="C1486" s="5">
        <v>-9251</v>
      </c>
      <c r="D1486" s="5" t="str">
        <f>_xlfn.XLOOKUP(fRealizado5[[#This Row],[Conta]],'Plano de Contas'!A:A,'Plano de Contas'!C:C)</f>
        <v>(-) Deduções da Receita</v>
      </c>
      <c r="E1486" s="5" t="str">
        <f>_xlfn.XLOOKUP(fRealizado5[[#This Row],[Conta]],'Plano de Contas'!A:A,'Plano de Contas'!D:D)</f>
        <v>03 - Devoluções de Produtos</v>
      </c>
    </row>
    <row r="1487" spans="1:5" hidden="1" x14ac:dyDescent="0.25">
      <c r="A1487" s="23">
        <f t="shared" si="22"/>
        <v>43770</v>
      </c>
      <c r="B1487" s="5" t="s">
        <v>136</v>
      </c>
      <c r="C1487" s="5">
        <v>-5834</v>
      </c>
      <c r="D1487" s="5" t="str">
        <f>_xlfn.XLOOKUP(fRealizado5[[#This Row],[Conta]],'Plano de Contas'!A:A,'Plano de Contas'!C:C)</f>
        <v>(-) Deduções da Receita</v>
      </c>
      <c r="E1487" s="5" t="str">
        <f>_xlfn.XLOOKUP(fRealizado5[[#This Row],[Conta]],'Plano de Contas'!A:A,'Plano de Contas'!D:D)</f>
        <v>04 - Taxas de Serviço</v>
      </c>
    </row>
    <row r="1488" spans="1:5" hidden="1" x14ac:dyDescent="0.25">
      <c r="A1488" s="23">
        <f t="shared" si="22"/>
        <v>43770</v>
      </c>
      <c r="B1488" s="5" t="s">
        <v>137</v>
      </c>
      <c r="C1488" s="5">
        <v>-7961</v>
      </c>
      <c r="D1488" s="5" t="str">
        <f>_xlfn.XLOOKUP(fRealizado5[[#This Row],[Conta]],'Plano de Contas'!A:A,'Plano de Contas'!C:C)</f>
        <v>(-) Deduções da Receita</v>
      </c>
      <c r="E1488" s="5" t="str">
        <f>_xlfn.XLOOKUP(fRealizado5[[#This Row],[Conta]],'Plano de Contas'!A:A,'Plano de Contas'!D:D)</f>
        <v>04 - Taxas de Serviço</v>
      </c>
    </row>
    <row r="1489" spans="1:5" hidden="1" x14ac:dyDescent="0.25">
      <c r="A1489" s="23">
        <f t="shared" si="22"/>
        <v>43770</v>
      </c>
      <c r="B1489" s="5" t="s">
        <v>138</v>
      </c>
      <c r="C1489" s="5">
        <v>-7210</v>
      </c>
      <c r="D1489" s="5" t="str">
        <f>_xlfn.XLOOKUP(fRealizado5[[#This Row],[Conta]],'Plano de Contas'!A:A,'Plano de Contas'!C:C)</f>
        <v>(-) Deduções da Receita</v>
      </c>
      <c r="E1489" s="5" t="str">
        <f>_xlfn.XLOOKUP(fRealizado5[[#This Row],[Conta]],'Plano de Contas'!A:A,'Plano de Contas'!D:D)</f>
        <v>04 - Taxas de Serviço</v>
      </c>
    </row>
    <row r="1490" spans="1:5" hidden="1" x14ac:dyDescent="0.25">
      <c r="A1490" s="23">
        <f t="shared" si="22"/>
        <v>43770</v>
      </c>
      <c r="B1490" s="5" t="s">
        <v>139</v>
      </c>
      <c r="C1490" s="5">
        <v>-8211</v>
      </c>
      <c r="D1490" s="5" t="str">
        <f>_xlfn.XLOOKUP(fRealizado5[[#This Row],[Conta]],'Plano de Contas'!A:A,'Plano de Contas'!C:C)</f>
        <v>(-) Deduções da Receita</v>
      </c>
      <c r="E1490" s="5" t="str">
        <f>_xlfn.XLOOKUP(fRealizado5[[#This Row],[Conta]],'Plano de Contas'!A:A,'Plano de Contas'!D:D)</f>
        <v>04 - Taxas de Serviço</v>
      </c>
    </row>
    <row r="1491" spans="1:5" hidden="1" x14ac:dyDescent="0.25">
      <c r="A1491" s="23">
        <f t="shared" si="22"/>
        <v>43770</v>
      </c>
      <c r="B1491" s="5" t="s">
        <v>140</v>
      </c>
      <c r="C1491" s="5">
        <v>-122387</v>
      </c>
      <c r="D1491" s="5" t="str">
        <f>_xlfn.XLOOKUP(fRealizado5[[#This Row],[Conta]],'Plano de Contas'!A:A,'Plano de Contas'!C:C)</f>
        <v>(-) Custos de Vendas</v>
      </c>
      <c r="E1491" s="5" t="str">
        <f>_xlfn.XLOOKUP(fRealizado5[[#This Row],[Conta]],'Plano de Contas'!A:A,'Plano de Contas'!D:D)</f>
        <v>05 - Custo do Produto</v>
      </c>
    </row>
    <row r="1492" spans="1:5" hidden="1" x14ac:dyDescent="0.25">
      <c r="A1492" s="23">
        <f t="shared" si="22"/>
        <v>43770</v>
      </c>
      <c r="B1492" s="5" t="s">
        <v>141</v>
      </c>
      <c r="C1492" s="5">
        <v>-128197</v>
      </c>
      <c r="D1492" s="5" t="str">
        <f>_xlfn.XLOOKUP(fRealizado5[[#This Row],[Conta]],'Plano de Contas'!A:A,'Plano de Contas'!C:C)</f>
        <v>(-) Custos de Vendas</v>
      </c>
      <c r="E1492" s="5" t="str">
        <f>_xlfn.XLOOKUP(fRealizado5[[#This Row],[Conta]],'Plano de Contas'!A:A,'Plano de Contas'!D:D)</f>
        <v>05 - Custo do Produto</v>
      </c>
    </row>
    <row r="1493" spans="1:5" hidden="1" x14ac:dyDescent="0.25">
      <c r="A1493" s="23">
        <f t="shared" si="22"/>
        <v>43770</v>
      </c>
      <c r="B1493" s="5" t="s">
        <v>142</v>
      </c>
      <c r="C1493" s="5">
        <v>-253004</v>
      </c>
      <c r="D1493" s="5" t="str">
        <f>_xlfn.XLOOKUP(fRealizado5[[#This Row],[Conta]],'Plano de Contas'!A:A,'Plano de Contas'!C:C)</f>
        <v>(-) Custos de Vendas</v>
      </c>
      <c r="E1493" s="5" t="str">
        <f>_xlfn.XLOOKUP(fRealizado5[[#This Row],[Conta]],'Plano de Contas'!A:A,'Plano de Contas'!D:D)</f>
        <v>05 - Custo do Produto</v>
      </c>
    </row>
    <row r="1494" spans="1:5" hidden="1" x14ac:dyDescent="0.25">
      <c r="A1494" s="23">
        <f t="shared" si="22"/>
        <v>43770</v>
      </c>
      <c r="B1494" s="5" t="s">
        <v>143</v>
      </c>
      <c r="C1494" s="5">
        <v>-295582</v>
      </c>
      <c r="D1494" s="5" t="str">
        <f>_xlfn.XLOOKUP(fRealizado5[[#This Row],[Conta]],'Plano de Contas'!A:A,'Plano de Contas'!C:C)</f>
        <v>(-) Custos de Vendas</v>
      </c>
      <c r="E1494" s="5" t="str">
        <f>_xlfn.XLOOKUP(fRealizado5[[#This Row],[Conta]],'Plano de Contas'!A:A,'Plano de Contas'!D:D)</f>
        <v>05 - Custo do Produto</v>
      </c>
    </row>
    <row r="1495" spans="1:5" hidden="1" x14ac:dyDescent="0.25">
      <c r="A1495" s="23">
        <f t="shared" si="22"/>
        <v>43770</v>
      </c>
      <c r="B1495" s="5" t="s">
        <v>144</v>
      </c>
      <c r="C1495" s="5">
        <v>-83868</v>
      </c>
      <c r="D1495" s="5" t="str">
        <f>_xlfn.XLOOKUP(fRealizado5[[#This Row],[Conta]],'Plano de Contas'!A:A,'Plano de Contas'!C:C)</f>
        <v>(-) Custos de Vendas</v>
      </c>
      <c r="E1495" s="5" t="str">
        <f>_xlfn.XLOOKUP(fRealizado5[[#This Row],[Conta]],'Plano de Contas'!A:A,'Plano de Contas'!D:D)</f>
        <v>05 - Custo do Produto</v>
      </c>
    </row>
    <row r="1496" spans="1:5" hidden="1" x14ac:dyDescent="0.25">
      <c r="A1496" s="23">
        <f t="shared" si="22"/>
        <v>43770</v>
      </c>
      <c r="B1496" s="5" t="s">
        <v>145</v>
      </c>
      <c r="C1496" s="5">
        <v>-200493</v>
      </c>
      <c r="D1496" s="5" t="str">
        <f>_xlfn.XLOOKUP(fRealizado5[[#This Row],[Conta]],'Plano de Contas'!A:A,'Plano de Contas'!C:C)</f>
        <v>(-) Custos de Vendas</v>
      </c>
      <c r="E1496" s="5" t="str">
        <f>_xlfn.XLOOKUP(fRealizado5[[#This Row],[Conta]],'Plano de Contas'!A:A,'Plano de Contas'!D:D)</f>
        <v>05 - Custo do Produto</v>
      </c>
    </row>
    <row r="1497" spans="1:5" hidden="1" x14ac:dyDescent="0.25">
      <c r="A1497" s="23">
        <f t="shared" si="22"/>
        <v>43770</v>
      </c>
      <c r="B1497" s="5" t="s">
        <v>146</v>
      </c>
      <c r="C1497" s="5">
        <v>-255435</v>
      </c>
      <c r="D1497" s="5" t="str">
        <f>_xlfn.XLOOKUP(fRealizado5[[#This Row],[Conta]],'Plano de Contas'!A:A,'Plano de Contas'!C:C)</f>
        <v>(-) Custos de Vendas</v>
      </c>
      <c r="E1497" s="5" t="str">
        <f>_xlfn.XLOOKUP(fRealizado5[[#This Row],[Conta]],'Plano de Contas'!A:A,'Plano de Contas'!D:D)</f>
        <v>05 - Custo do Produto</v>
      </c>
    </row>
    <row r="1498" spans="1:5" hidden="1" x14ac:dyDescent="0.25">
      <c r="A1498" s="23">
        <f t="shared" si="22"/>
        <v>43770</v>
      </c>
      <c r="B1498" s="5" t="s">
        <v>147</v>
      </c>
      <c r="C1498" s="5">
        <v>-95588</v>
      </c>
      <c r="D1498" s="5" t="str">
        <f>_xlfn.XLOOKUP(fRealizado5[[#This Row],[Conta]],'Plano de Contas'!A:A,'Plano de Contas'!C:C)</f>
        <v>(-) Custos de Vendas</v>
      </c>
      <c r="E1498" s="5" t="str">
        <f>_xlfn.XLOOKUP(fRealizado5[[#This Row],[Conta]],'Plano de Contas'!A:A,'Plano de Contas'!D:D)</f>
        <v>05 - Custo do Produto</v>
      </c>
    </row>
    <row r="1499" spans="1:5" hidden="1" x14ac:dyDescent="0.25">
      <c r="A1499" s="23">
        <f t="shared" si="22"/>
        <v>43770</v>
      </c>
      <c r="B1499" s="5" t="s">
        <v>148</v>
      </c>
      <c r="C1499" s="5">
        <v>-259832</v>
      </c>
      <c r="D1499" s="5" t="str">
        <f>_xlfn.XLOOKUP(fRealizado5[[#This Row],[Conta]],'Plano de Contas'!A:A,'Plano de Contas'!C:C)</f>
        <v>(-) Custos de Vendas</v>
      </c>
      <c r="E1499" s="5" t="str">
        <f>_xlfn.XLOOKUP(fRealizado5[[#This Row],[Conta]],'Plano de Contas'!A:A,'Plano de Contas'!D:D)</f>
        <v>05 - Custo do Produto</v>
      </c>
    </row>
    <row r="1500" spans="1:5" hidden="1" x14ac:dyDescent="0.25">
      <c r="A1500" s="23">
        <f t="shared" si="22"/>
        <v>43770</v>
      </c>
      <c r="B1500" s="5" t="s">
        <v>149</v>
      </c>
      <c r="C1500" s="5">
        <v>-205534</v>
      </c>
      <c r="D1500" s="5" t="str">
        <f>_xlfn.XLOOKUP(fRealizado5[[#This Row],[Conta]],'Plano de Contas'!A:A,'Plano de Contas'!C:C)</f>
        <v>(-) Custos de Vendas</v>
      </c>
      <c r="E1500" s="5" t="str">
        <f>_xlfn.XLOOKUP(fRealizado5[[#This Row],[Conta]],'Plano de Contas'!A:A,'Plano de Contas'!D:D)</f>
        <v>05 - Custo do Produto</v>
      </c>
    </row>
    <row r="1501" spans="1:5" hidden="1" x14ac:dyDescent="0.25">
      <c r="A1501" s="23">
        <f t="shared" si="22"/>
        <v>43770</v>
      </c>
      <c r="B1501" s="5" t="s">
        <v>150</v>
      </c>
      <c r="C1501" s="5">
        <v>-255191</v>
      </c>
      <c r="D1501" s="5" t="str">
        <f>_xlfn.XLOOKUP(fRealizado5[[#This Row],[Conta]],'Plano de Contas'!A:A,'Plano de Contas'!C:C)</f>
        <v>(-) Custos de Vendas</v>
      </c>
      <c r="E1501" s="5" t="str">
        <f>_xlfn.XLOOKUP(fRealizado5[[#This Row],[Conta]],'Plano de Contas'!A:A,'Plano de Contas'!D:D)</f>
        <v>05 - Custo do Produto</v>
      </c>
    </row>
    <row r="1502" spans="1:5" hidden="1" x14ac:dyDescent="0.25">
      <c r="A1502" s="23">
        <f t="shared" si="22"/>
        <v>43770</v>
      </c>
      <c r="B1502" s="5" t="s">
        <v>151</v>
      </c>
      <c r="C1502" s="5">
        <v>-240035</v>
      </c>
      <c r="D1502" s="5" t="str">
        <f>_xlfn.XLOOKUP(fRealizado5[[#This Row],[Conta]],'Plano de Contas'!A:A,'Plano de Contas'!C:C)</f>
        <v>(-) Custos de Vendas</v>
      </c>
      <c r="E1502" s="5" t="str">
        <f>_xlfn.XLOOKUP(fRealizado5[[#This Row],[Conta]],'Plano de Contas'!A:A,'Plano de Contas'!D:D)</f>
        <v>05 - Custo do Produto</v>
      </c>
    </row>
    <row r="1503" spans="1:5" hidden="1" x14ac:dyDescent="0.25">
      <c r="A1503" s="23">
        <f t="shared" si="22"/>
        <v>43770</v>
      </c>
      <c r="B1503" s="5" t="s">
        <v>152</v>
      </c>
      <c r="C1503" s="5">
        <v>-196250</v>
      </c>
      <c r="D1503" s="5" t="str">
        <f>_xlfn.XLOOKUP(fRealizado5[[#This Row],[Conta]],'Plano de Contas'!A:A,'Plano de Contas'!C:C)</f>
        <v>(-) Custos de Vendas</v>
      </c>
      <c r="E1503" s="5" t="str">
        <f>_xlfn.XLOOKUP(fRealizado5[[#This Row],[Conta]],'Plano de Contas'!A:A,'Plano de Contas'!D:D)</f>
        <v>05 - Custo do Produto</v>
      </c>
    </row>
    <row r="1504" spans="1:5" hidden="1" x14ac:dyDescent="0.25">
      <c r="A1504" s="23">
        <f t="shared" si="22"/>
        <v>43770</v>
      </c>
      <c r="B1504" s="5" t="s">
        <v>153</v>
      </c>
      <c r="C1504" s="5">
        <v>-205892</v>
      </c>
      <c r="D1504" s="5" t="str">
        <f>_xlfn.XLOOKUP(fRealizado5[[#This Row],[Conta]],'Plano de Contas'!A:A,'Plano de Contas'!C:C)</f>
        <v>(-) Custos de Vendas</v>
      </c>
      <c r="E1504" s="5" t="str">
        <f>_xlfn.XLOOKUP(fRealizado5[[#This Row],[Conta]],'Plano de Contas'!A:A,'Plano de Contas'!D:D)</f>
        <v>05 - Custo do Produto</v>
      </c>
    </row>
    <row r="1505" spans="1:5" hidden="1" x14ac:dyDescent="0.25">
      <c r="A1505" s="23">
        <f t="shared" si="22"/>
        <v>43770</v>
      </c>
      <c r="B1505" s="5" t="s">
        <v>154</v>
      </c>
      <c r="C1505" s="5">
        <v>-143068</v>
      </c>
      <c r="D1505" s="5" t="str">
        <f>_xlfn.XLOOKUP(fRealizado5[[#This Row],[Conta]],'Plano de Contas'!A:A,'Plano de Contas'!C:C)</f>
        <v>(-) Custos de Vendas</v>
      </c>
      <c r="E1505" s="5" t="str">
        <f>_xlfn.XLOOKUP(fRealizado5[[#This Row],[Conta]],'Plano de Contas'!A:A,'Plano de Contas'!D:D)</f>
        <v>05 - Custo do Produto</v>
      </c>
    </row>
    <row r="1506" spans="1:5" hidden="1" x14ac:dyDescent="0.25">
      <c r="A1506" s="23">
        <f t="shared" si="22"/>
        <v>43770</v>
      </c>
      <c r="B1506" s="5" t="s">
        <v>155</v>
      </c>
      <c r="C1506" s="5">
        <v>-85943</v>
      </c>
      <c r="D1506" s="5" t="str">
        <f>_xlfn.XLOOKUP(fRealizado5[[#This Row],[Conta]],'Plano de Contas'!A:A,'Plano de Contas'!C:C)</f>
        <v>(-) Custos de Vendas</v>
      </c>
      <c r="E1506" s="5" t="str">
        <f>_xlfn.XLOOKUP(fRealizado5[[#This Row],[Conta]],'Plano de Contas'!A:A,'Plano de Contas'!D:D)</f>
        <v>05 - Custo do Produto</v>
      </c>
    </row>
    <row r="1507" spans="1:5" hidden="1" x14ac:dyDescent="0.25">
      <c r="A1507" s="23">
        <f t="shared" si="22"/>
        <v>43770</v>
      </c>
      <c r="B1507" s="5" t="s">
        <v>156</v>
      </c>
      <c r="C1507" s="5">
        <v>-115406</v>
      </c>
      <c r="D1507" s="5" t="str">
        <f>_xlfn.XLOOKUP(fRealizado5[[#This Row],[Conta]],'Plano de Contas'!A:A,'Plano de Contas'!C:C)</f>
        <v>(-) Custos de Vendas</v>
      </c>
      <c r="E1507" s="5" t="str">
        <f>_xlfn.XLOOKUP(fRealizado5[[#This Row],[Conta]],'Plano de Contas'!A:A,'Plano de Contas'!D:D)</f>
        <v>05 - Custo do Produto</v>
      </c>
    </row>
    <row r="1508" spans="1:5" hidden="1" x14ac:dyDescent="0.25">
      <c r="A1508" s="23">
        <f t="shared" si="22"/>
        <v>43770</v>
      </c>
      <c r="B1508" s="5" t="s">
        <v>157</v>
      </c>
      <c r="C1508" s="5">
        <v>-282475</v>
      </c>
      <c r="D1508" s="5" t="str">
        <f>_xlfn.XLOOKUP(fRealizado5[[#This Row],[Conta]],'Plano de Contas'!A:A,'Plano de Contas'!C:C)</f>
        <v>(-) Custos de Vendas</v>
      </c>
      <c r="E1508" s="5" t="str">
        <f>_xlfn.XLOOKUP(fRealizado5[[#This Row],[Conta]],'Plano de Contas'!A:A,'Plano de Contas'!D:D)</f>
        <v>05 - Custo do Produto</v>
      </c>
    </row>
    <row r="1509" spans="1:5" hidden="1" x14ac:dyDescent="0.25">
      <c r="A1509" s="23">
        <f t="shared" si="22"/>
        <v>43770</v>
      </c>
      <c r="B1509" s="5" t="s">
        <v>158</v>
      </c>
      <c r="C1509" s="5">
        <v>-91449</v>
      </c>
      <c r="D1509" s="5" t="str">
        <f>_xlfn.XLOOKUP(fRealizado5[[#This Row],[Conta]],'Plano de Contas'!A:A,'Plano de Contas'!C:C)</f>
        <v>(-) Custos de Vendas</v>
      </c>
      <c r="E1509" s="5" t="str">
        <f>_xlfn.XLOOKUP(fRealizado5[[#This Row],[Conta]],'Plano de Contas'!A:A,'Plano de Contas'!D:D)</f>
        <v>05 - Custo do Produto</v>
      </c>
    </row>
    <row r="1510" spans="1:5" hidden="1" x14ac:dyDescent="0.25">
      <c r="A1510" s="23">
        <f t="shared" si="22"/>
        <v>43770</v>
      </c>
      <c r="B1510" s="5" t="s">
        <v>159</v>
      </c>
      <c r="C1510" s="5">
        <v>-211701</v>
      </c>
      <c r="D1510" s="5" t="str">
        <f>_xlfn.XLOOKUP(fRealizado5[[#This Row],[Conta]],'Plano de Contas'!A:A,'Plano de Contas'!C:C)</f>
        <v>(-) Custos de Vendas</v>
      </c>
      <c r="E1510" s="5" t="str">
        <f>_xlfn.XLOOKUP(fRealizado5[[#This Row],[Conta]],'Plano de Contas'!A:A,'Plano de Contas'!D:D)</f>
        <v>05 - Custo do Produto</v>
      </c>
    </row>
    <row r="1511" spans="1:5" hidden="1" x14ac:dyDescent="0.25">
      <c r="A1511" s="23">
        <f t="shared" si="22"/>
        <v>43770</v>
      </c>
      <c r="B1511" s="5" t="s">
        <v>160</v>
      </c>
      <c r="C1511" s="5">
        <v>-81738</v>
      </c>
      <c r="D1511" s="5" t="str">
        <f>_xlfn.XLOOKUP(fRealizado5[[#This Row],[Conta]],'Plano de Contas'!A:A,'Plano de Contas'!C:C)</f>
        <v>(-) Custos de Vendas</v>
      </c>
      <c r="E1511" s="5" t="str">
        <f>_xlfn.XLOOKUP(fRealizado5[[#This Row],[Conta]],'Plano de Contas'!A:A,'Plano de Contas'!D:D)</f>
        <v>05 - Custo do Produto</v>
      </c>
    </row>
    <row r="1512" spans="1:5" hidden="1" x14ac:dyDescent="0.25">
      <c r="A1512" s="23">
        <f t="shared" si="22"/>
        <v>43770</v>
      </c>
      <c r="B1512" s="5" t="s">
        <v>161</v>
      </c>
      <c r="C1512" s="5">
        <v>-91376</v>
      </c>
      <c r="D1512" s="5" t="str">
        <f>_xlfn.XLOOKUP(fRealizado5[[#This Row],[Conta]],'Plano de Contas'!A:A,'Plano de Contas'!C:C)</f>
        <v>(-) Custos de Vendas</v>
      </c>
      <c r="E1512" s="5" t="str">
        <f>_xlfn.XLOOKUP(fRealizado5[[#This Row],[Conta]],'Plano de Contas'!A:A,'Plano de Contas'!D:D)</f>
        <v>05 - Custo do Produto</v>
      </c>
    </row>
    <row r="1513" spans="1:5" hidden="1" x14ac:dyDescent="0.25">
      <c r="A1513" s="23">
        <f t="shared" si="22"/>
        <v>43770</v>
      </c>
      <c r="B1513" s="5" t="s">
        <v>162</v>
      </c>
      <c r="C1513" s="5">
        <v>-203752</v>
      </c>
      <c r="D1513" s="5" t="str">
        <f>_xlfn.XLOOKUP(fRealizado5[[#This Row],[Conta]],'Plano de Contas'!A:A,'Plano de Contas'!C:C)</f>
        <v>(-) Custos de Vendas</v>
      </c>
      <c r="E1513" s="5" t="str">
        <f>_xlfn.XLOOKUP(fRealizado5[[#This Row],[Conta]],'Plano de Contas'!A:A,'Plano de Contas'!D:D)</f>
        <v>05 - Custo do Produto</v>
      </c>
    </row>
    <row r="1514" spans="1:5" hidden="1" x14ac:dyDescent="0.25">
      <c r="A1514" s="23">
        <f t="shared" si="22"/>
        <v>43770</v>
      </c>
      <c r="B1514" s="5" t="s">
        <v>163</v>
      </c>
      <c r="C1514" s="5">
        <v>-164675</v>
      </c>
      <c r="D1514" s="5" t="str">
        <f>_xlfn.XLOOKUP(fRealizado5[[#This Row],[Conta]],'Plano de Contas'!A:A,'Plano de Contas'!C:C)</f>
        <v>(-) Custos de Vendas</v>
      </c>
      <c r="E1514" s="5" t="str">
        <f>_xlfn.XLOOKUP(fRealizado5[[#This Row],[Conta]],'Plano de Contas'!A:A,'Plano de Contas'!D:D)</f>
        <v>05 - Custo do Produto</v>
      </c>
    </row>
    <row r="1515" spans="1:5" hidden="1" x14ac:dyDescent="0.25">
      <c r="A1515" s="23">
        <f t="shared" si="22"/>
        <v>43770</v>
      </c>
      <c r="B1515" s="5" t="s">
        <v>164</v>
      </c>
      <c r="C1515" s="5">
        <v>-51400</v>
      </c>
      <c r="D1515" s="5" t="str">
        <f>_xlfn.XLOOKUP(fRealizado5[[#This Row],[Conta]],'Plano de Contas'!A:A,'Plano de Contas'!C:C)</f>
        <v>(-) Custos de Vendas</v>
      </c>
      <c r="E1515" s="5" t="str">
        <f>_xlfn.XLOOKUP(fRealizado5[[#This Row],[Conta]],'Plano de Contas'!A:A,'Plano de Contas'!D:D)</f>
        <v>06 - Outros Custos</v>
      </c>
    </row>
    <row r="1516" spans="1:5" hidden="1" x14ac:dyDescent="0.25">
      <c r="A1516" s="23">
        <f t="shared" si="22"/>
        <v>43770</v>
      </c>
      <c r="B1516" s="5" t="s">
        <v>165</v>
      </c>
      <c r="C1516" s="5">
        <v>-62386</v>
      </c>
      <c r="D1516" s="5" t="str">
        <f>_xlfn.XLOOKUP(fRealizado5[[#This Row],[Conta]],'Plano de Contas'!A:A,'Plano de Contas'!C:C)</f>
        <v>(-) Custos de Vendas</v>
      </c>
      <c r="E1516" s="5" t="str">
        <f>_xlfn.XLOOKUP(fRealizado5[[#This Row],[Conta]],'Plano de Contas'!A:A,'Plano de Contas'!D:D)</f>
        <v>06 - Outros Custos</v>
      </c>
    </row>
    <row r="1517" spans="1:5" hidden="1" x14ac:dyDescent="0.25">
      <c r="A1517" s="23">
        <f t="shared" si="22"/>
        <v>43770</v>
      </c>
      <c r="B1517" s="5" t="s">
        <v>166</v>
      </c>
      <c r="C1517" s="5">
        <v>-89676</v>
      </c>
      <c r="D1517" s="5" t="str">
        <f>_xlfn.XLOOKUP(fRealizado5[[#This Row],[Conta]],'Plano de Contas'!A:A,'Plano de Contas'!C:C)</f>
        <v>(-) Custos de Vendas</v>
      </c>
      <c r="E1517" s="5" t="str">
        <f>_xlfn.XLOOKUP(fRealizado5[[#This Row],[Conta]],'Plano de Contas'!A:A,'Plano de Contas'!D:D)</f>
        <v>06 - Outros Custos</v>
      </c>
    </row>
    <row r="1518" spans="1:5" hidden="1" x14ac:dyDescent="0.25">
      <c r="A1518" s="23">
        <f t="shared" si="22"/>
        <v>43770</v>
      </c>
      <c r="B1518" s="5" t="s">
        <v>167</v>
      </c>
      <c r="C1518" s="5">
        <v>-343433</v>
      </c>
      <c r="D1518" s="5" t="str">
        <f>_xlfn.XLOOKUP(fRealizado5[[#This Row],[Conta]],'Plano de Contas'!A:A,'Plano de Contas'!C:C)</f>
        <v>(-) Despesas Gerais</v>
      </c>
      <c r="E1518" s="5" t="str">
        <f>_xlfn.XLOOKUP(fRealizado5[[#This Row],[Conta]],'Plano de Contas'!A:A,'Plano de Contas'!D:D)</f>
        <v>07 - Despesas Administrativas</v>
      </c>
    </row>
    <row r="1519" spans="1:5" hidden="1" x14ac:dyDescent="0.25">
      <c r="A1519" s="23">
        <f t="shared" si="22"/>
        <v>43770</v>
      </c>
      <c r="B1519" s="5" t="s">
        <v>168</v>
      </c>
      <c r="C1519" s="5">
        <v>-310881</v>
      </c>
      <c r="D1519" s="5" t="str">
        <f>_xlfn.XLOOKUP(fRealizado5[[#This Row],[Conta]],'Plano de Contas'!A:A,'Plano de Contas'!C:C)</f>
        <v>(-) Despesas Gerais</v>
      </c>
      <c r="E1519" s="5" t="str">
        <f>_xlfn.XLOOKUP(fRealizado5[[#This Row],[Conta]],'Plano de Contas'!A:A,'Plano de Contas'!D:D)</f>
        <v>07 - Despesas Administrativas</v>
      </c>
    </row>
    <row r="1520" spans="1:5" hidden="1" x14ac:dyDescent="0.25">
      <c r="A1520" s="23">
        <f t="shared" si="22"/>
        <v>43770</v>
      </c>
      <c r="B1520" s="5" t="s">
        <v>169</v>
      </c>
      <c r="C1520" s="5">
        <v>-387469</v>
      </c>
      <c r="D1520" s="5" t="str">
        <f>_xlfn.XLOOKUP(fRealizado5[[#This Row],[Conta]],'Plano de Contas'!A:A,'Plano de Contas'!C:C)</f>
        <v>(-) Despesas Gerais</v>
      </c>
      <c r="E1520" s="5" t="str">
        <f>_xlfn.XLOOKUP(fRealizado5[[#This Row],[Conta]],'Plano de Contas'!A:A,'Plano de Contas'!D:D)</f>
        <v>07 - Despesas Administrativas</v>
      </c>
    </row>
    <row r="1521" spans="1:5" hidden="1" x14ac:dyDescent="0.25">
      <c r="A1521" s="23">
        <f t="shared" si="22"/>
        <v>43770</v>
      </c>
      <c r="B1521" s="5" t="s">
        <v>170</v>
      </c>
      <c r="C1521" s="5">
        <v>-399729</v>
      </c>
      <c r="D1521" s="5" t="str">
        <f>_xlfn.XLOOKUP(fRealizado5[[#This Row],[Conta]],'Plano de Contas'!A:A,'Plano de Contas'!C:C)</f>
        <v>(-) Despesas Gerais</v>
      </c>
      <c r="E1521" s="5" t="str">
        <f>_xlfn.XLOOKUP(fRealizado5[[#This Row],[Conta]],'Plano de Contas'!A:A,'Plano de Contas'!D:D)</f>
        <v>07 - Despesas Administrativas</v>
      </c>
    </row>
    <row r="1522" spans="1:5" hidden="1" x14ac:dyDescent="0.25">
      <c r="A1522" s="23">
        <f t="shared" si="22"/>
        <v>43770</v>
      </c>
      <c r="B1522" s="5" t="s">
        <v>171</v>
      </c>
      <c r="C1522" s="5">
        <v>-275820</v>
      </c>
      <c r="D1522" s="5" t="str">
        <f>_xlfn.XLOOKUP(fRealizado5[[#This Row],[Conta]],'Plano de Contas'!A:A,'Plano de Contas'!C:C)</f>
        <v>(-) Despesas Gerais</v>
      </c>
      <c r="E1522" s="5" t="str">
        <f>_xlfn.XLOOKUP(fRealizado5[[#This Row],[Conta]],'Plano de Contas'!A:A,'Plano de Contas'!D:D)</f>
        <v>07 - Despesas Administrativas</v>
      </c>
    </row>
    <row r="1523" spans="1:5" hidden="1" x14ac:dyDescent="0.25">
      <c r="A1523" s="23">
        <f t="shared" si="22"/>
        <v>43770</v>
      </c>
      <c r="B1523" s="5" t="s">
        <v>172</v>
      </c>
      <c r="C1523" s="5">
        <v>-92517</v>
      </c>
      <c r="D1523" s="5" t="str">
        <f>_xlfn.XLOOKUP(fRealizado5[[#This Row],[Conta]],'Plano de Contas'!A:A,'Plano de Contas'!C:C)</f>
        <v>(-) Despesas Gerais</v>
      </c>
      <c r="E1523" s="5" t="str">
        <f>_xlfn.XLOOKUP(fRealizado5[[#This Row],[Conta]],'Plano de Contas'!A:A,'Plano de Contas'!D:D)</f>
        <v>07 - Despesas Administrativas</v>
      </c>
    </row>
    <row r="1524" spans="1:5" hidden="1" x14ac:dyDescent="0.25">
      <c r="A1524" s="23">
        <f t="shared" si="22"/>
        <v>43770</v>
      </c>
      <c r="B1524" s="5" t="s">
        <v>173</v>
      </c>
      <c r="C1524" s="5">
        <v>-51575</v>
      </c>
      <c r="D1524" s="5" t="str">
        <f>_xlfn.XLOOKUP(fRealizado5[[#This Row],[Conta]],'Plano de Contas'!A:A,'Plano de Contas'!C:C)</f>
        <v>(-) Despesas Gerais</v>
      </c>
      <c r="E1524" s="5" t="str">
        <f>_xlfn.XLOOKUP(fRealizado5[[#This Row],[Conta]],'Plano de Contas'!A:A,'Plano de Contas'!D:D)</f>
        <v>08 - Despesas Financeiras</v>
      </c>
    </row>
    <row r="1525" spans="1:5" hidden="1" x14ac:dyDescent="0.25">
      <c r="A1525" s="23">
        <f t="shared" si="22"/>
        <v>43770</v>
      </c>
      <c r="B1525" s="5" t="s">
        <v>174</v>
      </c>
      <c r="C1525" s="5">
        <v>-44260</v>
      </c>
      <c r="D1525" s="5" t="str">
        <f>_xlfn.XLOOKUP(fRealizado5[[#This Row],[Conta]],'Plano de Contas'!A:A,'Plano de Contas'!C:C)</f>
        <v>(-) Despesas Gerais</v>
      </c>
      <c r="E1525" s="5" t="str">
        <f>_xlfn.XLOOKUP(fRealizado5[[#This Row],[Conta]],'Plano de Contas'!A:A,'Plano de Contas'!D:D)</f>
        <v>08 - Despesas Financeiras</v>
      </c>
    </row>
    <row r="1526" spans="1:5" hidden="1" x14ac:dyDescent="0.25">
      <c r="A1526" s="23">
        <f t="shared" si="22"/>
        <v>43770</v>
      </c>
      <c r="B1526" s="5" t="s">
        <v>175</v>
      </c>
      <c r="C1526" s="5">
        <v>-51829</v>
      </c>
      <c r="D1526" s="5" t="str">
        <f>_xlfn.XLOOKUP(fRealizado5[[#This Row],[Conta]],'Plano de Contas'!A:A,'Plano de Contas'!C:C)</f>
        <v>(-) Despesas Gerais</v>
      </c>
      <c r="E1526" s="5" t="str">
        <f>_xlfn.XLOOKUP(fRealizado5[[#This Row],[Conta]],'Plano de Contas'!A:A,'Plano de Contas'!D:D)</f>
        <v>08 - Despesas Financeiras</v>
      </c>
    </row>
    <row r="1527" spans="1:5" hidden="1" x14ac:dyDescent="0.25">
      <c r="A1527" s="23">
        <f t="shared" si="22"/>
        <v>43770</v>
      </c>
      <c r="B1527" s="5" t="s">
        <v>176</v>
      </c>
      <c r="C1527" s="5">
        <v>-59943</v>
      </c>
      <c r="D1527" s="5" t="str">
        <f>_xlfn.XLOOKUP(fRealizado5[[#This Row],[Conta]],'Plano de Contas'!A:A,'Plano de Contas'!C:C)</f>
        <v>(-) Despesas Gerais</v>
      </c>
      <c r="E1527" s="5" t="str">
        <f>_xlfn.XLOOKUP(fRealizado5[[#This Row],[Conta]],'Plano de Contas'!A:A,'Plano de Contas'!D:D)</f>
        <v>08 - Despesas Financeiras</v>
      </c>
    </row>
    <row r="1528" spans="1:5" hidden="1" x14ac:dyDescent="0.25">
      <c r="A1528" s="23">
        <f t="shared" si="22"/>
        <v>43770</v>
      </c>
      <c r="B1528" s="5" t="s">
        <v>177</v>
      </c>
      <c r="C1528" s="5">
        <v>-44101</v>
      </c>
      <c r="D1528" s="5" t="str">
        <f>_xlfn.XLOOKUP(fRealizado5[[#This Row],[Conta]],'Plano de Contas'!A:A,'Plano de Contas'!C:C)</f>
        <v>(-) Despesas Gerais</v>
      </c>
      <c r="E1528" s="5" t="str">
        <f>_xlfn.XLOOKUP(fRealizado5[[#This Row],[Conta]],'Plano de Contas'!A:A,'Plano de Contas'!D:D)</f>
        <v>08 - Despesas Financeiras</v>
      </c>
    </row>
    <row r="1529" spans="1:5" hidden="1" x14ac:dyDescent="0.25">
      <c r="A1529" s="23">
        <f t="shared" si="22"/>
        <v>43770</v>
      </c>
      <c r="B1529" s="5" t="s">
        <v>178</v>
      </c>
      <c r="C1529" s="5">
        <v>-226523</v>
      </c>
      <c r="D1529" s="5" t="str">
        <f>_xlfn.XLOOKUP(fRealizado5[[#This Row],[Conta]],'Plano de Contas'!A:A,'Plano de Contas'!C:C)</f>
        <v>(-) Despesas Gerais</v>
      </c>
      <c r="E1529" s="5" t="str">
        <f>_xlfn.XLOOKUP(fRealizado5[[#This Row],[Conta]],'Plano de Contas'!A:A,'Plano de Contas'!D:D)</f>
        <v>09 - Tecnologia da Informação</v>
      </c>
    </row>
    <row r="1530" spans="1:5" hidden="1" x14ac:dyDescent="0.25">
      <c r="A1530" s="23">
        <f t="shared" si="22"/>
        <v>43770</v>
      </c>
      <c r="B1530" s="5" t="s">
        <v>179</v>
      </c>
      <c r="C1530" s="5">
        <v>-244648</v>
      </c>
      <c r="D1530" s="5" t="str">
        <f>_xlfn.XLOOKUP(fRealizado5[[#This Row],[Conta]],'Plano de Contas'!A:A,'Plano de Contas'!C:C)</f>
        <v>(-) Despesas Gerais</v>
      </c>
      <c r="E1530" s="5" t="str">
        <f>_xlfn.XLOOKUP(fRealizado5[[#This Row],[Conta]],'Plano de Contas'!A:A,'Plano de Contas'!D:D)</f>
        <v>09 - Tecnologia da Informação</v>
      </c>
    </row>
    <row r="1531" spans="1:5" hidden="1" x14ac:dyDescent="0.25">
      <c r="A1531" s="23">
        <f t="shared" si="22"/>
        <v>43770</v>
      </c>
      <c r="B1531" s="5" t="s">
        <v>180</v>
      </c>
      <c r="C1531" s="5">
        <v>-124497</v>
      </c>
      <c r="D1531" s="5" t="str">
        <f>_xlfn.XLOOKUP(fRealizado5[[#This Row],[Conta]],'Plano de Contas'!A:A,'Plano de Contas'!C:C)</f>
        <v>(-) Despesas Gerais</v>
      </c>
      <c r="E1531" s="5" t="str">
        <f>_xlfn.XLOOKUP(fRealizado5[[#This Row],[Conta]],'Plano de Contas'!A:A,'Plano de Contas'!D:D)</f>
        <v>09 - Tecnologia da Informação</v>
      </c>
    </row>
    <row r="1532" spans="1:5" hidden="1" x14ac:dyDescent="0.25">
      <c r="A1532" s="23">
        <f t="shared" si="22"/>
        <v>43770</v>
      </c>
      <c r="B1532" s="5" t="s">
        <v>181</v>
      </c>
      <c r="C1532" s="5">
        <v>-67799</v>
      </c>
      <c r="D1532" s="5" t="str">
        <f>_xlfn.XLOOKUP(fRealizado5[[#This Row],[Conta]],'Plano de Contas'!A:A,'Plano de Contas'!C:C)</f>
        <v>(-) Despesas Gerais</v>
      </c>
      <c r="E1532" s="5" t="str">
        <f>_xlfn.XLOOKUP(fRealizado5[[#This Row],[Conta]],'Plano de Contas'!A:A,'Plano de Contas'!D:D)</f>
        <v>10 - Recursos Humanos</v>
      </c>
    </row>
    <row r="1533" spans="1:5" hidden="1" x14ac:dyDescent="0.25">
      <c r="A1533" s="23">
        <f t="shared" si="22"/>
        <v>43770</v>
      </c>
      <c r="B1533" s="5" t="s">
        <v>182</v>
      </c>
      <c r="C1533" s="5">
        <v>-66772</v>
      </c>
      <c r="D1533" s="5" t="str">
        <f>_xlfn.XLOOKUP(fRealizado5[[#This Row],[Conta]],'Plano de Contas'!A:A,'Plano de Contas'!C:C)</f>
        <v>(-) Despesas Gerais</v>
      </c>
      <c r="E1533" s="5" t="str">
        <f>_xlfn.XLOOKUP(fRealizado5[[#This Row],[Conta]],'Plano de Contas'!A:A,'Plano de Contas'!D:D)</f>
        <v>10 - Recursos Humanos</v>
      </c>
    </row>
    <row r="1534" spans="1:5" hidden="1" x14ac:dyDescent="0.25">
      <c r="A1534" s="23">
        <f t="shared" si="22"/>
        <v>43770</v>
      </c>
      <c r="B1534" s="5" t="s">
        <v>183</v>
      </c>
      <c r="C1534" s="5">
        <v>-51459</v>
      </c>
      <c r="D1534" s="5" t="str">
        <f>_xlfn.XLOOKUP(fRealizado5[[#This Row],[Conta]],'Plano de Contas'!A:A,'Plano de Contas'!C:C)</f>
        <v>(-) Despesas Gerais</v>
      </c>
      <c r="E1534" s="5" t="str">
        <f>_xlfn.XLOOKUP(fRealizado5[[#This Row],[Conta]],'Plano de Contas'!A:A,'Plano de Contas'!D:D)</f>
        <v>10 - Recursos Humanos</v>
      </c>
    </row>
    <row r="1535" spans="1:5" hidden="1" x14ac:dyDescent="0.25">
      <c r="A1535" s="23">
        <f t="shared" si="22"/>
        <v>43770</v>
      </c>
      <c r="B1535" s="5" t="s">
        <v>184</v>
      </c>
      <c r="C1535" s="5">
        <v>-53177</v>
      </c>
      <c r="D1535" s="5" t="str">
        <f>_xlfn.XLOOKUP(fRealizado5[[#This Row],[Conta]],'Plano de Contas'!A:A,'Plano de Contas'!C:C)</f>
        <v>(-) Despesas Gerais</v>
      </c>
      <c r="E1535" s="5" t="str">
        <f>_xlfn.XLOOKUP(fRealizado5[[#This Row],[Conta]],'Plano de Contas'!A:A,'Plano de Contas'!D:D)</f>
        <v>10 - Recursos Humanos</v>
      </c>
    </row>
    <row r="1536" spans="1:5" hidden="1" x14ac:dyDescent="0.25">
      <c r="A1536" s="23">
        <f t="shared" si="22"/>
        <v>43770</v>
      </c>
      <c r="B1536" s="5" t="s">
        <v>185</v>
      </c>
      <c r="C1536" s="5">
        <v>-87012</v>
      </c>
      <c r="D1536" s="5" t="str">
        <f>_xlfn.XLOOKUP(fRealizado5[[#This Row],[Conta]],'Plano de Contas'!A:A,'Plano de Contas'!C:C)</f>
        <v>(-) Despesas Gerais</v>
      </c>
      <c r="E1536" s="5" t="str">
        <f>_xlfn.XLOOKUP(fRealizado5[[#This Row],[Conta]],'Plano de Contas'!A:A,'Plano de Contas'!D:D)</f>
        <v>11 - Relacionamento com Cliente</v>
      </c>
    </row>
    <row r="1537" spans="1:5" hidden="1" x14ac:dyDescent="0.25">
      <c r="A1537" s="23">
        <f t="shared" si="22"/>
        <v>43770</v>
      </c>
      <c r="B1537" s="5" t="s">
        <v>186</v>
      </c>
      <c r="C1537" s="5">
        <v>-83809</v>
      </c>
      <c r="D1537" s="5" t="str">
        <f>_xlfn.XLOOKUP(fRealizado5[[#This Row],[Conta]],'Plano de Contas'!A:A,'Plano de Contas'!C:C)</f>
        <v>(-) Despesas Gerais</v>
      </c>
      <c r="E1537" s="5" t="str">
        <f>_xlfn.XLOOKUP(fRealizado5[[#This Row],[Conta]],'Plano de Contas'!A:A,'Plano de Contas'!D:D)</f>
        <v>11 - Relacionamento com Cliente</v>
      </c>
    </row>
    <row r="1538" spans="1:5" hidden="1" x14ac:dyDescent="0.25">
      <c r="A1538" s="23">
        <f t="shared" si="22"/>
        <v>43770</v>
      </c>
      <c r="B1538" s="5" t="s">
        <v>187</v>
      </c>
      <c r="C1538" s="5">
        <v>-183949</v>
      </c>
      <c r="D1538" s="5" t="str">
        <f>_xlfn.XLOOKUP(fRealizado5[[#This Row],[Conta]],'Plano de Contas'!A:A,'Plano de Contas'!C:C)</f>
        <v>(-) Despesas Gerais</v>
      </c>
      <c r="E1538" s="5" t="str">
        <f>_xlfn.XLOOKUP(fRealizado5[[#This Row],[Conta]],'Plano de Contas'!A:A,'Plano de Contas'!D:D)</f>
        <v>12 - Marketing e Divulgação</v>
      </c>
    </row>
    <row r="1539" spans="1:5" hidden="1" x14ac:dyDescent="0.25">
      <c r="A1539" s="23">
        <f t="shared" si="22"/>
        <v>43770</v>
      </c>
      <c r="B1539" s="5" t="s">
        <v>188</v>
      </c>
      <c r="C1539" s="5">
        <v>-127086</v>
      </c>
      <c r="D1539" s="5" t="str">
        <f>_xlfn.XLOOKUP(fRealizado5[[#This Row],[Conta]],'Plano de Contas'!A:A,'Plano de Contas'!C:C)</f>
        <v>(-) Despesas Gerais</v>
      </c>
      <c r="E1539" s="5" t="str">
        <f>_xlfn.XLOOKUP(fRealizado5[[#This Row],[Conta]],'Plano de Contas'!A:A,'Plano de Contas'!D:D)</f>
        <v>12 - Marketing e Divulgação</v>
      </c>
    </row>
    <row r="1540" spans="1:5" hidden="1" x14ac:dyDescent="0.25">
      <c r="A1540" s="23">
        <f t="shared" si="22"/>
        <v>43770</v>
      </c>
      <c r="B1540" s="5" t="s">
        <v>189</v>
      </c>
      <c r="C1540" s="5">
        <v>-9191</v>
      </c>
      <c r="D1540" s="5" t="str">
        <f>_xlfn.XLOOKUP(fRealizado5[[#This Row],[Conta]],'Plano de Contas'!A:A,'Plano de Contas'!C:C)</f>
        <v>(-) Impostos</v>
      </c>
      <c r="E1540" s="5" t="str">
        <f>_xlfn.XLOOKUP(fRealizado5[[#This Row],[Conta]],'Plano de Contas'!A:A,'Plano de Contas'!D:D)</f>
        <v>13 - Impostos Estaduais</v>
      </c>
    </row>
    <row r="1541" spans="1:5" hidden="1" x14ac:dyDescent="0.25">
      <c r="A1541" s="23">
        <f t="shared" si="22"/>
        <v>43770</v>
      </c>
      <c r="B1541" s="5" t="s">
        <v>190</v>
      </c>
      <c r="C1541" s="5">
        <v>-25643</v>
      </c>
      <c r="D1541" s="5" t="str">
        <f>_xlfn.XLOOKUP(fRealizado5[[#This Row],[Conta]],'Plano de Contas'!A:A,'Plano de Contas'!C:C)</f>
        <v>(-) Impostos</v>
      </c>
      <c r="E1541" s="5" t="str">
        <f>_xlfn.XLOOKUP(fRealizado5[[#This Row],[Conta]],'Plano de Contas'!A:A,'Plano de Contas'!D:D)</f>
        <v>14 - Impostos Federais</v>
      </c>
    </row>
    <row r="1542" spans="1:5" hidden="1" x14ac:dyDescent="0.25">
      <c r="A1542" s="23">
        <f t="shared" si="22"/>
        <v>43800</v>
      </c>
      <c r="B1542" s="5" t="s">
        <v>51</v>
      </c>
      <c r="C1542" s="5">
        <v>808946</v>
      </c>
      <c r="D1542" s="5" t="str">
        <f>_xlfn.XLOOKUP(fRealizado5[[#This Row],[Conta]],'Plano de Contas'!A:A,'Plano de Contas'!C:C)</f>
        <v>(+) RECEITA BRUTA</v>
      </c>
      <c r="E1542" s="5" t="str">
        <f>_xlfn.XLOOKUP(fRealizado5[[#This Row],[Conta]],'Plano de Contas'!A:A,'Plano de Contas'!D:D)</f>
        <v>01 - Vendas de Produtos</v>
      </c>
    </row>
    <row r="1543" spans="1:5" hidden="1" x14ac:dyDescent="0.25">
      <c r="A1543" s="23">
        <f t="shared" si="22"/>
        <v>43800</v>
      </c>
      <c r="B1543" s="5" t="s">
        <v>52</v>
      </c>
      <c r="C1543" s="5">
        <v>655584</v>
      </c>
      <c r="D1543" s="5" t="str">
        <f>_xlfn.XLOOKUP(fRealizado5[[#This Row],[Conta]],'Plano de Contas'!A:A,'Plano de Contas'!C:C)</f>
        <v>(+) RECEITA BRUTA</v>
      </c>
      <c r="E1543" s="5" t="str">
        <f>_xlfn.XLOOKUP(fRealizado5[[#This Row],[Conta]],'Plano de Contas'!A:A,'Plano de Contas'!D:D)</f>
        <v>01 - Vendas de Produtos</v>
      </c>
    </row>
    <row r="1544" spans="1:5" hidden="1" x14ac:dyDescent="0.25">
      <c r="A1544" s="23">
        <f t="shared" ref="A1544:A1607" si="23">EDATE(A1404,1)</f>
        <v>43800</v>
      </c>
      <c r="B1544" s="5" t="s">
        <v>53</v>
      </c>
      <c r="C1544" s="5">
        <v>845863</v>
      </c>
      <c r="D1544" s="5" t="str">
        <f>_xlfn.XLOOKUP(fRealizado5[[#This Row],[Conta]],'Plano de Contas'!A:A,'Plano de Contas'!C:C)</f>
        <v>(+) RECEITA BRUTA</v>
      </c>
      <c r="E1544" s="5" t="str">
        <f>_xlfn.XLOOKUP(fRealizado5[[#This Row],[Conta]],'Plano de Contas'!A:A,'Plano de Contas'!D:D)</f>
        <v>01 - Vendas de Produtos</v>
      </c>
    </row>
    <row r="1545" spans="1:5" hidden="1" x14ac:dyDescent="0.25">
      <c r="A1545" s="23">
        <f t="shared" si="23"/>
        <v>43800</v>
      </c>
      <c r="B1545" s="5" t="s">
        <v>54</v>
      </c>
      <c r="C1545" s="5">
        <v>441980</v>
      </c>
      <c r="D1545" s="5" t="str">
        <f>_xlfn.XLOOKUP(fRealizado5[[#This Row],[Conta]],'Plano de Contas'!A:A,'Plano de Contas'!C:C)</f>
        <v>(+) RECEITA BRUTA</v>
      </c>
      <c r="E1545" s="5" t="str">
        <f>_xlfn.XLOOKUP(fRealizado5[[#This Row],[Conta]],'Plano de Contas'!A:A,'Plano de Contas'!D:D)</f>
        <v>01 - Vendas de Produtos</v>
      </c>
    </row>
    <row r="1546" spans="1:5" hidden="1" x14ac:dyDescent="0.25">
      <c r="A1546" s="23">
        <f t="shared" si="23"/>
        <v>43800</v>
      </c>
      <c r="B1546" s="5" t="s">
        <v>55</v>
      </c>
      <c r="C1546" s="5">
        <v>976654</v>
      </c>
      <c r="D1546" s="5" t="str">
        <f>_xlfn.XLOOKUP(fRealizado5[[#This Row],[Conta]],'Plano de Contas'!A:A,'Plano de Contas'!C:C)</f>
        <v>(+) RECEITA BRUTA</v>
      </c>
      <c r="E1546" s="5" t="str">
        <f>_xlfn.XLOOKUP(fRealizado5[[#This Row],[Conta]],'Plano de Contas'!A:A,'Plano de Contas'!D:D)</f>
        <v>01 - Vendas de Produtos</v>
      </c>
    </row>
    <row r="1547" spans="1:5" hidden="1" x14ac:dyDescent="0.25">
      <c r="A1547" s="23">
        <f t="shared" si="23"/>
        <v>43800</v>
      </c>
      <c r="B1547" s="5" t="s">
        <v>56</v>
      </c>
      <c r="C1547" s="5">
        <v>716480</v>
      </c>
      <c r="D1547" s="5" t="str">
        <f>_xlfn.XLOOKUP(fRealizado5[[#This Row],[Conta]],'Plano de Contas'!A:A,'Plano de Contas'!C:C)</f>
        <v>(+) RECEITA BRUTA</v>
      </c>
      <c r="E1547" s="5" t="str">
        <f>_xlfn.XLOOKUP(fRealizado5[[#This Row],[Conta]],'Plano de Contas'!A:A,'Plano de Contas'!D:D)</f>
        <v>01 - Vendas de Produtos</v>
      </c>
    </row>
    <row r="1548" spans="1:5" hidden="1" x14ac:dyDescent="0.25">
      <c r="A1548" s="23">
        <f t="shared" si="23"/>
        <v>43800</v>
      </c>
      <c r="B1548" s="5" t="s">
        <v>57</v>
      </c>
      <c r="C1548" s="5">
        <v>460181</v>
      </c>
      <c r="D1548" s="5" t="str">
        <f>_xlfn.XLOOKUP(fRealizado5[[#This Row],[Conta]],'Plano de Contas'!A:A,'Plano de Contas'!C:C)</f>
        <v>(+) RECEITA BRUTA</v>
      </c>
      <c r="E1548" s="5" t="str">
        <f>_xlfn.XLOOKUP(fRealizado5[[#This Row],[Conta]],'Plano de Contas'!A:A,'Plano de Contas'!D:D)</f>
        <v>01 - Vendas de Produtos</v>
      </c>
    </row>
    <row r="1549" spans="1:5" hidden="1" x14ac:dyDescent="0.25">
      <c r="A1549" s="23">
        <f t="shared" si="23"/>
        <v>43800</v>
      </c>
      <c r="B1549" s="5" t="s">
        <v>58</v>
      </c>
      <c r="C1549" s="5">
        <v>781965</v>
      </c>
      <c r="D1549" s="5" t="str">
        <f>_xlfn.XLOOKUP(fRealizado5[[#This Row],[Conta]],'Plano de Contas'!A:A,'Plano de Contas'!C:C)</f>
        <v>(+) RECEITA BRUTA</v>
      </c>
      <c r="E1549" s="5" t="str">
        <f>_xlfn.XLOOKUP(fRealizado5[[#This Row],[Conta]],'Plano de Contas'!A:A,'Plano de Contas'!D:D)</f>
        <v>01 - Vendas de Produtos</v>
      </c>
    </row>
    <row r="1550" spans="1:5" hidden="1" x14ac:dyDescent="0.25">
      <c r="A1550" s="23">
        <f t="shared" si="23"/>
        <v>43800</v>
      </c>
      <c r="B1550" s="5" t="s">
        <v>59</v>
      </c>
      <c r="C1550" s="5">
        <v>871710</v>
      </c>
      <c r="D1550" s="5" t="str">
        <f>_xlfn.XLOOKUP(fRealizado5[[#This Row],[Conta]],'Plano de Contas'!A:A,'Plano de Contas'!C:C)</f>
        <v>(+) RECEITA BRUTA</v>
      </c>
      <c r="E1550" s="5" t="str">
        <f>_xlfn.XLOOKUP(fRealizado5[[#This Row],[Conta]],'Plano de Contas'!A:A,'Plano de Contas'!D:D)</f>
        <v>01 - Vendas de Produtos</v>
      </c>
    </row>
    <row r="1551" spans="1:5" hidden="1" x14ac:dyDescent="0.25">
      <c r="A1551" s="23">
        <f t="shared" si="23"/>
        <v>43800</v>
      </c>
      <c r="B1551" s="5" t="s">
        <v>60</v>
      </c>
      <c r="C1551" s="5">
        <v>693122</v>
      </c>
      <c r="D1551" s="5" t="str">
        <f>_xlfn.XLOOKUP(fRealizado5[[#This Row],[Conta]],'Plano de Contas'!A:A,'Plano de Contas'!C:C)</f>
        <v>(+) RECEITA BRUTA</v>
      </c>
      <c r="E1551" s="5" t="str">
        <f>_xlfn.XLOOKUP(fRealizado5[[#This Row],[Conta]],'Plano de Contas'!A:A,'Plano de Contas'!D:D)</f>
        <v>01 - Vendas de Produtos</v>
      </c>
    </row>
    <row r="1552" spans="1:5" hidden="1" x14ac:dyDescent="0.25">
      <c r="A1552" s="23">
        <f t="shared" si="23"/>
        <v>43800</v>
      </c>
      <c r="B1552" s="5" t="s">
        <v>61</v>
      </c>
      <c r="C1552" s="5">
        <v>763177</v>
      </c>
      <c r="D1552" s="5" t="str">
        <f>_xlfn.XLOOKUP(fRealizado5[[#This Row],[Conta]],'Plano de Contas'!A:A,'Plano de Contas'!C:C)</f>
        <v>(+) RECEITA BRUTA</v>
      </c>
      <c r="E1552" s="5" t="str">
        <f>_xlfn.XLOOKUP(fRealizado5[[#This Row],[Conta]],'Plano de Contas'!A:A,'Plano de Contas'!D:D)</f>
        <v>01 - Vendas de Produtos</v>
      </c>
    </row>
    <row r="1553" spans="1:5" hidden="1" x14ac:dyDescent="0.25">
      <c r="A1553" s="23">
        <f t="shared" si="23"/>
        <v>43800</v>
      </c>
      <c r="B1553" s="5" t="s">
        <v>62</v>
      </c>
      <c r="C1553" s="5">
        <v>334174</v>
      </c>
      <c r="D1553" s="5" t="str">
        <f>_xlfn.XLOOKUP(fRealizado5[[#This Row],[Conta]],'Plano de Contas'!A:A,'Plano de Contas'!C:C)</f>
        <v>(+) RECEITA BRUTA</v>
      </c>
      <c r="E1553" s="5" t="str">
        <f>_xlfn.XLOOKUP(fRealizado5[[#This Row],[Conta]],'Plano de Contas'!A:A,'Plano de Contas'!D:D)</f>
        <v>01 - Vendas de Produtos</v>
      </c>
    </row>
    <row r="1554" spans="1:5" hidden="1" x14ac:dyDescent="0.25">
      <c r="A1554" s="23">
        <f t="shared" si="23"/>
        <v>43800</v>
      </c>
      <c r="B1554" s="5" t="s">
        <v>63</v>
      </c>
      <c r="C1554" s="5">
        <v>665503</v>
      </c>
      <c r="D1554" s="5" t="str">
        <f>_xlfn.XLOOKUP(fRealizado5[[#This Row],[Conta]],'Plano de Contas'!A:A,'Plano de Contas'!C:C)</f>
        <v>(+) RECEITA BRUTA</v>
      </c>
      <c r="E1554" s="5" t="str">
        <f>_xlfn.XLOOKUP(fRealizado5[[#This Row],[Conta]],'Plano de Contas'!A:A,'Plano de Contas'!D:D)</f>
        <v>01 - Vendas de Produtos</v>
      </c>
    </row>
    <row r="1555" spans="1:5" hidden="1" x14ac:dyDescent="0.25">
      <c r="A1555" s="23">
        <f t="shared" si="23"/>
        <v>43800</v>
      </c>
      <c r="B1555" s="5" t="s">
        <v>64</v>
      </c>
      <c r="C1555" s="5">
        <v>553342</v>
      </c>
      <c r="D1555" s="5" t="str">
        <f>_xlfn.XLOOKUP(fRealizado5[[#This Row],[Conta]],'Plano de Contas'!A:A,'Plano de Contas'!C:C)</f>
        <v>(+) RECEITA BRUTA</v>
      </c>
      <c r="E1555" s="5" t="str">
        <f>_xlfn.XLOOKUP(fRealizado5[[#This Row],[Conta]],'Plano de Contas'!A:A,'Plano de Contas'!D:D)</f>
        <v>01 - Vendas de Produtos</v>
      </c>
    </row>
    <row r="1556" spans="1:5" hidden="1" x14ac:dyDescent="0.25">
      <c r="A1556" s="23">
        <f t="shared" si="23"/>
        <v>43800</v>
      </c>
      <c r="B1556" s="5" t="s">
        <v>65</v>
      </c>
      <c r="C1556" s="5">
        <v>859436</v>
      </c>
      <c r="D1556" s="5" t="str">
        <f>_xlfn.XLOOKUP(fRealizado5[[#This Row],[Conta]],'Plano de Contas'!A:A,'Plano de Contas'!C:C)</f>
        <v>(+) RECEITA BRUTA</v>
      </c>
      <c r="E1556" s="5" t="str">
        <f>_xlfn.XLOOKUP(fRealizado5[[#This Row],[Conta]],'Plano de Contas'!A:A,'Plano de Contas'!D:D)</f>
        <v>01 - Vendas de Produtos</v>
      </c>
    </row>
    <row r="1557" spans="1:5" hidden="1" x14ac:dyDescent="0.25">
      <c r="A1557" s="23">
        <f t="shared" si="23"/>
        <v>43800</v>
      </c>
      <c r="B1557" s="5" t="s">
        <v>66</v>
      </c>
      <c r="C1557" s="5">
        <v>393268</v>
      </c>
      <c r="D1557" s="5" t="str">
        <f>_xlfn.XLOOKUP(fRealizado5[[#This Row],[Conta]],'Plano de Contas'!A:A,'Plano de Contas'!C:C)</f>
        <v>(+) RECEITA BRUTA</v>
      </c>
      <c r="E1557" s="5" t="str">
        <f>_xlfn.XLOOKUP(fRealizado5[[#This Row],[Conta]],'Plano de Contas'!A:A,'Plano de Contas'!D:D)</f>
        <v>01 - Vendas de Produtos</v>
      </c>
    </row>
    <row r="1558" spans="1:5" hidden="1" x14ac:dyDescent="0.25">
      <c r="A1558" s="23">
        <f t="shared" si="23"/>
        <v>43800</v>
      </c>
      <c r="B1558" s="5" t="s">
        <v>67</v>
      </c>
      <c r="C1558" s="5">
        <v>324856</v>
      </c>
      <c r="D1558" s="5" t="str">
        <f>_xlfn.XLOOKUP(fRealizado5[[#This Row],[Conta]],'Plano de Contas'!A:A,'Plano de Contas'!C:C)</f>
        <v>(+) RECEITA BRUTA</v>
      </c>
      <c r="E1558" s="5" t="str">
        <f>_xlfn.XLOOKUP(fRealizado5[[#This Row],[Conta]],'Plano de Contas'!A:A,'Plano de Contas'!D:D)</f>
        <v>01 - Vendas de Produtos</v>
      </c>
    </row>
    <row r="1559" spans="1:5" hidden="1" x14ac:dyDescent="0.25">
      <c r="A1559" s="23">
        <f t="shared" si="23"/>
        <v>43800</v>
      </c>
      <c r="B1559" s="5" t="s">
        <v>68</v>
      </c>
      <c r="C1559" s="5">
        <v>947797</v>
      </c>
      <c r="D1559" s="5" t="str">
        <f>_xlfn.XLOOKUP(fRealizado5[[#This Row],[Conta]],'Plano de Contas'!A:A,'Plano de Contas'!C:C)</f>
        <v>(+) RECEITA BRUTA</v>
      </c>
      <c r="E1559" s="5" t="str">
        <f>_xlfn.XLOOKUP(fRealizado5[[#This Row],[Conta]],'Plano de Contas'!A:A,'Plano de Contas'!D:D)</f>
        <v>01 - Vendas de Produtos</v>
      </c>
    </row>
    <row r="1560" spans="1:5" hidden="1" x14ac:dyDescent="0.25">
      <c r="A1560" s="23">
        <f t="shared" si="23"/>
        <v>43800</v>
      </c>
      <c r="B1560" s="5" t="s">
        <v>69</v>
      </c>
      <c r="C1560" s="5">
        <v>959400</v>
      </c>
      <c r="D1560" s="5" t="str">
        <f>_xlfn.XLOOKUP(fRealizado5[[#This Row],[Conta]],'Plano de Contas'!A:A,'Plano de Contas'!C:C)</f>
        <v>(+) RECEITA BRUTA</v>
      </c>
      <c r="E1560" s="5" t="str">
        <f>_xlfn.XLOOKUP(fRealizado5[[#This Row],[Conta]],'Plano de Contas'!A:A,'Plano de Contas'!D:D)</f>
        <v>01 - Vendas de Produtos</v>
      </c>
    </row>
    <row r="1561" spans="1:5" hidden="1" x14ac:dyDescent="0.25">
      <c r="A1561" s="23">
        <f t="shared" si="23"/>
        <v>43800</v>
      </c>
      <c r="B1561" s="5" t="s">
        <v>70</v>
      </c>
      <c r="C1561" s="5">
        <v>347452</v>
      </c>
      <c r="D1561" s="5" t="str">
        <f>_xlfn.XLOOKUP(fRealizado5[[#This Row],[Conta]],'Plano de Contas'!A:A,'Plano de Contas'!C:C)</f>
        <v>(+) RECEITA BRUTA</v>
      </c>
      <c r="E1561" s="5" t="str">
        <f>_xlfn.XLOOKUP(fRealizado5[[#This Row],[Conta]],'Plano de Contas'!A:A,'Plano de Contas'!D:D)</f>
        <v>01 - Vendas de Produtos</v>
      </c>
    </row>
    <row r="1562" spans="1:5" hidden="1" x14ac:dyDescent="0.25">
      <c r="A1562" s="23">
        <f t="shared" si="23"/>
        <v>43800</v>
      </c>
      <c r="B1562" s="5" t="s">
        <v>71</v>
      </c>
      <c r="C1562" s="5">
        <v>479454</v>
      </c>
      <c r="D1562" s="5" t="str">
        <f>_xlfn.XLOOKUP(fRealizado5[[#This Row],[Conta]],'Plano de Contas'!A:A,'Plano de Contas'!C:C)</f>
        <v>(+) RECEITA BRUTA</v>
      </c>
      <c r="E1562" s="5" t="str">
        <f>_xlfn.XLOOKUP(fRealizado5[[#This Row],[Conta]],'Plano de Contas'!A:A,'Plano de Contas'!D:D)</f>
        <v>01 - Vendas de Produtos</v>
      </c>
    </row>
    <row r="1563" spans="1:5" hidden="1" x14ac:dyDescent="0.25">
      <c r="A1563" s="23">
        <f t="shared" si="23"/>
        <v>43800</v>
      </c>
      <c r="B1563" s="5" t="s">
        <v>72</v>
      </c>
      <c r="C1563" s="5">
        <v>485175</v>
      </c>
      <c r="D1563" s="5" t="str">
        <f>_xlfn.XLOOKUP(fRealizado5[[#This Row],[Conta]],'Plano de Contas'!A:A,'Plano de Contas'!C:C)</f>
        <v>(+) RECEITA BRUTA</v>
      </c>
      <c r="E1563" s="5" t="str">
        <f>_xlfn.XLOOKUP(fRealizado5[[#This Row],[Conta]],'Plano de Contas'!A:A,'Plano de Contas'!D:D)</f>
        <v>01 - Vendas de Produtos</v>
      </c>
    </row>
    <row r="1564" spans="1:5" hidden="1" x14ac:dyDescent="0.25">
      <c r="A1564" s="23">
        <f t="shared" si="23"/>
        <v>43800</v>
      </c>
      <c r="B1564" s="5" t="s">
        <v>73</v>
      </c>
      <c r="C1564" s="5">
        <v>253074</v>
      </c>
      <c r="D1564" s="5" t="str">
        <f>_xlfn.XLOOKUP(fRealizado5[[#This Row],[Conta]],'Plano de Contas'!A:A,'Plano de Contas'!C:C)</f>
        <v>(+) RECEITA BRUTA</v>
      </c>
      <c r="E1564" s="5" t="str">
        <f>_xlfn.XLOOKUP(fRealizado5[[#This Row],[Conta]],'Plano de Contas'!A:A,'Plano de Contas'!D:D)</f>
        <v>01 - Vendas de Produtos</v>
      </c>
    </row>
    <row r="1565" spans="1:5" hidden="1" x14ac:dyDescent="0.25">
      <c r="A1565" s="23">
        <f t="shared" si="23"/>
        <v>43800</v>
      </c>
      <c r="B1565" s="5" t="s">
        <v>74</v>
      </c>
      <c r="C1565" s="5">
        <v>168337</v>
      </c>
      <c r="D1565" s="5" t="str">
        <f>_xlfn.XLOOKUP(fRealizado5[[#This Row],[Conta]],'Plano de Contas'!A:A,'Plano de Contas'!C:C)</f>
        <v>(+) RECEITA BRUTA</v>
      </c>
      <c r="E1565" s="5" t="str">
        <f>_xlfn.XLOOKUP(fRealizado5[[#This Row],[Conta]],'Plano de Contas'!A:A,'Plano de Contas'!D:D)</f>
        <v>01 - Vendas de Produtos</v>
      </c>
    </row>
    <row r="1566" spans="1:5" hidden="1" x14ac:dyDescent="0.25">
      <c r="A1566" s="23">
        <f t="shared" si="23"/>
        <v>43800</v>
      </c>
      <c r="B1566" s="5" t="s">
        <v>75</v>
      </c>
      <c r="C1566" s="5">
        <v>211202</v>
      </c>
      <c r="D1566" s="5" t="str">
        <f>_xlfn.XLOOKUP(fRealizado5[[#This Row],[Conta]],'Plano de Contas'!A:A,'Plano de Contas'!C:C)</f>
        <v>(+) RECEITA BRUTA</v>
      </c>
      <c r="E1566" s="5" t="str">
        <f>_xlfn.XLOOKUP(fRealizado5[[#This Row],[Conta]],'Plano de Contas'!A:A,'Plano de Contas'!D:D)</f>
        <v>02 - Outras Receitas</v>
      </c>
    </row>
    <row r="1567" spans="1:5" hidden="1" x14ac:dyDescent="0.25">
      <c r="A1567" s="23">
        <f t="shared" si="23"/>
        <v>43800</v>
      </c>
      <c r="B1567" s="5" t="s">
        <v>76</v>
      </c>
      <c r="C1567" s="5">
        <v>240661</v>
      </c>
      <c r="D1567" s="5" t="str">
        <f>_xlfn.XLOOKUP(fRealizado5[[#This Row],[Conta]],'Plano de Contas'!A:A,'Plano de Contas'!C:C)</f>
        <v>(+) RECEITA BRUTA</v>
      </c>
      <c r="E1567" s="5" t="str">
        <f>_xlfn.XLOOKUP(fRealizado5[[#This Row],[Conta]],'Plano de Contas'!A:A,'Plano de Contas'!D:D)</f>
        <v>02 - Outras Receitas</v>
      </c>
    </row>
    <row r="1568" spans="1:5" hidden="1" x14ac:dyDescent="0.25">
      <c r="A1568" s="23">
        <f t="shared" si="23"/>
        <v>43800</v>
      </c>
      <c r="B1568" s="5" t="s">
        <v>77</v>
      </c>
      <c r="C1568" s="5">
        <v>63163</v>
      </c>
      <c r="D1568" s="5" t="str">
        <f>_xlfn.XLOOKUP(fRealizado5[[#This Row],[Conta]],'Plano de Contas'!A:A,'Plano de Contas'!C:C)</f>
        <v>(+) RECEITA BRUTA</v>
      </c>
      <c r="E1568" s="5" t="str">
        <f>_xlfn.XLOOKUP(fRealizado5[[#This Row],[Conta]],'Plano de Contas'!A:A,'Plano de Contas'!D:D)</f>
        <v>02 - Outras Receitas</v>
      </c>
    </row>
    <row r="1569" spans="1:5" hidden="1" x14ac:dyDescent="0.25">
      <c r="A1569" s="23">
        <f t="shared" si="23"/>
        <v>43800</v>
      </c>
      <c r="B1569" s="5" t="s">
        <v>78</v>
      </c>
      <c r="C1569" s="5">
        <v>261600</v>
      </c>
      <c r="D1569" s="5" t="str">
        <f>_xlfn.XLOOKUP(fRealizado5[[#This Row],[Conta]],'Plano de Contas'!A:A,'Plano de Contas'!C:C)</f>
        <v>(+) RECEITA BRUTA</v>
      </c>
      <c r="E1569" s="5" t="str">
        <f>_xlfn.XLOOKUP(fRealizado5[[#This Row],[Conta]],'Plano de Contas'!A:A,'Plano de Contas'!D:D)</f>
        <v>02 - Outras Receitas</v>
      </c>
    </row>
    <row r="1570" spans="1:5" hidden="1" x14ac:dyDescent="0.25">
      <c r="A1570" s="23">
        <f t="shared" si="23"/>
        <v>43800</v>
      </c>
      <c r="B1570" s="5" t="s">
        <v>79</v>
      </c>
      <c r="C1570" s="5">
        <v>82599</v>
      </c>
      <c r="D1570" s="5" t="str">
        <f>_xlfn.XLOOKUP(fRealizado5[[#This Row],[Conta]],'Plano de Contas'!A:A,'Plano de Contas'!C:C)</f>
        <v>(+) RECEITA BRUTA</v>
      </c>
      <c r="E1570" s="5" t="str">
        <f>_xlfn.XLOOKUP(fRealizado5[[#This Row],[Conta]],'Plano de Contas'!A:A,'Plano de Contas'!D:D)</f>
        <v>02 - Outras Receitas</v>
      </c>
    </row>
    <row r="1571" spans="1:5" hidden="1" x14ac:dyDescent="0.25">
      <c r="A1571" s="23">
        <f t="shared" si="23"/>
        <v>43800</v>
      </c>
      <c r="B1571" s="5" t="s">
        <v>80</v>
      </c>
      <c r="C1571" s="5">
        <v>248824</v>
      </c>
      <c r="D1571" s="5" t="str">
        <f>_xlfn.XLOOKUP(fRealizado5[[#This Row],[Conta]],'Plano de Contas'!A:A,'Plano de Contas'!C:C)</f>
        <v>(+) RECEITA BRUTA</v>
      </c>
      <c r="E1571" s="5" t="str">
        <f>_xlfn.XLOOKUP(fRealizado5[[#This Row],[Conta]],'Plano de Contas'!A:A,'Plano de Contas'!D:D)</f>
        <v>02 - Outras Receitas</v>
      </c>
    </row>
    <row r="1572" spans="1:5" hidden="1" x14ac:dyDescent="0.25">
      <c r="A1572" s="23">
        <f t="shared" si="23"/>
        <v>43800</v>
      </c>
      <c r="B1572" s="5" t="s">
        <v>81</v>
      </c>
      <c r="C1572" s="5">
        <v>138619</v>
      </c>
      <c r="D1572" s="5" t="str">
        <f>_xlfn.XLOOKUP(fRealizado5[[#This Row],[Conta]],'Plano de Contas'!A:A,'Plano de Contas'!C:C)</f>
        <v>(+) RECEITA BRUTA</v>
      </c>
      <c r="E1572" s="5" t="str">
        <f>_xlfn.XLOOKUP(fRealizado5[[#This Row],[Conta]],'Plano de Contas'!A:A,'Plano de Contas'!D:D)</f>
        <v>02 - Outras Receitas</v>
      </c>
    </row>
    <row r="1573" spans="1:5" hidden="1" x14ac:dyDescent="0.25">
      <c r="A1573" s="23">
        <f t="shared" si="23"/>
        <v>43800</v>
      </c>
      <c r="B1573" s="5" t="s">
        <v>82</v>
      </c>
      <c r="C1573" s="5">
        <v>94660</v>
      </c>
      <c r="D1573" s="5" t="str">
        <f>_xlfn.XLOOKUP(fRealizado5[[#This Row],[Conta]],'Plano de Contas'!A:A,'Plano de Contas'!C:C)</f>
        <v>(+) RECEITA BRUTA</v>
      </c>
      <c r="E1573" s="5" t="str">
        <f>_xlfn.XLOOKUP(fRealizado5[[#This Row],[Conta]],'Plano de Contas'!A:A,'Plano de Contas'!D:D)</f>
        <v>02 - Outras Receitas</v>
      </c>
    </row>
    <row r="1574" spans="1:5" hidden="1" x14ac:dyDescent="0.25">
      <c r="A1574" s="23">
        <f t="shared" si="23"/>
        <v>43800</v>
      </c>
      <c r="B1574" s="5" t="s">
        <v>83</v>
      </c>
      <c r="C1574" s="5">
        <v>170624</v>
      </c>
      <c r="D1574" s="5" t="str">
        <f>_xlfn.XLOOKUP(fRealizado5[[#This Row],[Conta]],'Plano de Contas'!A:A,'Plano de Contas'!C:C)</f>
        <v>(+) RECEITA BRUTA</v>
      </c>
      <c r="E1574" s="5" t="str">
        <f>_xlfn.XLOOKUP(fRealizado5[[#This Row],[Conta]],'Plano de Contas'!A:A,'Plano de Contas'!D:D)</f>
        <v>02 - Outras Receitas</v>
      </c>
    </row>
    <row r="1575" spans="1:5" hidden="1" x14ac:dyDescent="0.25">
      <c r="A1575" s="23">
        <f t="shared" si="23"/>
        <v>43800</v>
      </c>
      <c r="B1575" s="5" t="s">
        <v>84</v>
      </c>
      <c r="C1575" s="5">
        <v>237258</v>
      </c>
      <c r="D1575" s="5" t="str">
        <f>_xlfn.XLOOKUP(fRealizado5[[#This Row],[Conta]],'Plano de Contas'!A:A,'Plano de Contas'!C:C)</f>
        <v>(+) RECEITA BRUTA</v>
      </c>
      <c r="E1575" s="5" t="str">
        <f>_xlfn.XLOOKUP(fRealizado5[[#This Row],[Conta]],'Plano de Contas'!A:A,'Plano de Contas'!D:D)</f>
        <v>02 - Outras Receitas</v>
      </c>
    </row>
    <row r="1576" spans="1:5" hidden="1" x14ac:dyDescent="0.25">
      <c r="A1576" s="23">
        <f t="shared" si="23"/>
        <v>43800</v>
      </c>
      <c r="B1576" s="5" t="s">
        <v>85</v>
      </c>
      <c r="C1576" s="5">
        <v>296356</v>
      </c>
      <c r="D1576" s="5" t="str">
        <f>_xlfn.XLOOKUP(fRealizado5[[#This Row],[Conta]],'Plano de Contas'!A:A,'Plano de Contas'!C:C)</f>
        <v>(+) RECEITA BRUTA</v>
      </c>
      <c r="E1576" s="5" t="str">
        <f>_xlfn.XLOOKUP(fRealizado5[[#This Row],[Conta]],'Plano de Contas'!A:A,'Plano de Contas'!D:D)</f>
        <v>02 - Outras Receitas</v>
      </c>
    </row>
    <row r="1577" spans="1:5" hidden="1" x14ac:dyDescent="0.25">
      <c r="A1577" s="23">
        <f t="shared" si="23"/>
        <v>43800</v>
      </c>
      <c r="B1577" s="5" t="s">
        <v>86</v>
      </c>
      <c r="C1577" s="5">
        <v>76619</v>
      </c>
      <c r="D1577" s="5" t="str">
        <f>_xlfn.XLOOKUP(fRealizado5[[#This Row],[Conta]],'Plano de Contas'!A:A,'Plano de Contas'!C:C)</f>
        <v>(+) RECEITA BRUTA</v>
      </c>
      <c r="E1577" s="5" t="str">
        <f>_xlfn.XLOOKUP(fRealizado5[[#This Row],[Conta]],'Plano de Contas'!A:A,'Plano de Contas'!D:D)</f>
        <v>02 - Outras Receitas</v>
      </c>
    </row>
    <row r="1578" spans="1:5" hidden="1" x14ac:dyDescent="0.25">
      <c r="A1578" s="23">
        <f t="shared" si="23"/>
        <v>43800</v>
      </c>
      <c r="B1578" s="5" t="s">
        <v>87</v>
      </c>
      <c r="C1578" s="5">
        <v>237752</v>
      </c>
      <c r="D1578" s="5" t="str">
        <f>_xlfn.XLOOKUP(fRealizado5[[#This Row],[Conta]],'Plano de Contas'!A:A,'Plano de Contas'!C:C)</f>
        <v>(+) RECEITA BRUTA</v>
      </c>
      <c r="E1578" s="5" t="str">
        <f>_xlfn.XLOOKUP(fRealizado5[[#This Row],[Conta]],'Plano de Contas'!A:A,'Plano de Contas'!D:D)</f>
        <v>02 - Outras Receitas</v>
      </c>
    </row>
    <row r="1579" spans="1:5" hidden="1" x14ac:dyDescent="0.25">
      <c r="A1579" s="23">
        <f t="shared" si="23"/>
        <v>43800</v>
      </c>
      <c r="B1579" s="5" t="s">
        <v>88</v>
      </c>
      <c r="C1579" s="5">
        <v>271515</v>
      </c>
      <c r="D1579" s="5" t="str">
        <f>_xlfn.XLOOKUP(fRealizado5[[#This Row],[Conta]],'Plano de Contas'!A:A,'Plano de Contas'!C:C)</f>
        <v>(+) RECEITA BRUTA</v>
      </c>
      <c r="E1579" s="5" t="str">
        <f>_xlfn.XLOOKUP(fRealizado5[[#This Row],[Conta]],'Plano de Contas'!A:A,'Plano de Contas'!D:D)</f>
        <v>02 - Outras Receitas</v>
      </c>
    </row>
    <row r="1580" spans="1:5" hidden="1" x14ac:dyDescent="0.25">
      <c r="A1580" s="23">
        <f t="shared" si="23"/>
        <v>43800</v>
      </c>
      <c r="B1580" s="5" t="s">
        <v>89</v>
      </c>
      <c r="C1580" s="5">
        <v>173446</v>
      </c>
      <c r="D1580" s="5" t="str">
        <f>_xlfn.XLOOKUP(fRealizado5[[#This Row],[Conta]],'Plano de Contas'!A:A,'Plano de Contas'!C:C)</f>
        <v>(+) RECEITA BRUTA</v>
      </c>
      <c r="E1580" s="5" t="str">
        <f>_xlfn.XLOOKUP(fRealizado5[[#This Row],[Conta]],'Plano de Contas'!A:A,'Plano de Contas'!D:D)</f>
        <v>02 - Outras Receitas</v>
      </c>
    </row>
    <row r="1581" spans="1:5" hidden="1" x14ac:dyDescent="0.25">
      <c r="A1581" s="23">
        <f t="shared" si="23"/>
        <v>43800</v>
      </c>
      <c r="B1581" s="5" t="s">
        <v>90</v>
      </c>
      <c r="C1581" s="5">
        <v>210358</v>
      </c>
      <c r="D1581" s="5" t="str">
        <f>_xlfn.XLOOKUP(fRealizado5[[#This Row],[Conta]],'Plano de Contas'!A:A,'Plano de Contas'!C:C)</f>
        <v>(+) RECEITA BRUTA</v>
      </c>
      <c r="E1581" s="5" t="str">
        <f>_xlfn.XLOOKUP(fRealizado5[[#This Row],[Conta]],'Plano de Contas'!A:A,'Plano de Contas'!D:D)</f>
        <v>02 - Outras Receitas</v>
      </c>
    </row>
    <row r="1582" spans="1:5" hidden="1" x14ac:dyDescent="0.25">
      <c r="A1582" s="23">
        <f t="shared" si="23"/>
        <v>43800</v>
      </c>
      <c r="B1582" s="5" t="s">
        <v>91</v>
      </c>
      <c r="C1582" s="5">
        <v>71949</v>
      </c>
      <c r="D1582" s="5" t="str">
        <f>_xlfn.XLOOKUP(fRealizado5[[#This Row],[Conta]],'Plano de Contas'!A:A,'Plano de Contas'!C:C)</f>
        <v>(+) RECEITA BRUTA</v>
      </c>
      <c r="E1582" s="5" t="str">
        <f>_xlfn.XLOOKUP(fRealizado5[[#This Row],[Conta]],'Plano de Contas'!A:A,'Plano de Contas'!D:D)</f>
        <v>02 - Outras Receitas</v>
      </c>
    </row>
    <row r="1583" spans="1:5" hidden="1" x14ac:dyDescent="0.25">
      <c r="A1583" s="23">
        <f t="shared" si="23"/>
        <v>43800</v>
      </c>
      <c r="B1583" s="5" t="s">
        <v>92</v>
      </c>
      <c r="C1583" s="5">
        <v>96491</v>
      </c>
      <c r="D1583" s="5" t="str">
        <f>_xlfn.XLOOKUP(fRealizado5[[#This Row],[Conta]],'Plano de Contas'!A:A,'Plano de Contas'!C:C)</f>
        <v>(+) RECEITA BRUTA</v>
      </c>
      <c r="E1583" s="5" t="str">
        <f>_xlfn.XLOOKUP(fRealizado5[[#This Row],[Conta]],'Plano de Contas'!A:A,'Plano de Contas'!D:D)</f>
        <v>02 - Outras Receitas</v>
      </c>
    </row>
    <row r="1584" spans="1:5" hidden="1" x14ac:dyDescent="0.25">
      <c r="A1584" s="23">
        <f t="shared" si="23"/>
        <v>43800</v>
      </c>
      <c r="B1584" s="5" t="s">
        <v>93</v>
      </c>
      <c r="C1584" s="5">
        <v>292792</v>
      </c>
      <c r="D1584" s="5" t="str">
        <f>_xlfn.XLOOKUP(fRealizado5[[#This Row],[Conta]],'Plano de Contas'!A:A,'Plano de Contas'!C:C)</f>
        <v>(+) RECEITA BRUTA</v>
      </c>
      <c r="E1584" s="5" t="str">
        <f>_xlfn.XLOOKUP(fRealizado5[[#This Row],[Conta]],'Plano de Contas'!A:A,'Plano de Contas'!D:D)</f>
        <v>02 - Outras Receitas</v>
      </c>
    </row>
    <row r="1585" spans="1:5" hidden="1" x14ac:dyDescent="0.25">
      <c r="A1585" s="23">
        <f t="shared" si="23"/>
        <v>43800</v>
      </c>
      <c r="B1585" s="5" t="s">
        <v>94</v>
      </c>
      <c r="C1585" s="5">
        <v>205372</v>
      </c>
      <c r="D1585" s="5" t="str">
        <f>_xlfn.XLOOKUP(fRealizado5[[#This Row],[Conta]],'Plano de Contas'!A:A,'Plano de Contas'!C:C)</f>
        <v>(+) RECEITA BRUTA</v>
      </c>
      <c r="E1585" s="5" t="str">
        <f>_xlfn.XLOOKUP(fRealizado5[[#This Row],[Conta]],'Plano de Contas'!A:A,'Plano de Contas'!D:D)</f>
        <v>02 - Outras Receitas</v>
      </c>
    </row>
    <row r="1586" spans="1:5" hidden="1" x14ac:dyDescent="0.25">
      <c r="A1586" s="23">
        <f t="shared" si="23"/>
        <v>43800</v>
      </c>
      <c r="B1586" s="5" t="s">
        <v>95</v>
      </c>
      <c r="C1586" s="5">
        <v>51287</v>
      </c>
      <c r="D1586" s="5" t="str">
        <f>_xlfn.XLOOKUP(fRealizado5[[#This Row],[Conta]],'Plano de Contas'!A:A,'Plano de Contas'!C:C)</f>
        <v>(+) RECEITA BRUTA</v>
      </c>
      <c r="E1586" s="5" t="str">
        <f>_xlfn.XLOOKUP(fRealizado5[[#This Row],[Conta]],'Plano de Contas'!A:A,'Plano de Contas'!D:D)</f>
        <v>02 - Outras Receitas</v>
      </c>
    </row>
    <row r="1587" spans="1:5" hidden="1" x14ac:dyDescent="0.25">
      <c r="A1587" s="23">
        <f t="shared" si="23"/>
        <v>43800</v>
      </c>
      <c r="B1587" s="5" t="s">
        <v>96</v>
      </c>
      <c r="C1587" s="5">
        <v>203921</v>
      </c>
      <c r="D1587" s="5" t="str">
        <f>_xlfn.XLOOKUP(fRealizado5[[#This Row],[Conta]],'Plano de Contas'!A:A,'Plano de Contas'!C:C)</f>
        <v>(+) RECEITA BRUTA</v>
      </c>
      <c r="E1587" s="5" t="str">
        <f>_xlfn.XLOOKUP(fRealizado5[[#This Row],[Conta]],'Plano de Contas'!A:A,'Plano de Contas'!D:D)</f>
        <v>02 - Outras Receitas</v>
      </c>
    </row>
    <row r="1588" spans="1:5" hidden="1" x14ac:dyDescent="0.25">
      <c r="A1588" s="23">
        <f t="shared" si="23"/>
        <v>43800</v>
      </c>
      <c r="B1588" s="5" t="s">
        <v>97</v>
      </c>
      <c r="C1588" s="5">
        <v>230776</v>
      </c>
      <c r="D1588" s="5" t="str">
        <f>_xlfn.XLOOKUP(fRealizado5[[#This Row],[Conta]],'Plano de Contas'!A:A,'Plano de Contas'!C:C)</f>
        <v>(+) RECEITA BRUTA</v>
      </c>
      <c r="E1588" s="5" t="str">
        <f>_xlfn.XLOOKUP(fRealizado5[[#This Row],[Conta]],'Plano de Contas'!A:A,'Plano de Contas'!D:D)</f>
        <v>02 - Outras Receitas</v>
      </c>
    </row>
    <row r="1589" spans="1:5" hidden="1" x14ac:dyDescent="0.25">
      <c r="A1589" s="23">
        <f t="shared" si="23"/>
        <v>43800</v>
      </c>
      <c r="B1589" s="5" t="s">
        <v>98</v>
      </c>
      <c r="C1589" s="5">
        <v>121477</v>
      </c>
      <c r="D1589" s="5" t="str">
        <f>_xlfn.XLOOKUP(fRealizado5[[#This Row],[Conta]],'Plano de Contas'!A:A,'Plano de Contas'!C:C)</f>
        <v>(+) RECEITA BRUTA</v>
      </c>
      <c r="E1589" s="5" t="str">
        <f>_xlfn.XLOOKUP(fRealizado5[[#This Row],[Conta]],'Plano de Contas'!A:A,'Plano de Contas'!D:D)</f>
        <v>02 - Outras Receitas</v>
      </c>
    </row>
    <row r="1590" spans="1:5" hidden="1" x14ac:dyDescent="0.25">
      <c r="A1590" s="23">
        <f t="shared" si="23"/>
        <v>43800</v>
      </c>
      <c r="B1590" s="5" t="s">
        <v>99</v>
      </c>
      <c r="C1590" s="5">
        <v>294900</v>
      </c>
      <c r="D1590" s="5" t="str">
        <f>_xlfn.XLOOKUP(fRealizado5[[#This Row],[Conta]],'Plano de Contas'!A:A,'Plano de Contas'!C:C)</f>
        <v>(+) RECEITA BRUTA</v>
      </c>
      <c r="E1590" s="5" t="str">
        <f>_xlfn.XLOOKUP(fRealizado5[[#This Row],[Conta]],'Plano de Contas'!A:A,'Plano de Contas'!D:D)</f>
        <v>02 - Outras Receitas</v>
      </c>
    </row>
    <row r="1591" spans="1:5" hidden="1" x14ac:dyDescent="0.25">
      <c r="A1591" s="23">
        <f t="shared" si="23"/>
        <v>43800</v>
      </c>
      <c r="B1591" s="5" t="s">
        <v>100</v>
      </c>
      <c r="C1591" s="5">
        <v>260341</v>
      </c>
      <c r="D1591" s="5" t="str">
        <f>_xlfn.XLOOKUP(fRealizado5[[#This Row],[Conta]],'Plano de Contas'!A:A,'Plano de Contas'!C:C)</f>
        <v>(+) RECEITA BRUTA</v>
      </c>
      <c r="E1591" s="5" t="str">
        <f>_xlfn.XLOOKUP(fRealizado5[[#This Row],[Conta]],'Plano de Contas'!A:A,'Plano de Contas'!D:D)</f>
        <v>02 - Outras Receitas</v>
      </c>
    </row>
    <row r="1592" spans="1:5" hidden="1" x14ac:dyDescent="0.25">
      <c r="A1592" s="23">
        <f t="shared" si="23"/>
        <v>43800</v>
      </c>
      <c r="B1592" s="5" t="s">
        <v>101</v>
      </c>
      <c r="C1592" s="5">
        <v>171920</v>
      </c>
      <c r="D1592" s="5" t="str">
        <f>_xlfn.XLOOKUP(fRealizado5[[#This Row],[Conta]],'Plano de Contas'!A:A,'Plano de Contas'!C:C)</f>
        <v>(+) RECEITA BRUTA</v>
      </c>
      <c r="E1592" s="5" t="str">
        <f>_xlfn.XLOOKUP(fRealizado5[[#This Row],[Conta]],'Plano de Contas'!A:A,'Plano de Contas'!D:D)</f>
        <v>02 - Outras Receitas</v>
      </c>
    </row>
    <row r="1593" spans="1:5" hidden="1" x14ac:dyDescent="0.25">
      <c r="A1593" s="23">
        <f t="shared" si="23"/>
        <v>43800</v>
      </c>
      <c r="B1593" s="5" t="s">
        <v>102</v>
      </c>
      <c r="C1593" s="5">
        <v>150715</v>
      </c>
      <c r="D1593" s="5" t="str">
        <f>_xlfn.XLOOKUP(fRealizado5[[#This Row],[Conta]],'Plano de Contas'!A:A,'Plano de Contas'!C:C)</f>
        <v>(+) RECEITA BRUTA</v>
      </c>
      <c r="E1593" s="5" t="str">
        <f>_xlfn.XLOOKUP(fRealizado5[[#This Row],[Conta]],'Plano de Contas'!A:A,'Plano de Contas'!D:D)</f>
        <v>02 - Outras Receitas</v>
      </c>
    </row>
    <row r="1594" spans="1:5" hidden="1" x14ac:dyDescent="0.25">
      <c r="A1594" s="23">
        <f t="shared" si="23"/>
        <v>43800</v>
      </c>
      <c r="B1594" s="5" t="s">
        <v>103</v>
      </c>
      <c r="C1594" s="5">
        <v>73420</v>
      </c>
      <c r="D1594" s="5" t="str">
        <f>_xlfn.XLOOKUP(fRealizado5[[#This Row],[Conta]],'Plano de Contas'!A:A,'Plano de Contas'!C:C)</f>
        <v>(+) RECEITA BRUTA</v>
      </c>
      <c r="E1594" s="5" t="str">
        <f>_xlfn.XLOOKUP(fRealizado5[[#This Row],[Conta]],'Plano de Contas'!A:A,'Plano de Contas'!D:D)</f>
        <v>02 - Outras Receitas</v>
      </c>
    </row>
    <row r="1595" spans="1:5" hidden="1" x14ac:dyDescent="0.25">
      <c r="A1595" s="23">
        <f t="shared" si="23"/>
        <v>43800</v>
      </c>
      <c r="B1595" s="5" t="s">
        <v>104</v>
      </c>
      <c r="C1595" s="5">
        <v>273685</v>
      </c>
      <c r="D1595" s="5" t="str">
        <f>_xlfn.XLOOKUP(fRealizado5[[#This Row],[Conta]],'Plano de Contas'!A:A,'Plano de Contas'!C:C)</f>
        <v>(+) RECEITA BRUTA</v>
      </c>
      <c r="E1595" s="5" t="str">
        <f>_xlfn.XLOOKUP(fRealizado5[[#This Row],[Conta]],'Plano de Contas'!A:A,'Plano de Contas'!D:D)</f>
        <v>02 - Outras Receitas</v>
      </c>
    </row>
    <row r="1596" spans="1:5" hidden="1" x14ac:dyDescent="0.25">
      <c r="A1596" s="23">
        <f t="shared" si="23"/>
        <v>43800</v>
      </c>
      <c r="B1596" s="5" t="s">
        <v>105</v>
      </c>
      <c r="C1596" s="5">
        <v>280984</v>
      </c>
      <c r="D1596" s="5" t="str">
        <f>_xlfn.XLOOKUP(fRealizado5[[#This Row],[Conta]],'Plano de Contas'!A:A,'Plano de Contas'!C:C)</f>
        <v>(+) RECEITA BRUTA</v>
      </c>
      <c r="E1596" s="5" t="str">
        <f>_xlfn.XLOOKUP(fRealizado5[[#This Row],[Conta]],'Plano de Contas'!A:A,'Plano de Contas'!D:D)</f>
        <v>02 - Outras Receitas</v>
      </c>
    </row>
    <row r="1597" spans="1:5" hidden="1" x14ac:dyDescent="0.25">
      <c r="A1597" s="23">
        <f t="shared" si="23"/>
        <v>43800</v>
      </c>
      <c r="B1597" s="5" t="s">
        <v>106</v>
      </c>
      <c r="C1597" s="5">
        <v>138927</v>
      </c>
      <c r="D1597" s="5" t="str">
        <f>_xlfn.XLOOKUP(fRealizado5[[#This Row],[Conta]],'Plano de Contas'!A:A,'Plano de Contas'!C:C)</f>
        <v>(+) RECEITA BRUTA</v>
      </c>
      <c r="E1597" s="5" t="str">
        <f>_xlfn.XLOOKUP(fRealizado5[[#This Row],[Conta]],'Plano de Contas'!A:A,'Plano de Contas'!D:D)</f>
        <v>02 - Outras Receitas</v>
      </c>
    </row>
    <row r="1598" spans="1:5" hidden="1" x14ac:dyDescent="0.25">
      <c r="A1598" s="23">
        <f t="shared" si="23"/>
        <v>43800</v>
      </c>
      <c r="B1598" s="5" t="s">
        <v>107</v>
      </c>
      <c r="C1598" s="5">
        <v>121174</v>
      </c>
      <c r="D1598" s="5" t="str">
        <f>_xlfn.XLOOKUP(fRealizado5[[#This Row],[Conta]],'Plano de Contas'!A:A,'Plano de Contas'!C:C)</f>
        <v>(+) RECEITA BRUTA</v>
      </c>
      <c r="E1598" s="5" t="str">
        <f>_xlfn.XLOOKUP(fRealizado5[[#This Row],[Conta]],'Plano de Contas'!A:A,'Plano de Contas'!D:D)</f>
        <v>02 - Outras Receitas</v>
      </c>
    </row>
    <row r="1599" spans="1:5" hidden="1" x14ac:dyDescent="0.25">
      <c r="A1599" s="23">
        <f t="shared" si="23"/>
        <v>43800</v>
      </c>
      <c r="B1599" s="5" t="s">
        <v>108</v>
      </c>
      <c r="C1599" s="5">
        <v>95611</v>
      </c>
      <c r="D1599" s="5" t="str">
        <f>_xlfn.XLOOKUP(fRealizado5[[#This Row],[Conta]],'Plano de Contas'!A:A,'Plano de Contas'!C:C)</f>
        <v>(+) RECEITA BRUTA</v>
      </c>
      <c r="E1599" s="5" t="str">
        <f>_xlfn.XLOOKUP(fRealizado5[[#This Row],[Conta]],'Plano de Contas'!A:A,'Plano de Contas'!D:D)</f>
        <v>02 - Outras Receitas</v>
      </c>
    </row>
    <row r="1600" spans="1:5" hidden="1" x14ac:dyDescent="0.25">
      <c r="A1600" s="23">
        <f t="shared" si="23"/>
        <v>43800</v>
      </c>
      <c r="B1600" s="5" t="s">
        <v>109</v>
      </c>
      <c r="C1600" s="5">
        <v>193143</v>
      </c>
      <c r="D1600" s="5" t="str">
        <f>_xlfn.XLOOKUP(fRealizado5[[#This Row],[Conta]],'Plano de Contas'!A:A,'Plano de Contas'!C:C)</f>
        <v>(+) RECEITA BRUTA</v>
      </c>
      <c r="E1600" s="5" t="str">
        <f>_xlfn.XLOOKUP(fRealizado5[[#This Row],[Conta]],'Plano de Contas'!A:A,'Plano de Contas'!D:D)</f>
        <v>02 - Outras Receitas</v>
      </c>
    </row>
    <row r="1601" spans="1:5" hidden="1" x14ac:dyDescent="0.25">
      <c r="A1601" s="23">
        <f t="shared" si="23"/>
        <v>43800</v>
      </c>
      <c r="B1601" s="5" t="s">
        <v>110</v>
      </c>
      <c r="C1601" s="5">
        <v>-3421</v>
      </c>
      <c r="D1601" s="5" t="str">
        <f>_xlfn.XLOOKUP(fRealizado5[[#This Row],[Conta]],'Plano de Contas'!A:A,'Plano de Contas'!C:C)</f>
        <v>(-) Deduções da Receita</v>
      </c>
      <c r="E1601" s="5" t="str">
        <f>_xlfn.XLOOKUP(fRealizado5[[#This Row],[Conta]],'Plano de Contas'!A:A,'Plano de Contas'!D:D)</f>
        <v>03 - Devoluções de Produtos</v>
      </c>
    </row>
    <row r="1602" spans="1:5" hidden="1" x14ac:dyDescent="0.25">
      <c r="A1602" s="23">
        <f t="shared" si="23"/>
        <v>43800</v>
      </c>
      <c r="B1602" s="5" t="s">
        <v>111</v>
      </c>
      <c r="C1602" s="5">
        <v>-8960</v>
      </c>
      <c r="D1602" s="5" t="str">
        <f>_xlfn.XLOOKUP(fRealizado5[[#This Row],[Conta]],'Plano de Contas'!A:A,'Plano de Contas'!C:C)</f>
        <v>(-) Deduções da Receita</v>
      </c>
      <c r="E1602" s="5" t="str">
        <f>_xlfn.XLOOKUP(fRealizado5[[#This Row],[Conta]],'Plano de Contas'!A:A,'Plano de Contas'!D:D)</f>
        <v>03 - Devoluções de Produtos</v>
      </c>
    </row>
    <row r="1603" spans="1:5" hidden="1" x14ac:dyDescent="0.25">
      <c r="A1603" s="23">
        <f t="shared" si="23"/>
        <v>43800</v>
      </c>
      <c r="B1603" s="5" t="s">
        <v>112</v>
      </c>
      <c r="C1603" s="5">
        <v>-5590</v>
      </c>
      <c r="D1603" s="5" t="str">
        <f>_xlfn.XLOOKUP(fRealizado5[[#This Row],[Conta]],'Plano de Contas'!A:A,'Plano de Contas'!C:C)</f>
        <v>(-) Deduções da Receita</v>
      </c>
      <c r="E1603" s="5" t="str">
        <f>_xlfn.XLOOKUP(fRealizado5[[#This Row],[Conta]],'Plano de Contas'!A:A,'Plano de Contas'!D:D)</f>
        <v>03 - Devoluções de Produtos</v>
      </c>
    </row>
    <row r="1604" spans="1:5" hidden="1" x14ac:dyDescent="0.25">
      <c r="A1604" s="23">
        <f t="shared" si="23"/>
        <v>43800</v>
      </c>
      <c r="B1604" s="5" t="s">
        <v>113</v>
      </c>
      <c r="C1604" s="5">
        <v>-3889</v>
      </c>
      <c r="D1604" s="5" t="str">
        <f>_xlfn.XLOOKUP(fRealizado5[[#This Row],[Conta]],'Plano de Contas'!A:A,'Plano de Contas'!C:C)</f>
        <v>(-) Deduções da Receita</v>
      </c>
      <c r="E1604" s="5" t="str">
        <f>_xlfn.XLOOKUP(fRealizado5[[#This Row],[Conta]],'Plano de Contas'!A:A,'Plano de Contas'!D:D)</f>
        <v>03 - Devoluções de Produtos</v>
      </c>
    </row>
    <row r="1605" spans="1:5" hidden="1" x14ac:dyDescent="0.25">
      <c r="A1605" s="23">
        <f t="shared" si="23"/>
        <v>43800</v>
      </c>
      <c r="B1605" s="5" t="s">
        <v>114</v>
      </c>
      <c r="C1605" s="5">
        <v>-8230</v>
      </c>
      <c r="D1605" s="5" t="str">
        <f>_xlfn.XLOOKUP(fRealizado5[[#This Row],[Conta]],'Plano de Contas'!A:A,'Plano de Contas'!C:C)</f>
        <v>(-) Deduções da Receita</v>
      </c>
      <c r="E1605" s="5" t="str">
        <f>_xlfn.XLOOKUP(fRealizado5[[#This Row],[Conta]],'Plano de Contas'!A:A,'Plano de Contas'!D:D)</f>
        <v>03 - Devoluções de Produtos</v>
      </c>
    </row>
    <row r="1606" spans="1:5" hidden="1" x14ac:dyDescent="0.25">
      <c r="A1606" s="23">
        <f t="shared" si="23"/>
        <v>43800</v>
      </c>
      <c r="B1606" s="5" t="s">
        <v>115</v>
      </c>
      <c r="C1606" s="5">
        <v>-5399</v>
      </c>
      <c r="D1606" s="5" t="str">
        <f>_xlfn.XLOOKUP(fRealizado5[[#This Row],[Conta]],'Plano de Contas'!A:A,'Plano de Contas'!C:C)</f>
        <v>(-) Deduções da Receita</v>
      </c>
      <c r="E1606" s="5" t="str">
        <f>_xlfn.XLOOKUP(fRealizado5[[#This Row],[Conta]],'Plano de Contas'!A:A,'Plano de Contas'!D:D)</f>
        <v>03 - Devoluções de Produtos</v>
      </c>
    </row>
    <row r="1607" spans="1:5" hidden="1" x14ac:dyDescent="0.25">
      <c r="A1607" s="23">
        <f t="shared" si="23"/>
        <v>43800</v>
      </c>
      <c r="B1607" s="5" t="s">
        <v>116</v>
      </c>
      <c r="C1607" s="5">
        <v>-8717</v>
      </c>
      <c r="D1607" s="5" t="str">
        <f>_xlfn.XLOOKUP(fRealizado5[[#This Row],[Conta]],'Plano de Contas'!A:A,'Plano de Contas'!C:C)</f>
        <v>(-) Deduções da Receita</v>
      </c>
      <c r="E1607" s="5" t="str">
        <f>_xlfn.XLOOKUP(fRealizado5[[#This Row],[Conta]],'Plano de Contas'!A:A,'Plano de Contas'!D:D)</f>
        <v>03 - Devoluções de Produtos</v>
      </c>
    </row>
    <row r="1608" spans="1:5" hidden="1" x14ac:dyDescent="0.25">
      <c r="A1608" s="23">
        <f t="shared" ref="A1608:A1671" si="24">EDATE(A1468,1)</f>
        <v>43800</v>
      </c>
      <c r="B1608" s="5" t="s">
        <v>117</v>
      </c>
      <c r="C1608" s="5">
        <v>-3243</v>
      </c>
      <c r="D1608" s="5" t="str">
        <f>_xlfn.XLOOKUP(fRealizado5[[#This Row],[Conta]],'Plano de Contas'!A:A,'Plano de Contas'!C:C)</f>
        <v>(-) Deduções da Receita</v>
      </c>
      <c r="E1608" s="5" t="str">
        <f>_xlfn.XLOOKUP(fRealizado5[[#This Row],[Conta]],'Plano de Contas'!A:A,'Plano de Contas'!D:D)</f>
        <v>03 - Devoluções de Produtos</v>
      </c>
    </row>
    <row r="1609" spans="1:5" hidden="1" x14ac:dyDescent="0.25">
      <c r="A1609" s="23">
        <f t="shared" si="24"/>
        <v>43800</v>
      </c>
      <c r="B1609" s="5" t="s">
        <v>118</v>
      </c>
      <c r="C1609" s="5">
        <v>-3857</v>
      </c>
      <c r="D1609" s="5" t="str">
        <f>_xlfn.XLOOKUP(fRealizado5[[#This Row],[Conta]],'Plano de Contas'!A:A,'Plano de Contas'!C:C)</f>
        <v>(-) Deduções da Receita</v>
      </c>
      <c r="E1609" s="5" t="str">
        <f>_xlfn.XLOOKUP(fRealizado5[[#This Row],[Conta]],'Plano de Contas'!A:A,'Plano de Contas'!D:D)</f>
        <v>03 - Devoluções de Produtos</v>
      </c>
    </row>
    <row r="1610" spans="1:5" hidden="1" x14ac:dyDescent="0.25">
      <c r="A1610" s="23">
        <f t="shared" si="24"/>
        <v>43800</v>
      </c>
      <c r="B1610" s="5" t="s">
        <v>119</v>
      </c>
      <c r="C1610" s="5">
        <v>-6872</v>
      </c>
      <c r="D1610" s="5" t="str">
        <f>_xlfn.XLOOKUP(fRealizado5[[#This Row],[Conta]],'Plano de Contas'!A:A,'Plano de Contas'!C:C)</f>
        <v>(-) Deduções da Receita</v>
      </c>
      <c r="E1610" s="5" t="str">
        <f>_xlfn.XLOOKUP(fRealizado5[[#This Row],[Conta]],'Plano de Contas'!A:A,'Plano de Contas'!D:D)</f>
        <v>03 - Devoluções de Produtos</v>
      </c>
    </row>
    <row r="1611" spans="1:5" hidden="1" x14ac:dyDescent="0.25">
      <c r="A1611" s="23">
        <f t="shared" si="24"/>
        <v>43800</v>
      </c>
      <c r="B1611" s="5" t="s">
        <v>120</v>
      </c>
      <c r="C1611" s="5">
        <v>-1837</v>
      </c>
      <c r="D1611" s="5" t="str">
        <f>_xlfn.XLOOKUP(fRealizado5[[#This Row],[Conta]],'Plano de Contas'!A:A,'Plano de Contas'!C:C)</f>
        <v>(-) Deduções da Receita</v>
      </c>
      <c r="E1611" s="5" t="str">
        <f>_xlfn.XLOOKUP(fRealizado5[[#This Row],[Conta]],'Plano de Contas'!A:A,'Plano de Contas'!D:D)</f>
        <v>03 - Devoluções de Produtos</v>
      </c>
    </row>
    <row r="1612" spans="1:5" hidden="1" x14ac:dyDescent="0.25">
      <c r="A1612" s="23">
        <f t="shared" si="24"/>
        <v>43800</v>
      </c>
      <c r="B1612" s="5" t="s">
        <v>121</v>
      </c>
      <c r="C1612" s="5">
        <v>-1408</v>
      </c>
      <c r="D1612" s="5" t="str">
        <f>_xlfn.XLOOKUP(fRealizado5[[#This Row],[Conta]],'Plano de Contas'!A:A,'Plano de Contas'!C:C)</f>
        <v>(-) Deduções da Receita</v>
      </c>
      <c r="E1612" s="5" t="str">
        <f>_xlfn.XLOOKUP(fRealizado5[[#This Row],[Conta]],'Plano de Contas'!A:A,'Plano de Contas'!D:D)</f>
        <v>03 - Devoluções de Produtos</v>
      </c>
    </row>
    <row r="1613" spans="1:5" hidden="1" x14ac:dyDescent="0.25">
      <c r="A1613" s="23">
        <f t="shared" si="24"/>
        <v>43800</v>
      </c>
      <c r="B1613" s="5" t="s">
        <v>122</v>
      </c>
      <c r="C1613" s="5">
        <v>-2042</v>
      </c>
      <c r="D1613" s="5" t="str">
        <f>_xlfn.XLOOKUP(fRealizado5[[#This Row],[Conta]],'Plano de Contas'!A:A,'Plano de Contas'!C:C)</f>
        <v>(-) Deduções da Receita</v>
      </c>
      <c r="E1613" s="5" t="str">
        <f>_xlfn.XLOOKUP(fRealizado5[[#This Row],[Conta]],'Plano de Contas'!A:A,'Plano de Contas'!D:D)</f>
        <v>03 - Devoluções de Produtos</v>
      </c>
    </row>
    <row r="1614" spans="1:5" hidden="1" x14ac:dyDescent="0.25">
      <c r="A1614" s="23">
        <f t="shared" si="24"/>
        <v>43800</v>
      </c>
      <c r="B1614" s="5" t="s">
        <v>123</v>
      </c>
      <c r="C1614" s="5">
        <v>-3532</v>
      </c>
      <c r="D1614" s="5" t="str">
        <f>_xlfn.XLOOKUP(fRealizado5[[#This Row],[Conta]],'Plano de Contas'!A:A,'Plano de Contas'!C:C)</f>
        <v>(-) Deduções da Receita</v>
      </c>
      <c r="E1614" s="5" t="str">
        <f>_xlfn.XLOOKUP(fRealizado5[[#This Row],[Conta]],'Plano de Contas'!A:A,'Plano de Contas'!D:D)</f>
        <v>03 - Devoluções de Produtos</v>
      </c>
    </row>
    <row r="1615" spans="1:5" hidden="1" x14ac:dyDescent="0.25">
      <c r="A1615" s="23">
        <f t="shared" si="24"/>
        <v>43800</v>
      </c>
      <c r="B1615" s="5" t="s">
        <v>124</v>
      </c>
      <c r="C1615" s="5">
        <v>-4590</v>
      </c>
      <c r="D1615" s="5" t="str">
        <f>_xlfn.XLOOKUP(fRealizado5[[#This Row],[Conta]],'Plano de Contas'!A:A,'Plano de Contas'!C:C)</f>
        <v>(-) Deduções da Receita</v>
      </c>
      <c r="E1615" s="5" t="str">
        <f>_xlfn.XLOOKUP(fRealizado5[[#This Row],[Conta]],'Plano de Contas'!A:A,'Plano de Contas'!D:D)</f>
        <v>03 - Devoluções de Produtos</v>
      </c>
    </row>
    <row r="1616" spans="1:5" hidden="1" x14ac:dyDescent="0.25">
      <c r="A1616" s="23">
        <f t="shared" si="24"/>
        <v>43800</v>
      </c>
      <c r="B1616" s="5" t="s">
        <v>125</v>
      </c>
      <c r="C1616" s="5">
        <v>-9836</v>
      </c>
      <c r="D1616" s="5" t="str">
        <f>_xlfn.XLOOKUP(fRealizado5[[#This Row],[Conta]],'Plano de Contas'!A:A,'Plano de Contas'!C:C)</f>
        <v>(-) Deduções da Receita</v>
      </c>
      <c r="E1616" s="5" t="str">
        <f>_xlfn.XLOOKUP(fRealizado5[[#This Row],[Conta]],'Plano de Contas'!A:A,'Plano de Contas'!D:D)</f>
        <v>03 - Devoluções de Produtos</v>
      </c>
    </row>
    <row r="1617" spans="1:5" hidden="1" x14ac:dyDescent="0.25">
      <c r="A1617" s="23">
        <f t="shared" si="24"/>
        <v>43800</v>
      </c>
      <c r="B1617" s="5" t="s">
        <v>126</v>
      </c>
      <c r="C1617" s="5">
        <v>-1942</v>
      </c>
      <c r="D1617" s="5" t="str">
        <f>_xlfn.XLOOKUP(fRealizado5[[#This Row],[Conta]],'Plano de Contas'!A:A,'Plano de Contas'!C:C)</f>
        <v>(-) Deduções da Receita</v>
      </c>
      <c r="E1617" s="5" t="str">
        <f>_xlfn.XLOOKUP(fRealizado5[[#This Row],[Conta]],'Plano de Contas'!A:A,'Plano de Contas'!D:D)</f>
        <v>03 - Devoluções de Produtos</v>
      </c>
    </row>
    <row r="1618" spans="1:5" hidden="1" x14ac:dyDescent="0.25">
      <c r="A1618" s="23">
        <f t="shared" si="24"/>
        <v>43800</v>
      </c>
      <c r="B1618" s="5" t="s">
        <v>127</v>
      </c>
      <c r="C1618" s="5">
        <v>-1883</v>
      </c>
      <c r="D1618" s="5" t="str">
        <f>_xlfn.XLOOKUP(fRealizado5[[#This Row],[Conta]],'Plano de Contas'!A:A,'Plano de Contas'!C:C)</f>
        <v>(-) Deduções da Receita</v>
      </c>
      <c r="E1618" s="5" t="str">
        <f>_xlfn.XLOOKUP(fRealizado5[[#This Row],[Conta]],'Plano de Contas'!A:A,'Plano de Contas'!D:D)</f>
        <v>03 - Devoluções de Produtos</v>
      </c>
    </row>
    <row r="1619" spans="1:5" hidden="1" x14ac:dyDescent="0.25">
      <c r="A1619" s="23">
        <f t="shared" si="24"/>
        <v>43800</v>
      </c>
      <c r="B1619" s="5" t="s">
        <v>128</v>
      </c>
      <c r="C1619" s="5">
        <v>-9800</v>
      </c>
      <c r="D1619" s="5" t="str">
        <f>_xlfn.XLOOKUP(fRealizado5[[#This Row],[Conta]],'Plano de Contas'!A:A,'Plano de Contas'!C:C)</f>
        <v>(-) Deduções da Receita</v>
      </c>
      <c r="E1619" s="5" t="str">
        <f>_xlfn.XLOOKUP(fRealizado5[[#This Row],[Conta]],'Plano de Contas'!A:A,'Plano de Contas'!D:D)</f>
        <v>03 - Devoluções de Produtos</v>
      </c>
    </row>
    <row r="1620" spans="1:5" hidden="1" x14ac:dyDescent="0.25">
      <c r="A1620" s="23">
        <f t="shared" si="24"/>
        <v>43800</v>
      </c>
      <c r="B1620" s="5" t="s">
        <v>129</v>
      </c>
      <c r="C1620" s="5">
        <v>-4342</v>
      </c>
      <c r="D1620" s="5" t="str">
        <f>_xlfn.XLOOKUP(fRealizado5[[#This Row],[Conta]],'Plano de Contas'!A:A,'Plano de Contas'!C:C)</f>
        <v>(-) Deduções da Receita</v>
      </c>
      <c r="E1620" s="5" t="str">
        <f>_xlfn.XLOOKUP(fRealizado5[[#This Row],[Conta]],'Plano de Contas'!A:A,'Plano de Contas'!D:D)</f>
        <v>03 - Devoluções de Produtos</v>
      </c>
    </row>
    <row r="1621" spans="1:5" hidden="1" x14ac:dyDescent="0.25">
      <c r="A1621" s="23">
        <f t="shared" si="24"/>
        <v>43800</v>
      </c>
      <c r="B1621" s="5" t="s">
        <v>130</v>
      </c>
      <c r="C1621" s="5">
        <v>-7035</v>
      </c>
      <c r="D1621" s="5" t="str">
        <f>_xlfn.XLOOKUP(fRealizado5[[#This Row],[Conta]],'Plano de Contas'!A:A,'Plano de Contas'!C:C)</f>
        <v>(-) Deduções da Receita</v>
      </c>
      <c r="E1621" s="5" t="str">
        <f>_xlfn.XLOOKUP(fRealizado5[[#This Row],[Conta]],'Plano de Contas'!A:A,'Plano de Contas'!D:D)</f>
        <v>03 - Devoluções de Produtos</v>
      </c>
    </row>
    <row r="1622" spans="1:5" hidden="1" x14ac:dyDescent="0.25">
      <c r="A1622" s="23">
        <f t="shared" si="24"/>
        <v>43800</v>
      </c>
      <c r="B1622" s="5" t="s">
        <v>131</v>
      </c>
      <c r="C1622" s="5">
        <v>-6753</v>
      </c>
      <c r="D1622" s="5" t="str">
        <f>_xlfn.XLOOKUP(fRealizado5[[#This Row],[Conta]],'Plano de Contas'!A:A,'Plano de Contas'!C:C)</f>
        <v>(-) Deduções da Receita</v>
      </c>
      <c r="E1622" s="5" t="str">
        <f>_xlfn.XLOOKUP(fRealizado5[[#This Row],[Conta]],'Plano de Contas'!A:A,'Plano de Contas'!D:D)</f>
        <v>03 - Devoluções de Produtos</v>
      </c>
    </row>
    <row r="1623" spans="1:5" hidden="1" x14ac:dyDescent="0.25">
      <c r="A1623" s="23">
        <f t="shared" si="24"/>
        <v>43800</v>
      </c>
      <c r="B1623" s="5" t="s">
        <v>132</v>
      </c>
      <c r="C1623" s="5">
        <v>-8986</v>
      </c>
      <c r="D1623" s="5" t="str">
        <f>_xlfn.XLOOKUP(fRealizado5[[#This Row],[Conta]],'Plano de Contas'!A:A,'Plano de Contas'!C:C)</f>
        <v>(-) Deduções da Receita</v>
      </c>
      <c r="E1623" s="5" t="str">
        <f>_xlfn.XLOOKUP(fRealizado5[[#This Row],[Conta]],'Plano de Contas'!A:A,'Plano de Contas'!D:D)</f>
        <v>03 - Devoluções de Produtos</v>
      </c>
    </row>
    <row r="1624" spans="1:5" hidden="1" x14ac:dyDescent="0.25">
      <c r="A1624" s="23">
        <f t="shared" si="24"/>
        <v>43800</v>
      </c>
      <c r="B1624" s="5" t="s">
        <v>133</v>
      </c>
      <c r="C1624" s="5">
        <v>-4507</v>
      </c>
      <c r="D1624" s="5" t="str">
        <f>_xlfn.XLOOKUP(fRealizado5[[#This Row],[Conta]],'Plano de Contas'!A:A,'Plano de Contas'!C:C)</f>
        <v>(-) Deduções da Receita</v>
      </c>
      <c r="E1624" s="5" t="str">
        <f>_xlfn.XLOOKUP(fRealizado5[[#This Row],[Conta]],'Plano de Contas'!A:A,'Plano de Contas'!D:D)</f>
        <v>03 - Devoluções de Produtos</v>
      </c>
    </row>
    <row r="1625" spans="1:5" hidden="1" x14ac:dyDescent="0.25">
      <c r="A1625" s="23">
        <f t="shared" si="24"/>
        <v>43800</v>
      </c>
      <c r="B1625" s="5" t="s">
        <v>134</v>
      </c>
      <c r="C1625" s="5">
        <v>-4776</v>
      </c>
      <c r="D1625" s="5" t="str">
        <f>_xlfn.XLOOKUP(fRealizado5[[#This Row],[Conta]],'Plano de Contas'!A:A,'Plano de Contas'!C:C)</f>
        <v>(-) Deduções da Receita</v>
      </c>
      <c r="E1625" s="5" t="str">
        <f>_xlfn.XLOOKUP(fRealizado5[[#This Row],[Conta]],'Plano de Contas'!A:A,'Plano de Contas'!D:D)</f>
        <v>03 - Devoluções de Produtos</v>
      </c>
    </row>
    <row r="1626" spans="1:5" hidden="1" x14ac:dyDescent="0.25">
      <c r="A1626" s="23">
        <f t="shared" si="24"/>
        <v>43800</v>
      </c>
      <c r="B1626" s="5" t="s">
        <v>135</v>
      </c>
      <c r="C1626" s="5">
        <v>-3342</v>
      </c>
      <c r="D1626" s="5" t="str">
        <f>_xlfn.XLOOKUP(fRealizado5[[#This Row],[Conta]],'Plano de Contas'!A:A,'Plano de Contas'!C:C)</f>
        <v>(-) Deduções da Receita</v>
      </c>
      <c r="E1626" s="5" t="str">
        <f>_xlfn.XLOOKUP(fRealizado5[[#This Row],[Conta]],'Plano de Contas'!A:A,'Plano de Contas'!D:D)</f>
        <v>03 - Devoluções de Produtos</v>
      </c>
    </row>
    <row r="1627" spans="1:5" hidden="1" x14ac:dyDescent="0.25">
      <c r="A1627" s="23">
        <f t="shared" si="24"/>
        <v>43800</v>
      </c>
      <c r="B1627" s="5" t="s">
        <v>136</v>
      </c>
      <c r="C1627" s="5">
        <v>-9483</v>
      </c>
      <c r="D1627" s="5" t="str">
        <f>_xlfn.XLOOKUP(fRealizado5[[#This Row],[Conta]],'Plano de Contas'!A:A,'Plano de Contas'!C:C)</f>
        <v>(-) Deduções da Receita</v>
      </c>
      <c r="E1627" s="5" t="str">
        <f>_xlfn.XLOOKUP(fRealizado5[[#This Row],[Conta]],'Plano de Contas'!A:A,'Plano de Contas'!D:D)</f>
        <v>04 - Taxas de Serviço</v>
      </c>
    </row>
    <row r="1628" spans="1:5" hidden="1" x14ac:dyDescent="0.25">
      <c r="A1628" s="23">
        <f t="shared" si="24"/>
        <v>43800</v>
      </c>
      <c r="B1628" s="5" t="s">
        <v>137</v>
      </c>
      <c r="C1628" s="5">
        <v>-9944</v>
      </c>
      <c r="D1628" s="5" t="str">
        <f>_xlfn.XLOOKUP(fRealizado5[[#This Row],[Conta]],'Plano de Contas'!A:A,'Plano de Contas'!C:C)</f>
        <v>(-) Deduções da Receita</v>
      </c>
      <c r="E1628" s="5" t="str">
        <f>_xlfn.XLOOKUP(fRealizado5[[#This Row],[Conta]],'Plano de Contas'!A:A,'Plano de Contas'!D:D)</f>
        <v>04 - Taxas de Serviço</v>
      </c>
    </row>
    <row r="1629" spans="1:5" hidden="1" x14ac:dyDescent="0.25">
      <c r="A1629" s="23">
        <f t="shared" si="24"/>
        <v>43800</v>
      </c>
      <c r="B1629" s="5" t="s">
        <v>138</v>
      </c>
      <c r="C1629" s="5">
        <v>-8384</v>
      </c>
      <c r="D1629" s="5" t="str">
        <f>_xlfn.XLOOKUP(fRealizado5[[#This Row],[Conta]],'Plano de Contas'!A:A,'Plano de Contas'!C:C)</f>
        <v>(-) Deduções da Receita</v>
      </c>
      <c r="E1629" s="5" t="str">
        <f>_xlfn.XLOOKUP(fRealizado5[[#This Row],[Conta]],'Plano de Contas'!A:A,'Plano de Contas'!D:D)</f>
        <v>04 - Taxas de Serviço</v>
      </c>
    </row>
    <row r="1630" spans="1:5" hidden="1" x14ac:dyDescent="0.25">
      <c r="A1630" s="23">
        <f t="shared" si="24"/>
        <v>43800</v>
      </c>
      <c r="B1630" s="5" t="s">
        <v>139</v>
      </c>
      <c r="C1630" s="5">
        <v>-7827</v>
      </c>
      <c r="D1630" s="5" t="str">
        <f>_xlfn.XLOOKUP(fRealizado5[[#This Row],[Conta]],'Plano de Contas'!A:A,'Plano de Contas'!C:C)</f>
        <v>(-) Deduções da Receita</v>
      </c>
      <c r="E1630" s="5" t="str">
        <f>_xlfn.XLOOKUP(fRealizado5[[#This Row],[Conta]],'Plano de Contas'!A:A,'Plano de Contas'!D:D)</f>
        <v>04 - Taxas de Serviço</v>
      </c>
    </row>
    <row r="1631" spans="1:5" hidden="1" x14ac:dyDescent="0.25">
      <c r="A1631" s="23">
        <f t="shared" si="24"/>
        <v>43800</v>
      </c>
      <c r="B1631" s="5" t="s">
        <v>140</v>
      </c>
      <c r="C1631" s="5">
        <v>-145995</v>
      </c>
      <c r="D1631" s="5" t="str">
        <f>_xlfn.XLOOKUP(fRealizado5[[#This Row],[Conta]],'Plano de Contas'!A:A,'Plano de Contas'!C:C)</f>
        <v>(-) Custos de Vendas</v>
      </c>
      <c r="E1631" s="5" t="str">
        <f>_xlfn.XLOOKUP(fRealizado5[[#This Row],[Conta]],'Plano de Contas'!A:A,'Plano de Contas'!D:D)</f>
        <v>05 - Custo do Produto</v>
      </c>
    </row>
    <row r="1632" spans="1:5" hidden="1" x14ac:dyDescent="0.25">
      <c r="A1632" s="23">
        <f t="shared" si="24"/>
        <v>43800</v>
      </c>
      <c r="B1632" s="5" t="s">
        <v>141</v>
      </c>
      <c r="C1632" s="5">
        <v>-227175</v>
      </c>
      <c r="D1632" s="5" t="str">
        <f>_xlfn.XLOOKUP(fRealizado5[[#This Row],[Conta]],'Plano de Contas'!A:A,'Plano de Contas'!C:C)</f>
        <v>(-) Custos de Vendas</v>
      </c>
      <c r="E1632" s="5" t="str">
        <f>_xlfn.XLOOKUP(fRealizado5[[#This Row],[Conta]],'Plano de Contas'!A:A,'Plano de Contas'!D:D)</f>
        <v>05 - Custo do Produto</v>
      </c>
    </row>
    <row r="1633" spans="1:5" hidden="1" x14ac:dyDescent="0.25">
      <c r="A1633" s="23">
        <f t="shared" si="24"/>
        <v>43800</v>
      </c>
      <c r="B1633" s="5" t="s">
        <v>142</v>
      </c>
      <c r="C1633" s="5">
        <v>-131213</v>
      </c>
      <c r="D1633" s="5" t="str">
        <f>_xlfn.XLOOKUP(fRealizado5[[#This Row],[Conta]],'Plano de Contas'!A:A,'Plano de Contas'!C:C)</f>
        <v>(-) Custos de Vendas</v>
      </c>
      <c r="E1633" s="5" t="str">
        <f>_xlfn.XLOOKUP(fRealizado5[[#This Row],[Conta]],'Plano de Contas'!A:A,'Plano de Contas'!D:D)</f>
        <v>05 - Custo do Produto</v>
      </c>
    </row>
    <row r="1634" spans="1:5" hidden="1" x14ac:dyDescent="0.25">
      <c r="A1634" s="23">
        <f t="shared" si="24"/>
        <v>43800</v>
      </c>
      <c r="B1634" s="5" t="s">
        <v>143</v>
      </c>
      <c r="C1634" s="5">
        <v>-153560</v>
      </c>
      <c r="D1634" s="5" t="str">
        <f>_xlfn.XLOOKUP(fRealizado5[[#This Row],[Conta]],'Plano de Contas'!A:A,'Plano de Contas'!C:C)</f>
        <v>(-) Custos de Vendas</v>
      </c>
      <c r="E1634" s="5" t="str">
        <f>_xlfn.XLOOKUP(fRealizado5[[#This Row],[Conta]],'Plano de Contas'!A:A,'Plano de Contas'!D:D)</f>
        <v>05 - Custo do Produto</v>
      </c>
    </row>
    <row r="1635" spans="1:5" hidden="1" x14ac:dyDescent="0.25">
      <c r="A1635" s="23">
        <f t="shared" si="24"/>
        <v>43800</v>
      </c>
      <c r="B1635" s="5" t="s">
        <v>144</v>
      </c>
      <c r="C1635" s="5">
        <v>-120169</v>
      </c>
      <c r="D1635" s="5" t="str">
        <f>_xlfn.XLOOKUP(fRealizado5[[#This Row],[Conta]],'Plano de Contas'!A:A,'Plano de Contas'!C:C)</f>
        <v>(-) Custos de Vendas</v>
      </c>
      <c r="E1635" s="5" t="str">
        <f>_xlfn.XLOOKUP(fRealizado5[[#This Row],[Conta]],'Plano de Contas'!A:A,'Plano de Contas'!D:D)</f>
        <v>05 - Custo do Produto</v>
      </c>
    </row>
    <row r="1636" spans="1:5" hidden="1" x14ac:dyDescent="0.25">
      <c r="A1636" s="23">
        <f t="shared" si="24"/>
        <v>43800</v>
      </c>
      <c r="B1636" s="5" t="s">
        <v>145</v>
      </c>
      <c r="C1636" s="5">
        <v>-244738</v>
      </c>
      <c r="D1636" s="5" t="str">
        <f>_xlfn.XLOOKUP(fRealizado5[[#This Row],[Conta]],'Plano de Contas'!A:A,'Plano de Contas'!C:C)</f>
        <v>(-) Custos de Vendas</v>
      </c>
      <c r="E1636" s="5" t="str">
        <f>_xlfn.XLOOKUP(fRealizado5[[#This Row],[Conta]],'Plano de Contas'!A:A,'Plano de Contas'!D:D)</f>
        <v>05 - Custo do Produto</v>
      </c>
    </row>
    <row r="1637" spans="1:5" hidden="1" x14ac:dyDescent="0.25">
      <c r="A1637" s="23">
        <f t="shared" si="24"/>
        <v>43800</v>
      </c>
      <c r="B1637" s="5" t="s">
        <v>146</v>
      </c>
      <c r="C1637" s="5">
        <v>-293621</v>
      </c>
      <c r="D1637" s="5" t="str">
        <f>_xlfn.XLOOKUP(fRealizado5[[#This Row],[Conta]],'Plano de Contas'!A:A,'Plano de Contas'!C:C)</f>
        <v>(-) Custos de Vendas</v>
      </c>
      <c r="E1637" s="5" t="str">
        <f>_xlfn.XLOOKUP(fRealizado5[[#This Row],[Conta]],'Plano de Contas'!A:A,'Plano de Contas'!D:D)</f>
        <v>05 - Custo do Produto</v>
      </c>
    </row>
    <row r="1638" spans="1:5" hidden="1" x14ac:dyDescent="0.25">
      <c r="A1638" s="23">
        <f t="shared" si="24"/>
        <v>43800</v>
      </c>
      <c r="B1638" s="5" t="s">
        <v>147</v>
      </c>
      <c r="C1638" s="5">
        <v>-228867</v>
      </c>
      <c r="D1638" s="5" t="str">
        <f>_xlfn.XLOOKUP(fRealizado5[[#This Row],[Conta]],'Plano de Contas'!A:A,'Plano de Contas'!C:C)</f>
        <v>(-) Custos de Vendas</v>
      </c>
      <c r="E1638" s="5" t="str">
        <f>_xlfn.XLOOKUP(fRealizado5[[#This Row],[Conta]],'Plano de Contas'!A:A,'Plano de Contas'!D:D)</f>
        <v>05 - Custo do Produto</v>
      </c>
    </row>
    <row r="1639" spans="1:5" hidden="1" x14ac:dyDescent="0.25">
      <c r="A1639" s="23">
        <f t="shared" si="24"/>
        <v>43800</v>
      </c>
      <c r="B1639" s="5" t="s">
        <v>148</v>
      </c>
      <c r="C1639" s="5">
        <v>-106815</v>
      </c>
      <c r="D1639" s="5" t="str">
        <f>_xlfn.XLOOKUP(fRealizado5[[#This Row],[Conta]],'Plano de Contas'!A:A,'Plano de Contas'!C:C)</f>
        <v>(-) Custos de Vendas</v>
      </c>
      <c r="E1639" s="5" t="str">
        <f>_xlfn.XLOOKUP(fRealizado5[[#This Row],[Conta]],'Plano de Contas'!A:A,'Plano de Contas'!D:D)</f>
        <v>05 - Custo do Produto</v>
      </c>
    </row>
    <row r="1640" spans="1:5" hidden="1" x14ac:dyDescent="0.25">
      <c r="A1640" s="23">
        <f t="shared" si="24"/>
        <v>43800</v>
      </c>
      <c r="B1640" s="5" t="s">
        <v>149</v>
      </c>
      <c r="C1640" s="5">
        <v>-249627</v>
      </c>
      <c r="D1640" s="5" t="str">
        <f>_xlfn.XLOOKUP(fRealizado5[[#This Row],[Conta]],'Plano de Contas'!A:A,'Plano de Contas'!C:C)</f>
        <v>(-) Custos de Vendas</v>
      </c>
      <c r="E1640" s="5" t="str">
        <f>_xlfn.XLOOKUP(fRealizado5[[#This Row],[Conta]],'Plano de Contas'!A:A,'Plano de Contas'!D:D)</f>
        <v>05 - Custo do Produto</v>
      </c>
    </row>
    <row r="1641" spans="1:5" hidden="1" x14ac:dyDescent="0.25">
      <c r="A1641" s="23">
        <f t="shared" si="24"/>
        <v>43800</v>
      </c>
      <c r="B1641" s="5" t="s">
        <v>150</v>
      </c>
      <c r="C1641" s="5">
        <v>-151377</v>
      </c>
      <c r="D1641" s="5" t="str">
        <f>_xlfn.XLOOKUP(fRealizado5[[#This Row],[Conta]],'Plano de Contas'!A:A,'Plano de Contas'!C:C)</f>
        <v>(-) Custos de Vendas</v>
      </c>
      <c r="E1641" s="5" t="str">
        <f>_xlfn.XLOOKUP(fRealizado5[[#This Row],[Conta]],'Plano de Contas'!A:A,'Plano de Contas'!D:D)</f>
        <v>05 - Custo do Produto</v>
      </c>
    </row>
    <row r="1642" spans="1:5" hidden="1" x14ac:dyDescent="0.25">
      <c r="A1642" s="23">
        <f t="shared" si="24"/>
        <v>43800</v>
      </c>
      <c r="B1642" s="5" t="s">
        <v>151</v>
      </c>
      <c r="C1642" s="5">
        <v>-80241</v>
      </c>
      <c r="D1642" s="5" t="str">
        <f>_xlfn.XLOOKUP(fRealizado5[[#This Row],[Conta]],'Plano de Contas'!A:A,'Plano de Contas'!C:C)</f>
        <v>(-) Custos de Vendas</v>
      </c>
      <c r="E1642" s="5" t="str">
        <f>_xlfn.XLOOKUP(fRealizado5[[#This Row],[Conta]],'Plano de Contas'!A:A,'Plano de Contas'!D:D)</f>
        <v>05 - Custo do Produto</v>
      </c>
    </row>
    <row r="1643" spans="1:5" hidden="1" x14ac:dyDescent="0.25">
      <c r="A1643" s="23">
        <f t="shared" si="24"/>
        <v>43800</v>
      </c>
      <c r="B1643" s="5" t="s">
        <v>152</v>
      </c>
      <c r="C1643" s="5">
        <v>-230504</v>
      </c>
      <c r="D1643" s="5" t="str">
        <f>_xlfn.XLOOKUP(fRealizado5[[#This Row],[Conta]],'Plano de Contas'!A:A,'Plano de Contas'!C:C)</f>
        <v>(-) Custos de Vendas</v>
      </c>
      <c r="E1643" s="5" t="str">
        <f>_xlfn.XLOOKUP(fRealizado5[[#This Row],[Conta]],'Plano de Contas'!A:A,'Plano de Contas'!D:D)</f>
        <v>05 - Custo do Produto</v>
      </c>
    </row>
    <row r="1644" spans="1:5" hidden="1" x14ac:dyDescent="0.25">
      <c r="A1644" s="23">
        <f t="shared" si="24"/>
        <v>43800</v>
      </c>
      <c r="B1644" s="5" t="s">
        <v>153</v>
      </c>
      <c r="C1644" s="5">
        <v>-182149</v>
      </c>
      <c r="D1644" s="5" t="str">
        <f>_xlfn.XLOOKUP(fRealizado5[[#This Row],[Conta]],'Plano de Contas'!A:A,'Plano de Contas'!C:C)</f>
        <v>(-) Custos de Vendas</v>
      </c>
      <c r="E1644" s="5" t="str">
        <f>_xlfn.XLOOKUP(fRealizado5[[#This Row],[Conta]],'Plano de Contas'!A:A,'Plano de Contas'!D:D)</f>
        <v>05 - Custo do Produto</v>
      </c>
    </row>
    <row r="1645" spans="1:5" hidden="1" x14ac:dyDescent="0.25">
      <c r="A1645" s="23">
        <f t="shared" si="24"/>
        <v>43800</v>
      </c>
      <c r="B1645" s="5" t="s">
        <v>154</v>
      </c>
      <c r="C1645" s="5">
        <v>-156248</v>
      </c>
      <c r="D1645" s="5" t="str">
        <f>_xlfn.XLOOKUP(fRealizado5[[#This Row],[Conta]],'Plano de Contas'!A:A,'Plano de Contas'!C:C)</f>
        <v>(-) Custos de Vendas</v>
      </c>
      <c r="E1645" s="5" t="str">
        <f>_xlfn.XLOOKUP(fRealizado5[[#This Row],[Conta]],'Plano de Contas'!A:A,'Plano de Contas'!D:D)</f>
        <v>05 - Custo do Produto</v>
      </c>
    </row>
    <row r="1646" spans="1:5" hidden="1" x14ac:dyDescent="0.25">
      <c r="A1646" s="23">
        <f t="shared" si="24"/>
        <v>43800</v>
      </c>
      <c r="B1646" s="5" t="s">
        <v>155</v>
      </c>
      <c r="C1646" s="5">
        <v>-182492</v>
      </c>
      <c r="D1646" s="5" t="str">
        <f>_xlfn.XLOOKUP(fRealizado5[[#This Row],[Conta]],'Plano de Contas'!A:A,'Plano de Contas'!C:C)</f>
        <v>(-) Custos de Vendas</v>
      </c>
      <c r="E1646" s="5" t="str">
        <f>_xlfn.XLOOKUP(fRealizado5[[#This Row],[Conta]],'Plano de Contas'!A:A,'Plano de Contas'!D:D)</f>
        <v>05 - Custo do Produto</v>
      </c>
    </row>
    <row r="1647" spans="1:5" hidden="1" x14ac:dyDescent="0.25">
      <c r="A1647" s="23">
        <f t="shared" si="24"/>
        <v>43800</v>
      </c>
      <c r="B1647" s="5" t="s">
        <v>156</v>
      </c>
      <c r="C1647" s="5">
        <v>-122879</v>
      </c>
      <c r="D1647" s="5" t="str">
        <f>_xlfn.XLOOKUP(fRealizado5[[#This Row],[Conta]],'Plano de Contas'!A:A,'Plano de Contas'!C:C)</f>
        <v>(-) Custos de Vendas</v>
      </c>
      <c r="E1647" s="5" t="str">
        <f>_xlfn.XLOOKUP(fRealizado5[[#This Row],[Conta]],'Plano de Contas'!A:A,'Plano de Contas'!D:D)</f>
        <v>05 - Custo do Produto</v>
      </c>
    </row>
    <row r="1648" spans="1:5" hidden="1" x14ac:dyDescent="0.25">
      <c r="A1648" s="23">
        <f t="shared" si="24"/>
        <v>43800</v>
      </c>
      <c r="B1648" s="5" t="s">
        <v>157</v>
      </c>
      <c r="C1648" s="5">
        <v>-149583</v>
      </c>
      <c r="D1648" s="5" t="str">
        <f>_xlfn.XLOOKUP(fRealizado5[[#This Row],[Conta]],'Plano de Contas'!A:A,'Plano de Contas'!C:C)</f>
        <v>(-) Custos de Vendas</v>
      </c>
      <c r="E1648" s="5" t="str">
        <f>_xlfn.XLOOKUP(fRealizado5[[#This Row],[Conta]],'Plano de Contas'!A:A,'Plano de Contas'!D:D)</f>
        <v>05 - Custo do Produto</v>
      </c>
    </row>
    <row r="1649" spans="1:5" hidden="1" x14ac:dyDescent="0.25">
      <c r="A1649" s="23">
        <f t="shared" si="24"/>
        <v>43800</v>
      </c>
      <c r="B1649" s="5" t="s">
        <v>158</v>
      </c>
      <c r="C1649" s="5">
        <v>-255450</v>
      </c>
      <c r="D1649" s="5" t="str">
        <f>_xlfn.XLOOKUP(fRealizado5[[#This Row],[Conta]],'Plano de Contas'!A:A,'Plano de Contas'!C:C)</f>
        <v>(-) Custos de Vendas</v>
      </c>
      <c r="E1649" s="5" t="str">
        <f>_xlfn.XLOOKUP(fRealizado5[[#This Row],[Conta]],'Plano de Contas'!A:A,'Plano de Contas'!D:D)</f>
        <v>05 - Custo do Produto</v>
      </c>
    </row>
    <row r="1650" spans="1:5" hidden="1" x14ac:dyDescent="0.25">
      <c r="A1650" s="23">
        <f t="shared" si="24"/>
        <v>43800</v>
      </c>
      <c r="B1650" s="5" t="s">
        <v>159</v>
      </c>
      <c r="C1650" s="5">
        <v>-273019</v>
      </c>
      <c r="D1650" s="5" t="str">
        <f>_xlfn.XLOOKUP(fRealizado5[[#This Row],[Conta]],'Plano de Contas'!A:A,'Plano de Contas'!C:C)</f>
        <v>(-) Custos de Vendas</v>
      </c>
      <c r="E1650" s="5" t="str">
        <f>_xlfn.XLOOKUP(fRealizado5[[#This Row],[Conta]],'Plano de Contas'!A:A,'Plano de Contas'!D:D)</f>
        <v>05 - Custo do Produto</v>
      </c>
    </row>
    <row r="1651" spans="1:5" hidden="1" x14ac:dyDescent="0.25">
      <c r="A1651" s="23">
        <f t="shared" si="24"/>
        <v>43800</v>
      </c>
      <c r="B1651" s="5" t="s">
        <v>160</v>
      </c>
      <c r="C1651" s="5">
        <v>-196840</v>
      </c>
      <c r="D1651" s="5" t="str">
        <f>_xlfn.XLOOKUP(fRealizado5[[#This Row],[Conta]],'Plano de Contas'!A:A,'Plano de Contas'!C:C)</f>
        <v>(-) Custos de Vendas</v>
      </c>
      <c r="E1651" s="5" t="str">
        <f>_xlfn.XLOOKUP(fRealizado5[[#This Row],[Conta]],'Plano de Contas'!A:A,'Plano de Contas'!D:D)</f>
        <v>05 - Custo do Produto</v>
      </c>
    </row>
    <row r="1652" spans="1:5" hidden="1" x14ac:dyDescent="0.25">
      <c r="A1652" s="23">
        <f t="shared" si="24"/>
        <v>43800</v>
      </c>
      <c r="B1652" s="5" t="s">
        <v>161</v>
      </c>
      <c r="C1652" s="5">
        <v>-116347</v>
      </c>
      <c r="D1652" s="5" t="str">
        <f>_xlfn.XLOOKUP(fRealizado5[[#This Row],[Conta]],'Plano de Contas'!A:A,'Plano de Contas'!C:C)</f>
        <v>(-) Custos de Vendas</v>
      </c>
      <c r="E1652" s="5" t="str">
        <f>_xlfn.XLOOKUP(fRealizado5[[#This Row],[Conta]],'Plano de Contas'!A:A,'Plano de Contas'!D:D)</f>
        <v>05 - Custo do Produto</v>
      </c>
    </row>
    <row r="1653" spans="1:5" hidden="1" x14ac:dyDescent="0.25">
      <c r="A1653" s="23">
        <f t="shared" si="24"/>
        <v>43800</v>
      </c>
      <c r="B1653" s="5" t="s">
        <v>162</v>
      </c>
      <c r="C1653" s="5">
        <v>-175515</v>
      </c>
      <c r="D1653" s="5" t="str">
        <f>_xlfn.XLOOKUP(fRealizado5[[#This Row],[Conta]],'Plano de Contas'!A:A,'Plano de Contas'!C:C)</f>
        <v>(-) Custos de Vendas</v>
      </c>
      <c r="E1653" s="5" t="str">
        <f>_xlfn.XLOOKUP(fRealizado5[[#This Row],[Conta]],'Plano de Contas'!A:A,'Plano de Contas'!D:D)</f>
        <v>05 - Custo do Produto</v>
      </c>
    </row>
    <row r="1654" spans="1:5" hidden="1" x14ac:dyDescent="0.25">
      <c r="A1654" s="23">
        <f t="shared" si="24"/>
        <v>43800</v>
      </c>
      <c r="B1654" s="5" t="s">
        <v>163</v>
      </c>
      <c r="C1654" s="5">
        <v>-244117</v>
      </c>
      <c r="D1654" s="5" t="str">
        <f>_xlfn.XLOOKUP(fRealizado5[[#This Row],[Conta]],'Plano de Contas'!A:A,'Plano de Contas'!C:C)</f>
        <v>(-) Custos de Vendas</v>
      </c>
      <c r="E1654" s="5" t="str">
        <f>_xlfn.XLOOKUP(fRealizado5[[#This Row],[Conta]],'Plano de Contas'!A:A,'Plano de Contas'!D:D)</f>
        <v>05 - Custo do Produto</v>
      </c>
    </row>
    <row r="1655" spans="1:5" hidden="1" x14ac:dyDescent="0.25">
      <c r="A1655" s="23">
        <f t="shared" si="24"/>
        <v>43800</v>
      </c>
      <c r="B1655" s="5" t="s">
        <v>164</v>
      </c>
      <c r="C1655" s="5">
        <v>-59229</v>
      </c>
      <c r="D1655" s="5" t="str">
        <f>_xlfn.XLOOKUP(fRealizado5[[#This Row],[Conta]],'Plano de Contas'!A:A,'Plano de Contas'!C:C)</f>
        <v>(-) Custos de Vendas</v>
      </c>
      <c r="E1655" s="5" t="str">
        <f>_xlfn.XLOOKUP(fRealizado5[[#This Row],[Conta]],'Plano de Contas'!A:A,'Plano de Contas'!D:D)</f>
        <v>06 - Outros Custos</v>
      </c>
    </row>
    <row r="1656" spans="1:5" hidden="1" x14ac:dyDescent="0.25">
      <c r="A1656" s="23">
        <f t="shared" si="24"/>
        <v>43800</v>
      </c>
      <c r="B1656" s="5" t="s">
        <v>165</v>
      </c>
      <c r="C1656" s="5">
        <v>-91309</v>
      </c>
      <c r="D1656" s="5" t="str">
        <f>_xlfn.XLOOKUP(fRealizado5[[#This Row],[Conta]],'Plano de Contas'!A:A,'Plano de Contas'!C:C)</f>
        <v>(-) Custos de Vendas</v>
      </c>
      <c r="E1656" s="5" t="str">
        <f>_xlfn.XLOOKUP(fRealizado5[[#This Row],[Conta]],'Plano de Contas'!A:A,'Plano de Contas'!D:D)</f>
        <v>06 - Outros Custos</v>
      </c>
    </row>
    <row r="1657" spans="1:5" hidden="1" x14ac:dyDescent="0.25">
      <c r="A1657" s="23">
        <f t="shared" si="24"/>
        <v>43800</v>
      </c>
      <c r="B1657" s="5" t="s">
        <v>166</v>
      </c>
      <c r="C1657" s="5">
        <v>-50476</v>
      </c>
      <c r="D1657" s="5" t="str">
        <f>_xlfn.XLOOKUP(fRealizado5[[#This Row],[Conta]],'Plano de Contas'!A:A,'Plano de Contas'!C:C)</f>
        <v>(-) Custos de Vendas</v>
      </c>
      <c r="E1657" s="5" t="str">
        <f>_xlfn.XLOOKUP(fRealizado5[[#This Row],[Conta]],'Plano de Contas'!A:A,'Plano de Contas'!D:D)</f>
        <v>06 - Outros Custos</v>
      </c>
    </row>
    <row r="1658" spans="1:5" hidden="1" x14ac:dyDescent="0.25">
      <c r="A1658" s="23">
        <f t="shared" si="24"/>
        <v>43800</v>
      </c>
      <c r="B1658" s="5" t="s">
        <v>167</v>
      </c>
      <c r="C1658" s="5">
        <v>-346694</v>
      </c>
      <c r="D1658" s="5" t="str">
        <f>_xlfn.XLOOKUP(fRealizado5[[#This Row],[Conta]],'Plano de Contas'!A:A,'Plano de Contas'!C:C)</f>
        <v>(-) Despesas Gerais</v>
      </c>
      <c r="E1658" s="5" t="str">
        <f>_xlfn.XLOOKUP(fRealizado5[[#This Row],[Conta]],'Plano de Contas'!A:A,'Plano de Contas'!D:D)</f>
        <v>07 - Despesas Administrativas</v>
      </c>
    </row>
    <row r="1659" spans="1:5" hidden="1" x14ac:dyDescent="0.25">
      <c r="A1659" s="23">
        <f t="shared" si="24"/>
        <v>43800</v>
      </c>
      <c r="B1659" s="5" t="s">
        <v>168</v>
      </c>
      <c r="C1659" s="5">
        <v>-330841</v>
      </c>
      <c r="D1659" s="5" t="str">
        <f>_xlfn.XLOOKUP(fRealizado5[[#This Row],[Conta]],'Plano de Contas'!A:A,'Plano de Contas'!C:C)</f>
        <v>(-) Despesas Gerais</v>
      </c>
      <c r="E1659" s="5" t="str">
        <f>_xlfn.XLOOKUP(fRealizado5[[#This Row],[Conta]],'Plano de Contas'!A:A,'Plano de Contas'!D:D)</f>
        <v>07 - Despesas Administrativas</v>
      </c>
    </row>
    <row r="1660" spans="1:5" hidden="1" x14ac:dyDescent="0.25">
      <c r="A1660" s="23">
        <f t="shared" si="24"/>
        <v>43800</v>
      </c>
      <c r="B1660" s="5" t="s">
        <v>169</v>
      </c>
      <c r="C1660" s="5">
        <v>-288824</v>
      </c>
      <c r="D1660" s="5" t="str">
        <f>_xlfn.XLOOKUP(fRealizado5[[#This Row],[Conta]],'Plano de Contas'!A:A,'Plano de Contas'!C:C)</f>
        <v>(-) Despesas Gerais</v>
      </c>
      <c r="E1660" s="5" t="str">
        <f>_xlfn.XLOOKUP(fRealizado5[[#This Row],[Conta]],'Plano de Contas'!A:A,'Plano de Contas'!D:D)</f>
        <v>07 - Despesas Administrativas</v>
      </c>
    </row>
    <row r="1661" spans="1:5" hidden="1" x14ac:dyDescent="0.25">
      <c r="A1661" s="23">
        <f t="shared" si="24"/>
        <v>43800</v>
      </c>
      <c r="B1661" s="5" t="s">
        <v>170</v>
      </c>
      <c r="C1661" s="5">
        <v>-232191</v>
      </c>
      <c r="D1661" s="5" t="str">
        <f>_xlfn.XLOOKUP(fRealizado5[[#This Row],[Conta]],'Plano de Contas'!A:A,'Plano de Contas'!C:C)</f>
        <v>(-) Despesas Gerais</v>
      </c>
      <c r="E1661" s="5" t="str">
        <f>_xlfn.XLOOKUP(fRealizado5[[#This Row],[Conta]],'Plano de Contas'!A:A,'Plano de Contas'!D:D)</f>
        <v>07 - Despesas Administrativas</v>
      </c>
    </row>
    <row r="1662" spans="1:5" hidden="1" x14ac:dyDescent="0.25">
      <c r="A1662" s="23">
        <f t="shared" si="24"/>
        <v>43800</v>
      </c>
      <c r="B1662" s="5" t="s">
        <v>171</v>
      </c>
      <c r="C1662" s="5">
        <v>-390712</v>
      </c>
      <c r="D1662" s="5" t="str">
        <f>_xlfn.XLOOKUP(fRealizado5[[#This Row],[Conta]],'Plano de Contas'!A:A,'Plano de Contas'!C:C)</f>
        <v>(-) Despesas Gerais</v>
      </c>
      <c r="E1662" s="5" t="str">
        <f>_xlfn.XLOOKUP(fRealizado5[[#This Row],[Conta]],'Plano de Contas'!A:A,'Plano de Contas'!D:D)</f>
        <v>07 - Despesas Administrativas</v>
      </c>
    </row>
    <row r="1663" spans="1:5" hidden="1" x14ac:dyDescent="0.25">
      <c r="A1663" s="23">
        <f t="shared" si="24"/>
        <v>43800</v>
      </c>
      <c r="B1663" s="5" t="s">
        <v>172</v>
      </c>
      <c r="C1663" s="5">
        <v>-361468</v>
      </c>
      <c r="D1663" s="5" t="str">
        <f>_xlfn.XLOOKUP(fRealizado5[[#This Row],[Conta]],'Plano de Contas'!A:A,'Plano de Contas'!C:C)</f>
        <v>(-) Despesas Gerais</v>
      </c>
      <c r="E1663" s="5" t="str">
        <f>_xlfn.XLOOKUP(fRealizado5[[#This Row],[Conta]],'Plano de Contas'!A:A,'Plano de Contas'!D:D)</f>
        <v>07 - Despesas Administrativas</v>
      </c>
    </row>
    <row r="1664" spans="1:5" hidden="1" x14ac:dyDescent="0.25">
      <c r="A1664" s="23">
        <f t="shared" si="24"/>
        <v>43800</v>
      </c>
      <c r="B1664" s="5" t="s">
        <v>173</v>
      </c>
      <c r="C1664" s="5">
        <v>-51924</v>
      </c>
      <c r="D1664" s="5" t="str">
        <f>_xlfn.XLOOKUP(fRealizado5[[#This Row],[Conta]],'Plano de Contas'!A:A,'Plano de Contas'!C:C)</f>
        <v>(-) Despesas Gerais</v>
      </c>
      <c r="E1664" s="5" t="str">
        <f>_xlfn.XLOOKUP(fRealizado5[[#This Row],[Conta]],'Plano de Contas'!A:A,'Plano de Contas'!D:D)</f>
        <v>08 - Despesas Financeiras</v>
      </c>
    </row>
    <row r="1665" spans="1:5" hidden="1" x14ac:dyDescent="0.25">
      <c r="A1665" s="23">
        <f t="shared" si="24"/>
        <v>43800</v>
      </c>
      <c r="B1665" s="5" t="s">
        <v>174</v>
      </c>
      <c r="C1665" s="5">
        <v>-58831</v>
      </c>
      <c r="D1665" s="5" t="str">
        <f>_xlfn.XLOOKUP(fRealizado5[[#This Row],[Conta]],'Plano de Contas'!A:A,'Plano de Contas'!C:C)</f>
        <v>(-) Despesas Gerais</v>
      </c>
      <c r="E1665" s="5" t="str">
        <f>_xlfn.XLOOKUP(fRealizado5[[#This Row],[Conta]],'Plano de Contas'!A:A,'Plano de Contas'!D:D)</f>
        <v>08 - Despesas Financeiras</v>
      </c>
    </row>
    <row r="1666" spans="1:5" hidden="1" x14ac:dyDescent="0.25">
      <c r="A1666" s="23">
        <f t="shared" si="24"/>
        <v>43800</v>
      </c>
      <c r="B1666" s="5" t="s">
        <v>175</v>
      </c>
      <c r="C1666" s="5">
        <v>-45607</v>
      </c>
      <c r="D1666" s="5" t="str">
        <f>_xlfn.XLOOKUP(fRealizado5[[#This Row],[Conta]],'Plano de Contas'!A:A,'Plano de Contas'!C:C)</f>
        <v>(-) Despesas Gerais</v>
      </c>
      <c r="E1666" s="5" t="str">
        <f>_xlfn.XLOOKUP(fRealizado5[[#This Row],[Conta]],'Plano de Contas'!A:A,'Plano de Contas'!D:D)</f>
        <v>08 - Despesas Financeiras</v>
      </c>
    </row>
    <row r="1667" spans="1:5" hidden="1" x14ac:dyDescent="0.25">
      <c r="A1667" s="23">
        <f t="shared" si="24"/>
        <v>43800</v>
      </c>
      <c r="B1667" s="5" t="s">
        <v>176</v>
      </c>
      <c r="C1667" s="5">
        <v>-41776</v>
      </c>
      <c r="D1667" s="5" t="str">
        <f>_xlfn.XLOOKUP(fRealizado5[[#This Row],[Conta]],'Plano de Contas'!A:A,'Plano de Contas'!C:C)</f>
        <v>(-) Despesas Gerais</v>
      </c>
      <c r="E1667" s="5" t="str">
        <f>_xlfn.XLOOKUP(fRealizado5[[#This Row],[Conta]],'Plano de Contas'!A:A,'Plano de Contas'!D:D)</f>
        <v>08 - Despesas Financeiras</v>
      </c>
    </row>
    <row r="1668" spans="1:5" hidden="1" x14ac:dyDescent="0.25">
      <c r="A1668" s="23">
        <f t="shared" si="24"/>
        <v>43800</v>
      </c>
      <c r="B1668" s="5" t="s">
        <v>177</v>
      </c>
      <c r="C1668" s="5">
        <v>-47624</v>
      </c>
      <c r="D1668" s="5" t="str">
        <f>_xlfn.XLOOKUP(fRealizado5[[#This Row],[Conta]],'Plano de Contas'!A:A,'Plano de Contas'!C:C)</f>
        <v>(-) Despesas Gerais</v>
      </c>
      <c r="E1668" s="5" t="str">
        <f>_xlfn.XLOOKUP(fRealizado5[[#This Row],[Conta]],'Plano de Contas'!A:A,'Plano de Contas'!D:D)</f>
        <v>08 - Despesas Financeiras</v>
      </c>
    </row>
    <row r="1669" spans="1:5" hidden="1" x14ac:dyDescent="0.25">
      <c r="A1669" s="23">
        <f t="shared" si="24"/>
        <v>43800</v>
      </c>
      <c r="B1669" s="5" t="s">
        <v>178</v>
      </c>
      <c r="C1669" s="5">
        <v>-126429</v>
      </c>
      <c r="D1669" s="5" t="str">
        <f>_xlfn.XLOOKUP(fRealizado5[[#This Row],[Conta]],'Plano de Contas'!A:A,'Plano de Contas'!C:C)</f>
        <v>(-) Despesas Gerais</v>
      </c>
      <c r="E1669" s="5" t="str">
        <f>_xlfn.XLOOKUP(fRealizado5[[#This Row],[Conta]],'Plano de Contas'!A:A,'Plano de Contas'!D:D)</f>
        <v>09 - Tecnologia da Informação</v>
      </c>
    </row>
    <row r="1670" spans="1:5" hidden="1" x14ac:dyDescent="0.25">
      <c r="A1670" s="23">
        <f t="shared" si="24"/>
        <v>43800</v>
      </c>
      <c r="B1670" s="5" t="s">
        <v>179</v>
      </c>
      <c r="C1670" s="5">
        <v>-133324</v>
      </c>
      <c r="D1670" s="5" t="str">
        <f>_xlfn.XLOOKUP(fRealizado5[[#This Row],[Conta]],'Plano de Contas'!A:A,'Plano de Contas'!C:C)</f>
        <v>(-) Despesas Gerais</v>
      </c>
      <c r="E1670" s="5" t="str">
        <f>_xlfn.XLOOKUP(fRealizado5[[#This Row],[Conta]],'Plano de Contas'!A:A,'Plano de Contas'!D:D)</f>
        <v>09 - Tecnologia da Informação</v>
      </c>
    </row>
    <row r="1671" spans="1:5" hidden="1" x14ac:dyDescent="0.25">
      <c r="A1671" s="23">
        <f t="shared" si="24"/>
        <v>43800</v>
      </c>
      <c r="B1671" s="5" t="s">
        <v>180</v>
      </c>
      <c r="C1671" s="5">
        <v>-107921</v>
      </c>
      <c r="D1671" s="5" t="str">
        <f>_xlfn.XLOOKUP(fRealizado5[[#This Row],[Conta]],'Plano de Contas'!A:A,'Plano de Contas'!C:C)</f>
        <v>(-) Despesas Gerais</v>
      </c>
      <c r="E1671" s="5" t="str">
        <f>_xlfn.XLOOKUP(fRealizado5[[#This Row],[Conta]],'Plano de Contas'!A:A,'Plano de Contas'!D:D)</f>
        <v>09 - Tecnologia da Informação</v>
      </c>
    </row>
    <row r="1672" spans="1:5" hidden="1" x14ac:dyDescent="0.25">
      <c r="A1672" s="23">
        <f t="shared" ref="A1672:A1681" si="25">EDATE(A1532,1)</f>
        <v>43800</v>
      </c>
      <c r="B1672" s="5" t="s">
        <v>181</v>
      </c>
      <c r="C1672" s="5">
        <v>-61724</v>
      </c>
      <c r="D1672" s="5" t="str">
        <f>_xlfn.XLOOKUP(fRealizado5[[#This Row],[Conta]],'Plano de Contas'!A:A,'Plano de Contas'!C:C)</f>
        <v>(-) Despesas Gerais</v>
      </c>
      <c r="E1672" s="5" t="str">
        <f>_xlfn.XLOOKUP(fRealizado5[[#This Row],[Conta]],'Plano de Contas'!A:A,'Plano de Contas'!D:D)</f>
        <v>10 - Recursos Humanos</v>
      </c>
    </row>
    <row r="1673" spans="1:5" hidden="1" x14ac:dyDescent="0.25">
      <c r="A1673" s="23">
        <f t="shared" si="25"/>
        <v>43800</v>
      </c>
      <c r="B1673" s="5" t="s">
        <v>182</v>
      </c>
      <c r="C1673" s="5">
        <v>-61836</v>
      </c>
      <c r="D1673" s="5" t="str">
        <f>_xlfn.XLOOKUP(fRealizado5[[#This Row],[Conta]],'Plano de Contas'!A:A,'Plano de Contas'!C:C)</f>
        <v>(-) Despesas Gerais</v>
      </c>
      <c r="E1673" s="5" t="str">
        <f>_xlfn.XLOOKUP(fRealizado5[[#This Row],[Conta]],'Plano de Contas'!A:A,'Plano de Contas'!D:D)</f>
        <v>10 - Recursos Humanos</v>
      </c>
    </row>
    <row r="1674" spans="1:5" hidden="1" x14ac:dyDescent="0.25">
      <c r="A1674" s="23">
        <f t="shared" si="25"/>
        <v>43800</v>
      </c>
      <c r="B1674" s="5" t="s">
        <v>183</v>
      </c>
      <c r="C1674" s="5">
        <v>-50442</v>
      </c>
      <c r="D1674" s="5" t="str">
        <f>_xlfn.XLOOKUP(fRealizado5[[#This Row],[Conta]],'Plano de Contas'!A:A,'Plano de Contas'!C:C)</f>
        <v>(-) Despesas Gerais</v>
      </c>
      <c r="E1674" s="5" t="str">
        <f>_xlfn.XLOOKUP(fRealizado5[[#This Row],[Conta]],'Plano de Contas'!A:A,'Plano de Contas'!D:D)</f>
        <v>10 - Recursos Humanos</v>
      </c>
    </row>
    <row r="1675" spans="1:5" hidden="1" x14ac:dyDescent="0.25">
      <c r="A1675" s="23">
        <f t="shared" si="25"/>
        <v>43800</v>
      </c>
      <c r="B1675" s="5" t="s">
        <v>184</v>
      </c>
      <c r="C1675" s="5">
        <v>-65877</v>
      </c>
      <c r="D1675" s="5" t="str">
        <f>_xlfn.XLOOKUP(fRealizado5[[#This Row],[Conta]],'Plano de Contas'!A:A,'Plano de Contas'!C:C)</f>
        <v>(-) Despesas Gerais</v>
      </c>
      <c r="E1675" s="5" t="str">
        <f>_xlfn.XLOOKUP(fRealizado5[[#This Row],[Conta]],'Plano de Contas'!A:A,'Plano de Contas'!D:D)</f>
        <v>10 - Recursos Humanos</v>
      </c>
    </row>
    <row r="1676" spans="1:5" hidden="1" x14ac:dyDescent="0.25">
      <c r="A1676" s="23">
        <f t="shared" si="25"/>
        <v>43800</v>
      </c>
      <c r="B1676" s="5" t="s">
        <v>185</v>
      </c>
      <c r="C1676" s="5">
        <v>-90568</v>
      </c>
      <c r="D1676" s="5" t="str">
        <f>_xlfn.XLOOKUP(fRealizado5[[#This Row],[Conta]],'Plano de Contas'!A:A,'Plano de Contas'!C:C)</f>
        <v>(-) Despesas Gerais</v>
      </c>
      <c r="E1676" s="5" t="str">
        <f>_xlfn.XLOOKUP(fRealizado5[[#This Row],[Conta]],'Plano de Contas'!A:A,'Plano de Contas'!D:D)</f>
        <v>11 - Relacionamento com Cliente</v>
      </c>
    </row>
    <row r="1677" spans="1:5" hidden="1" x14ac:dyDescent="0.25">
      <c r="A1677" s="23">
        <f t="shared" si="25"/>
        <v>43800</v>
      </c>
      <c r="B1677" s="5" t="s">
        <v>186</v>
      </c>
      <c r="C1677" s="5">
        <v>-111898</v>
      </c>
      <c r="D1677" s="5" t="str">
        <f>_xlfn.XLOOKUP(fRealizado5[[#This Row],[Conta]],'Plano de Contas'!A:A,'Plano de Contas'!C:C)</f>
        <v>(-) Despesas Gerais</v>
      </c>
      <c r="E1677" s="5" t="str">
        <f>_xlfn.XLOOKUP(fRealizado5[[#This Row],[Conta]],'Plano de Contas'!A:A,'Plano de Contas'!D:D)</f>
        <v>11 - Relacionamento com Cliente</v>
      </c>
    </row>
    <row r="1678" spans="1:5" hidden="1" x14ac:dyDescent="0.25">
      <c r="A1678" s="23">
        <f t="shared" si="25"/>
        <v>43800</v>
      </c>
      <c r="B1678" s="5" t="s">
        <v>187</v>
      </c>
      <c r="C1678" s="5">
        <v>-115982</v>
      </c>
      <c r="D1678" s="5" t="str">
        <f>_xlfn.XLOOKUP(fRealizado5[[#This Row],[Conta]],'Plano de Contas'!A:A,'Plano de Contas'!C:C)</f>
        <v>(-) Despesas Gerais</v>
      </c>
      <c r="E1678" s="5" t="str">
        <f>_xlfn.XLOOKUP(fRealizado5[[#This Row],[Conta]],'Plano de Contas'!A:A,'Plano de Contas'!D:D)</f>
        <v>12 - Marketing e Divulgação</v>
      </c>
    </row>
    <row r="1679" spans="1:5" hidden="1" x14ac:dyDescent="0.25">
      <c r="A1679" s="23">
        <f t="shared" si="25"/>
        <v>43800</v>
      </c>
      <c r="B1679" s="5" t="s">
        <v>188</v>
      </c>
      <c r="C1679" s="5">
        <v>-136656</v>
      </c>
      <c r="D1679" s="5" t="str">
        <f>_xlfn.XLOOKUP(fRealizado5[[#This Row],[Conta]],'Plano de Contas'!A:A,'Plano de Contas'!C:C)</f>
        <v>(-) Despesas Gerais</v>
      </c>
      <c r="E1679" s="5" t="str">
        <f>_xlfn.XLOOKUP(fRealizado5[[#This Row],[Conta]],'Plano de Contas'!A:A,'Plano de Contas'!D:D)</f>
        <v>12 - Marketing e Divulgação</v>
      </c>
    </row>
    <row r="1680" spans="1:5" hidden="1" x14ac:dyDescent="0.25">
      <c r="A1680" s="23">
        <f t="shared" si="25"/>
        <v>43800</v>
      </c>
      <c r="B1680" s="5" t="s">
        <v>189</v>
      </c>
      <c r="C1680" s="5">
        <v>-9688</v>
      </c>
      <c r="D1680" s="5" t="str">
        <f>_xlfn.XLOOKUP(fRealizado5[[#This Row],[Conta]],'Plano de Contas'!A:A,'Plano de Contas'!C:C)</f>
        <v>(-) Impostos</v>
      </c>
      <c r="E1680" s="5" t="str">
        <f>_xlfn.XLOOKUP(fRealizado5[[#This Row],[Conta]],'Plano de Contas'!A:A,'Plano de Contas'!D:D)</f>
        <v>13 - Impostos Estaduais</v>
      </c>
    </row>
    <row r="1681" spans="1:5" hidden="1" x14ac:dyDescent="0.25">
      <c r="A1681" s="23">
        <f t="shared" si="25"/>
        <v>43800</v>
      </c>
      <c r="B1681" s="5" t="s">
        <v>190</v>
      </c>
      <c r="C1681" s="5">
        <v>-18108</v>
      </c>
      <c r="D1681" s="5" t="str">
        <f>_xlfn.XLOOKUP(fRealizado5[[#This Row],[Conta]],'Plano de Contas'!A:A,'Plano de Contas'!C:C)</f>
        <v>(-) Impostos</v>
      </c>
      <c r="E1681" s="5" t="str">
        <f>_xlfn.XLOOKUP(fRealizado5[[#This Row],[Conta]],'Plano de Contas'!A:A,'Plano de Contas'!D:D)</f>
        <v>14 - Impostos Federais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57EA-22BF-45DB-8CA5-B84F8655B0A0}">
  <sheetPr>
    <tabColor theme="9" tint="0.59999389629810485"/>
  </sheetPr>
  <dimension ref="A1:I31"/>
  <sheetViews>
    <sheetView zoomScale="89" zoomScaleNormal="89" workbookViewId="0">
      <selection activeCell="B2" sqref="B2:B13"/>
    </sheetView>
  </sheetViews>
  <sheetFormatPr defaultRowHeight="15" x14ac:dyDescent="0.25"/>
  <cols>
    <col min="1" max="1" width="13.7109375" style="5" customWidth="1"/>
    <col min="2" max="2" width="22.42578125" bestFit="1" customWidth="1"/>
    <col min="3" max="3" width="30.42578125" customWidth="1"/>
    <col min="4" max="4" width="24" customWidth="1"/>
    <col min="5" max="5" width="19.140625" customWidth="1"/>
    <col min="6" max="6" width="23.42578125" customWidth="1"/>
    <col min="7" max="7" width="25.85546875" customWidth="1"/>
    <col min="8" max="8" width="17" customWidth="1"/>
    <col min="9" max="9" width="23.85546875" customWidth="1"/>
    <col min="10" max="11" width="17.7109375" customWidth="1"/>
  </cols>
  <sheetData>
    <row r="1" spans="1:9" s="27" customFormat="1" ht="15.75" x14ac:dyDescent="0.25">
      <c r="A1" s="26" t="s">
        <v>312</v>
      </c>
      <c r="B1" s="26" t="s">
        <v>313</v>
      </c>
      <c r="C1" s="26" t="s">
        <v>314</v>
      </c>
      <c r="D1" s="26" t="s">
        <v>315</v>
      </c>
      <c r="E1" s="26" t="s">
        <v>316</v>
      </c>
      <c r="F1" s="26" t="s">
        <v>317</v>
      </c>
      <c r="G1" s="26" t="s">
        <v>319</v>
      </c>
      <c r="H1" s="26" t="s">
        <v>320</v>
      </c>
      <c r="I1" s="26" t="s">
        <v>321</v>
      </c>
    </row>
    <row r="2" spans="1:9" ht="15.75" x14ac:dyDescent="0.25">
      <c r="A2" s="9">
        <v>43466</v>
      </c>
      <c r="B2" s="7">
        <f>SUMIFS('Realizado Adptado'!C:C,'Realizado Adptado'!D:D,fRealizado5[[#This Row],[Nível 1]],'Realizado Adptado'!A:A,FINANCEIRO!A2)</f>
        <v>20050916</v>
      </c>
      <c r="C2" s="7">
        <f>SUMIFS('Realizado Adptado'!C:C,'Realizado Adptado'!D:D,'Realizado Adptado'!$D$77,'Realizado Adptado'!A:A,FINANCEIRO!A2)</f>
        <v>-185098</v>
      </c>
      <c r="D2" s="7">
        <f>B2+C2</f>
        <v>19865818</v>
      </c>
      <c r="E2" s="7">
        <f>SUMIFS('Realizado Adptado'!C:C,'Realizado Adptado'!D:D,'Realizado Adptado'!$D$91,'Realizado Adptado'!A:A,FINANCEIRO!A2)</f>
        <v>-4915811</v>
      </c>
      <c r="F2" s="7">
        <f>D2+E2</f>
        <v>14950007</v>
      </c>
      <c r="G2" s="7">
        <f>SUMIFS('Realizado Adptado'!C:C,'Realizado Adptado'!D:D,'Realizado Adptado'!$D$118,'Realizado Adptado'!A:A,FINANCEIRO!A2)</f>
        <v>-3284072</v>
      </c>
      <c r="H2" s="7">
        <f>SUMIFS('Realizado Adptado'!C:C,'Realizado Adptado'!D:D,'Realizado Adptado'!$D$140,'Realizado Adptado'!A:A,FINANCEIRO!A2)</f>
        <v>-24897</v>
      </c>
      <c r="I2" s="7">
        <f>F2+G2+H2</f>
        <v>11641038</v>
      </c>
    </row>
    <row r="3" spans="1:9" ht="15.75" x14ac:dyDescent="0.25">
      <c r="A3" s="9">
        <v>43497</v>
      </c>
      <c r="B3" s="7">
        <f>SUMIFS('Realizado Adptado'!C:C,'Realizado Adptado'!D:D,fRealizado5[[#This Row],[Nível 1]],'Realizado Adptado'!A:A,FINANCEIRO!A3)</f>
        <v>19648815</v>
      </c>
      <c r="C3" s="7">
        <f>SUMIFS('Realizado Adptado'!C:C,'Realizado Adptado'!D:D,'Realizado Adptado'!$D$77,'Realizado Adptado'!A:A,FINANCEIRO!A3)</f>
        <v>-168252</v>
      </c>
      <c r="D3" s="7">
        <f t="shared" ref="D3:D13" si="0">B3+C3</f>
        <v>19480563</v>
      </c>
      <c r="E3" s="7">
        <f>SUMIFS('Realizado Adptado'!C:C,'Realizado Adptado'!D:D,'Realizado Adptado'!$D$91,'Realizado Adptado'!A:A,FINANCEIRO!A3)</f>
        <v>-5221289</v>
      </c>
      <c r="F3" s="7">
        <f t="shared" ref="F3:F13" si="1">D3+E3</f>
        <v>14259274</v>
      </c>
      <c r="G3" s="7">
        <f>SUMIFS('Realizado Adptado'!C:C,'Realizado Adptado'!D:D,'Realizado Adptado'!$D$118,'Realizado Adptado'!A:A,FINANCEIRO!A3)</f>
        <v>-3189018</v>
      </c>
      <c r="H3" s="7">
        <f>SUMIFS('Realizado Adptado'!C:C,'Realizado Adptado'!D:D,'Realizado Adptado'!$D$140,'Realizado Adptado'!A:A,FINANCEIRO!A3)</f>
        <v>-38811</v>
      </c>
      <c r="I3" s="7">
        <f t="shared" ref="I3:I13" si="2">F3+G3+H3</f>
        <v>11031445</v>
      </c>
    </row>
    <row r="4" spans="1:9" ht="15.75" x14ac:dyDescent="0.25">
      <c r="A4" s="9">
        <v>43525</v>
      </c>
      <c r="B4" s="7">
        <f>SUMIFS('Realizado Adptado'!C:C,'Realizado Adptado'!D:D,fRealizado5[[#This Row],[Nível 1]],'Realizado Adptado'!A:A,FINANCEIRO!A4)</f>
        <v>21095352</v>
      </c>
      <c r="C4" s="7">
        <f>SUMIFS('Realizado Adptado'!C:C,'Realizado Adptado'!D:D,'Realizado Adptado'!$D$77,'Realizado Adptado'!A:A,FINANCEIRO!A4)</f>
        <v>-145910</v>
      </c>
      <c r="D4" s="7">
        <f t="shared" si="0"/>
        <v>20949442</v>
      </c>
      <c r="E4" s="7">
        <f>SUMIFS('Realizado Adptado'!C:C,'Realizado Adptado'!D:D,'Realizado Adptado'!$D$91,'Realizado Adptado'!A:A,FINANCEIRO!A4)</f>
        <v>-4718093</v>
      </c>
      <c r="F4" s="7">
        <f t="shared" si="1"/>
        <v>16231349</v>
      </c>
      <c r="G4" s="7">
        <f>SUMIFS('Realizado Adptado'!C:C,'Realizado Adptado'!D:D,'Realizado Adptado'!$D$118,'Realizado Adptado'!A:A,FINANCEIRO!A4)</f>
        <v>-3217161</v>
      </c>
      <c r="H4" s="7">
        <f>SUMIFS('Realizado Adptado'!C:C,'Realizado Adptado'!D:D,'Realizado Adptado'!$D$140,'Realizado Adptado'!A:A,FINANCEIRO!A4)</f>
        <v>-35250</v>
      </c>
      <c r="I4" s="7">
        <f t="shared" si="2"/>
        <v>12978938</v>
      </c>
    </row>
    <row r="5" spans="1:9" ht="15.75" x14ac:dyDescent="0.25">
      <c r="A5" s="9">
        <v>43556</v>
      </c>
      <c r="B5" s="7">
        <f>SUMIFS('Realizado Adptado'!C:C,'Realizado Adptado'!D:D,fRealizado5[[#This Row],[Nível 1]],'Realizado Adptado'!A:A,FINANCEIRO!A5)</f>
        <v>19936804</v>
      </c>
      <c r="C5" s="7">
        <f>SUMIFS('Realizado Adptado'!C:C,'Realizado Adptado'!D:D,'Realizado Adptado'!$D$77,'Realizado Adptado'!A:A,FINANCEIRO!A5)</f>
        <v>-173600</v>
      </c>
      <c r="D5" s="7">
        <f t="shared" si="0"/>
        <v>19763204</v>
      </c>
      <c r="E5" s="7">
        <f>SUMIFS('Realizado Adptado'!C:C,'Realizado Adptado'!D:D,'Realizado Adptado'!$D$91,'Realizado Adptado'!A:A,FINANCEIRO!A5)</f>
        <v>-4580143</v>
      </c>
      <c r="F5" s="7">
        <f t="shared" si="1"/>
        <v>15183061</v>
      </c>
      <c r="G5" s="7">
        <f>SUMIFS('Realizado Adptado'!C:C,'Realizado Adptado'!D:D,'Realizado Adptado'!$D$118,'Realizado Adptado'!A:A,FINANCEIRO!A5)</f>
        <v>-2561595</v>
      </c>
      <c r="H5" s="7">
        <f>SUMIFS('Realizado Adptado'!C:C,'Realizado Adptado'!D:D,'Realizado Adptado'!$D$140,'Realizado Adptado'!A:A,FINANCEIRO!A5)</f>
        <v>-32089</v>
      </c>
      <c r="I5" s="7">
        <f t="shared" si="2"/>
        <v>12589377</v>
      </c>
    </row>
    <row r="6" spans="1:9" ht="15.75" x14ac:dyDescent="0.25">
      <c r="A6" s="9">
        <v>43586</v>
      </c>
      <c r="B6" s="7">
        <f>SUMIFS('Realizado Adptado'!C:C,'Realizado Adptado'!D:D,fRealizado5[[#This Row],[Nível 1]],'Realizado Adptado'!A:A,FINANCEIRO!A6)</f>
        <v>17462474</v>
      </c>
      <c r="C6" s="7">
        <f>SUMIFS('Realizado Adptado'!C:C,'Realizado Adptado'!D:D,'Realizado Adptado'!$D$77,'Realizado Adptado'!A:A,FINANCEIRO!A6)</f>
        <v>-165992</v>
      </c>
      <c r="D6" s="7">
        <f t="shared" si="0"/>
        <v>17296482</v>
      </c>
      <c r="E6" s="7">
        <f>SUMIFS('Realizado Adptado'!C:C,'Realizado Adptado'!D:D,'Realizado Adptado'!$D$91,'Realizado Adptado'!A:A,FINANCEIRO!A6)</f>
        <v>-5140114</v>
      </c>
      <c r="F6" s="7">
        <f t="shared" si="1"/>
        <v>12156368</v>
      </c>
      <c r="G6" s="7">
        <f>SUMIFS('Realizado Adptado'!C:C,'Realizado Adptado'!D:D,'Realizado Adptado'!$D$118,'Realizado Adptado'!A:A,FINANCEIRO!A6)</f>
        <v>-3614244</v>
      </c>
      <c r="H6" s="7">
        <f>SUMIFS('Realizado Adptado'!C:C,'Realizado Adptado'!D:D,'Realizado Adptado'!$D$140,'Realizado Adptado'!A:A,FINANCEIRO!A6)</f>
        <v>-32971</v>
      </c>
      <c r="I6" s="7">
        <f t="shared" si="2"/>
        <v>8509153</v>
      </c>
    </row>
    <row r="7" spans="1:9" ht="15.75" x14ac:dyDescent="0.25">
      <c r="A7" s="9">
        <v>43617</v>
      </c>
      <c r="B7" s="7">
        <f>SUMIFS('Realizado Adptado'!C:C,'Realizado Adptado'!D:D,fRealizado5[[#This Row],[Nível 1]],'Realizado Adptado'!A:A,FINANCEIRO!A7)</f>
        <v>19786714</v>
      </c>
      <c r="C7" s="7">
        <f>SUMIFS('Realizado Adptado'!C:C,'Realizado Adptado'!D:D,'Realizado Adptado'!$D$77,'Realizado Adptado'!A:A,FINANCEIRO!A7)</f>
        <v>-159033</v>
      </c>
      <c r="D7" s="7">
        <f t="shared" si="0"/>
        <v>19627681</v>
      </c>
      <c r="E7" s="7">
        <f>SUMIFS('Realizado Adptado'!C:C,'Realizado Adptado'!D:D,'Realizado Adptado'!$D$91,'Realizado Adptado'!A:A,FINANCEIRO!A7)</f>
        <v>-4889543</v>
      </c>
      <c r="F7" s="7">
        <f t="shared" si="1"/>
        <v>14738138</v>
      </c>
      <c r="G7" s="7">
        <f>SUMIFS('Realizado Adptado'!C:C,'Realizado Adptado'!D:D,'Realizado Adptado'!$D$118,'Realizado Adptado'!A:A,FINANCEIRO!A7)</f>
        <v>-3150549</v>
      </c>
      <c r="H7" s="7">
        <f>SUMIFS('Realizado Adptado'!C:C,'Realizado Adptado'!D:D,'Realizado Adptado'!$D$140,'Realizado Adptado'!A:A,FINANCEIRO!A7)</f>
        <v>-39678</v>
      </c>
      <c r="I7" s="7">
        <f t="shared" si="2"/>
        <v>11547911</v>
      </c>
    </row>
    <row r="8" spans="1:9" ht="15.75" x14ac:dyDescent="0.25">
      <c r="A8" s="9">
        <v>43647</v>
      </c>
      <c r="B8" s="7">
        <f>SUMIFS('Realizado Adptado'!C:C,'Realizado Adptado'!D:D,fRealizado5[[#This Row],[Nível 1]],'Realizado Adptado'!A:A,FINANCEIRO!A8)</f>
        <v>20728326</v>
      </c>
      <c r="C8" s="7">
        <f>SUMIFS('Realizado Adptado'!C:C,'Realizado Adptado'!D:D,'Realizado Adptado'!$D$77,'Realizado Adptado'!A:A,FINANCEIRO!A8)</f>
        <v>-159948</v>
      </c>
      <c r="D8" s="7">
        <f t="shared" si="0"/>
        <v>20568378</v>
      </c>
      <c r="E8" s="7">
        <f>SUMIFS('Realizado Adptado'!C:C,'Realizado Adptado'!D:D,'Realizado Adptado'!$D$91,'Realizado Adptado'!A:A,FINANCEIRO!A8)</f>
        <v>-4180486</v>
      </c>
      <c r="F8" s="7">
        <f t="shared" si="1"/>
        <v>16387892</v>
      </c>
      <c r="G8" s="7">
        <f>SUMIFS('Realizado Adptado'!C:C,'Realizado Adptado'!D:D,'Realizado Adptado'!$D$118,'Realizado Adptado'!A:A,FINANCEIRO!A8)</f>
        <v>-3134958</v>
      </c>
      <c r="H8" s="7">
        <f>SUMIFS('Realizado Adptado'!C:C,'Realizado Adptado'!D:D,'Realizado Adptado'!$D$140,'Realizado Adptado'!A:A,FINANCEIRO!A8)</f>
        <v>-31127</v>
      </c>
      <c r="I8" s="7">
        <f t="shared" si="2"/>
        <v>13221807</v>
      </c>
    </row>
    <row r="9" spans="1:9" ht="15.75" x14ac:dyDescent="0.25">
      <c r="A9" s="9">
        <v>43678</v>
      </c>
      <c r="B9" s="7">
        <f>SUMIFS('Realizado Adptado'!C:C,'Realizado Adptado'!D:D,fRealizado5[[#This Row],[Nível 1]],'Realizado Adptado'!A:A,FINANCEIRO!A9)</f>
        <v>21262064</v>
      </c>
      <c r="C9" s="7">
        <f>SUMIFS('Realizado Adptado'!C:C,'Realizado Adptado'!D:D,'Realizado Adptado'!$D$77,'Realizado Adptado'!A:A,FINANCEIRO!A9)</f>
        <v>-180363</v>
      </c>
      <c r="D9" s="7">
        <f t="shared" si="0"/>
        <v>21081701</v>
      </c>
      <c r="E9" s="7">
        <f>SUMIFS('Realizado Adptado'!C:C,'Realizado Adptado'!D:D,'Realizado Adptado'!$D$91,'Realizado Adptado'!A:A,FINANCEIRO!A9)</f>
        <v>-4912768</v>
      </c>
      <c r="F9" s="7">
        <f t="shared" si="1"/>
        <v>16168933</v>
      </c>
      <c r="G9" s="7">
        <f>SUMIFS('Realizado Adptado'!C:C,'Realizado Adptado'!D:D,'Realizado Adptado'!$D$118,'Realizado Adptado'!A:A,FINANCEIRO!A9)</f>
        <v>-3040090</v>
      </c>
      <c r="H9" s="7">
        <f>SUMIFS('Realizado Adptado'!C:C,'Realizado Adptado'!D:D,'Realizado Adptado'!$D$140,'Realizado Adptado'!A:A,FINANCEIRO!A9)</f>
        <v>-29301</v>
      </c>
      <c r="I9" s="7">
        <f t="shared" si="2"/>
        <v>13099542</v>
      </c>
    </row>
    <row r="10" spans="1:9" ht="15.75" x14ac:dyDescent="0.25">
      <c r="A10" s="9">
        <v>43709</v>
      </c>
      <c r="B10" s="7">
        <f>SUMIFS('Realizado Adptado'!C:C,'Realizado Adptado'!D:D,fRealizado5[[#This Row],[Nível 1]],'Realizado Adptado'!A:A,FINANCEIRO!A10)</f>
        <v>21001843</v>
      </c>
      <c r="C10" s="7">
        <f>SUMIFS('Realizado Adptado'!C:C,'Realizado Adptado'!D:D,'Realizado Adptado'!$D$77,'Realizado Adptado'!A:A,FINANCEIRO!A10)</f>
        <v>-167665</v>
      </c>
      <c r="D10" s="7">
        <f t="shared" si="0"/>
        <v>20834178</v>
      </c>
      <c r="E10" s="7">
        <f>SUMIFS('Realizado Adptado'!C:C,'Realizado Adptado'!D:D,'Realizado Adptado'!$D$91,'Realizado Adptado'!A:A,FINANCEIRO!A10)</f>
        <v>-4944455</v>
      </c>
      <c r="F10" s="7">
        <f t="shared" si="1"/>
        <v>15889723</v>
      </c>
      <c r="G10" s="7">
        <f>SUMIFS('Realizado Adptado'!C:C,'Realizado Adptado'!D:D,'Realizado Adptado'!$D$118,'Realizado Adptado'!A:A,FINANCEIRO!A10)</f>
        <v>-2640349</v>
      </c>
      <c r="H10" s="7">
        <f>SUMIFS('Realizado Adptado'!C:C,'Realizado Adptado'!D:D,'Realizado Adptado'!$D$140,'Realizado Adptado'!A:A,FINANCEIRO!A10)</f>
        <v>-38038</v>
      </c>
      <c r="I10" s="7">
        <f t="shared" si="2"/>
        <v>13211336</v>
      </c>
    </row>
    <row r="11" spans="1:9" ht="15.75" x14ac:dyDescent="0.25">
      <c r="A11" s="9">
        <v>43739</v>
      </c>
      <c r="B11" s="7">
        <f>SUMIFS('Realizado Adptado'!C:C,'Realizado Adptado'!D:D,fRealizado5[[#This Row],[Nível 1]],'Realizado Adptado'!A:A,FINANCEIRO!A11)</f>
        <v>19216027</v>
      </c>
      <c r="C11" s="7">
        <f>SUMIFS('Realizado Adptado'!C:C,'Realizado Adptado'!D:D,'Realizado Adptado'!$D$77,'Realizado Adptado'!A:A,FINANCEIRO!A11)</f>
        <v>-153051</v>
      </c>
      <c r="D11" s="7">
        <f t="shared" si="0"/>
        <v>19062976</v>
      </c>
      <c r="E11" s="7">
        <f>SUMIFS('Realizado Adptado'!C:C,'Realizado Adptado'!D:D,'Realizado Adptado'!$D$91,'Realizado Adptado'!A:A,FINANCEIRO!A11)</f>
        <v>-4480907</v>
      </c>
      <c r="F11" s="7">
        <f t="shared" si="1"/>
        <v>14582069</v>
      </c>
      <c r="G11" s="7">
        <f>SUMIFS('Realizado Adptado'!C:C,'Realizado Adptado'!D:D,'Realizado Adptado'!$D$118,'Realizado Adptado'!A:A,FINANCEIRO!A11)</f>
        <v>-3195547</v>
      </c>
      <c r="H11" s="7">
        <f>SUMIFS('Realizado Adptado'!C:C,'Realizado Adptado'!D:D,'Realizado Adptado'!$D$140,'Realizado Adptado'!A:A,FINANCEIRO!A11)</f>
        <v>-27175</v>
      </c>
      <c r="I11" s="7">
        <f t="shared" si="2"/>
        <v>11359347</v>
      </c>
    </row>
    <row r="12" spans="1:9" ht="15.75" x14ac:dyDescent="0.25">
      <c r="A12" s="9">
        <v>43770</v>
      </c>
      <c r="B12" s="7">
        <f>SUMIFS('Realizado Adptado'!C:C,'Realizado Adptado'!D:D,fRealizado5[[#This Row],[Nível 1]],'Realizado Adptado'!A:A,FINANCEIRO!A12)</f>
        <v>19431711</v>
      </c>
      <c r="C12" s="7">
        <f>SUMIFS('Realizado Adptado'!C:C,'Realizado Adptado'!D:D,'Realizado Adptado'!$D$77,'Realizado Adptado'!A:A,FINANCEIRO!A12)</f>
        <v>-187203</v>
      </c>
      <c r="D12" s="7">
        <f t="shared" si="0"/>
        <v>19244508</v>
      </c>
      <c r="E12" s="7">
        <f>SUMIFS('Realizado Adptado'!C:C,'Realizado Adptado'!D:D,'Realizado Adptado'!$D$91,'Realizado Adptado'!A:A,FINANCEIRO!A12)</f>
        <v>-4472333</v>
      </c>
      <c r="F12" s="7">
        <f t="shared" si="1"/>
        <v>14772175</v>
      </c>
      <c r="G12" s="7">
        <f>SUMIFS('Realizado Adptado'!C:C,'Realizado Adptado'!D:D,'Realizado Adptado'!$D$118,'Realizado Adptado'!A:A,FINANCEIRO!A12)</f>
        <v>-3378288</v>
      </c>
      <c r="H12" s="7">
        <f>SUMIFS('Realizado Adptado'!C:C,'Realizado Adptado'!D:D,'Realizado Adptado'!$D$140,'Realizado Adptado'!A:A,FINANCEIRO!A12)</f>
        <v>-34834</v>
      </c>
      <c r="I12" s="7">
        <f t="shared" si="2"/>
        <v>11359053</v>
      </c>
    </row>
    <row r="13" spans="1:9" ht="15.75" x14ac:dyDescent="0.25">
      <c r="A13" s="9">
        <v>43800</v>
      </c>
      <c r="B13" s="7">
        <f>SUMIFS('Realizado Adptado'!C:C,'Realizado Adptado'!D:D,fRealizado5[[#This Row],[Nível 1]],'Realizado Adptado'!A:A,FINANCEIRO!A13)</f>
        <v>21131071</v>
      </c>
      <c r="C13" s="7">
        <f>SUMIFS('Realizado Adptado'!C:C,'Realizado Adptado'!D:D,'Realizado Adptado'!$D$77,'Realizado Adptado'!A:A,FINANCEIRO!A13)</f>
        <v>-170427</v>
      </c>
      <c r="D13" s="7">
        <f t="shared" si="0"/>
        <v>20960644</v>
      </c>
      <c r="E13" s="7">
        <f>SUMIFS('Realizado Adptado'!C:C,'Realizado Adptado'!D:D,'Realizado Adptado'!$D$91,'Realizado Adptado'!A:A,FINANCEIRO!A13)</f>
        <v>-4619555</v>
      </c>
      <c r="F13" s="7">
        <f t="shared" si="1"/>
        <v>16341089</v>
      </c>
      <c r="G13" s="7">
        <f>SUMIFS('Realizado Adptado'!C:C,'Realizado Adptado'!D:D,'Realizado Adptado'!$D$118,'Realizado Adptado'!A:A,FINANCEIRO!A13)</f>
        <v>-3259149</v>
      </c>
      <c r="H13" s="7">
        <f>SUMIFS('Realizado Adptado'!C:C,'Realizado Adptado'!D:D,'Realizado Adptado'!$D$140,'Realizado Adptado'!A:A,FINANCEIRO!A13)</f>
        <v>-27796</v>
      </c>
      <c r="I13" s="7">
        <f t="shared" si="2"/>
        <v>13054144</v>
      </c>
    </row>
    <row r="14" spans="1:9" s="32" customFormat="1" ht="15.75" x14ac:dyDescent="0.25">
      <c r="A14" s="34"/>
      <c r="B14" s="35"/>
      <c r="C14" s="35"/>
      <c r="D14" s="35"/>
      <c r="E14" s="35"/>
      <c r="F14" s="35"/>
      <c r="G14" s="35"/>
      <c r="H14" s="35"/>
      <c r="I14" s="35"/>
    </row>
    <row r="19" spans="1:7" s="27" customFormat="1" ht="15.75" x14ac:dyDescent="0.25">
      <c r="A19" s="26" t="s">
        <v>312</v>
      </c>
      <c r="B19" s="26" t="s">
        <v>323</v>
      </c>
      <c r="C19" s="26" t="s">
        <v>324</v>
      </c>
      <c r="D19" s="26" t="s">
        <v>325</v>
      </c>
      <c r="E19" s="26" t="s">
        <v>326</v>
      </c>
      <c r="F19" s="26" t="s">
        <v>318</v>
      </c>
      <c r="G19" s="26" t="s">
        <v>322</v>
      </c>
    </row>
    <row r="20" spans="1:7" ht="15.75" x14ac:dyDescent="0.25">
      <c r="A20" s="9">
        <v>43466</v>
      </c>
      <c r="B20" s="33">
        <f>C2/D2</f>
        <v>-9.3174114451264976E-3</v>
      </c>
      <c r="C20" s="33">
        <f>E2/D2</f>
        <v>-0.24745072163653165</v>
      </c>
      <c r="D20" s="33">
        <f>G2/D2</f>
        <v>-0.16531269943175761</v>
      </c>
      <c r="E20" s="33">
        <f>H2/D2</f>
        <v>-1.2532582348232528E-3</v>
      </c>
      <c r="F20" s="8">
        <f>F2/D2</f>
        <v>0.7525492783634683</v>
      </c>
      <c r="G20" s="8">
        <f>I2/D2</f>
        <v>0.58598332069688752</v>
      </c>
    </row>
    <row r="21" spans="1:7" ht="15.75" x14ac:dyDescent="0.25">
      <c r="A21" s="9">
        <v>43497</v>
      </c>
      <c r="B21" s="33">
        <f t="shared" ref="B21:B31" si="3">C3/D3</f>
        <v>-8.6369167051280806E-3</v>
      </c>
      <c r="C21" s="33">
        <f t="shared" ref="C21:C31" si="4">E3/D3</f>
        <v>-0.2680255698975435</v>
      </c>
      <c r="D21" s="33">
        <f t="shared" ref="D21:D31" si="5">G3/D3</f>
        <v>-0.16370255828848479</v>
      </c>
      <c r="E21" s="33">
        <f t="shared" ref="E21:E31" si="6">H3/D3</f>
        <v>-1.9922935492162112E-3</v>
      </c>
      <c r="F21" s="8">
        <f>F3/D3</f>
        <v>0.73197443010245644</v>
      </c>
      <c r="G21" s="8">
        <f>I3/D3</f>
        <v>0.5662795782647555</v>
      </c>
    </row>
    <row r="22" spans="1:7" ht="15.75" x14ac:dyDescent="0.25">
      <c r="A22" s="9">
        <v>43525</v>
      </c>
      <c r="B22" s="33">
        <f t="shared" si="3"/>
        <v>-6.9648633123497988E-3</v>
      </c>
      <c r="C22" s="33">
        <f t="shared" si="4"/>
        <v>-0.22521330162397643</v>
      </c>
      <c r="D22" s="33">
        <f t="shared" si="5"/>
        <v>-0.15356786113921317</v>
      </c>
      <c r="E22" s="33">
        <f t="shared" si="6"/>
        <v>-1.682622382018576E-3</v>
      </c>
      <c r="F22" s="8">
        <f>F4/D4</f>
        <v>0.77478669837602354</v>
      </c>
      <c r="G22" s="8">
        <f>I4/D4</f>
        <v>0.61953621485479182</v>
      </c>
    </row>
    <row r="23" spans="1:7" ht="15.75" x14ac:dyDescent="0.25">
      <c r="A23" s="9">
        <v>43556</v>
      </c>
      <c r="B23" s="33">
        <f t="shared" si="3"/>
        <v>-8.7840008128236696E-3</v>
      </c>
      <c r="C23" s="33">
        <f t="shared" si="4"/>
        <v>-0.23175103591502674</v>
      </c>
      <c r="D23" s="33">
        <f t="shared" si="5"/>
        <v>-0.1296143580767572</v>
      </c>
      <c r="E23" s="33">
        <f t="shared" si="6"/>
        <v>-1.623673975130753E-3</v>
      </c>
      <c r="F23" s="8">
        <f>F5/D5</f>
        <v>0.76824896408497323</v>
      </c>
      <c r="G23" s="8">
        <f>I5/D5</f>
        <v>0.63701093203308534</v>
      </c>
    </row>
    <row r="24" spans="1:7" ht="15.75" x14ac:dyDescent="0.25">
      <c r="A24" s="9">
        <v>43586</v>
      </c>
      <c r="B24" s="33">
        <f t="shared" si="3"/>
        <v>-9.5968648422262975E-3</v>
      </c>
      <c r="C24" s="33">
        <f t="shared" si="4"/>
        <v>-0.29717684786998882</v>
      </c>
      <c r="D24" s="33">
        <f t="shared" si="5"/>
        <v>-0.20895833037030304</v>
      </c>
      <c r="E24" s="33">
        <f t="shared" si="6"/>
        <v>-1.9062257862610442E-3</v>
      </c>
      <c r="F24" s="8">
        <f>F6/D6</f>
        <v>0.70282315213001123</v>
      </c>
      <c r="G24" s="8">
        <f>I6/D6</f>
        <v>0.4919585959734471</v>
      </c>
    </row>
    <row r="25" spans="1:7" ht="15.75" x14ac:dyDescent="0.25">
      <c r="A25" s="9">
        <v>43617</v>
      </c>
      <c r="B25" s="33">
        <f t="shared" si="3"/>
        <v>-8.10248546427874E-3</v>
      </c>
      <c r="C25" s="33">
        <f t="shared" si="4"/>
        <v>-0.24911465597999072</v>
      </c>
      <c r="D25" s="33">
        <f t="shared" si="5"/>
        <v>-0.16051560039110072</v>
      </c>
      <c r="E25" s="33">
        <f t="shared" si="6"/>
        <v>-2.021532752646632E-3</v>
      </c>
      <c r="F25" s="8">
        <f>F7/D7</f>
        <v>0.75088534402000928</v>
      </c>
      <c r="G25" s="8">
        <f>I7/D7</f>
        <v>0.58834821087626199</v>
      </c>
    </row>
    <row r="26" spans="1:7" ht="15.75" x14ac:dyDescent="0.25">
      <c r="A26" s="9">
        <v>43647</v>
      </c>
      <c r="B26" s="33">
        <f t="shared" si="3"/>
        <v>-7.7764031757876096E-3</v>
      </c>
      <c r="C26" s="33">
        <f t="shared" si="4"/>
        <v>-0.2032482094601723</v>
      </c>
      <c r="D26" s="33">
        <f t="shared" si="5"/>
        <v>-0.15241639374772284</v>
      </c>
      <c r="E26" s="33">
        <f t="shared" si="6"/>
        <v>-1.5133424716329115E-3</v>
      </c>
      <c r="F26" s="8">
        <f>F8/D8</f>
        <v>0.7967517905398277</v>
      </c>
      <c r="G26" s="8">
        <f>I8/D8</f>
        <v>0.6428220543204719</v>
      </c>
    </row>
    <row r="27" spans="1:7" ht="15.75" x14ac:dyDescent="0.25">
      <c r="A27" s="9">
        <v>43678</v>
      </c>
      <c r="B27" s="33">
        <f t="shared" si="3"/>
        <v>-8.5554291847702423E-3</v>
      </c>
      <c r="C27" s="33">
        <f t="shared" si="4"/>
        <v>-0.23303470626018272</v>
      </c>
      <c r="D27" s="33">
        <f t="shared" si="5"/>
        <v>-0.14420515687989313</v>
      </c>
      <c r="E27" s="33">
        <f t="shared" si="6"/>
        <v>-1.3898783594359866E-3</v>
      </c>
      <c r="F27" s="8">
        <f>F9/D9</f>
        <v>0.76696529373981726</v>
      </c>
      <c r="G27" s="8">
        <f>I9/D9</f>
        <v>0.62137025850048822</v>
      </c>
    </row>
    <row r="28" spans="1:7" ht="15.75" x14ac:dyDescent="0.25">
      <c r="A28" s="9">
        <v>43709</v>
      </c>
      <c r="B28" s="33">
        <f t="shared" si="3"/>
        <v>-8.0475937183602832E-3</v>
      </c>
      <c r="C28" s="33">
        <f t="shared" si="4"/>
        <v>-0.23732421792690836</v>
      </c>
      <c r="D28" s="33">
        <f t="shared" si="5"/>
        <v>-0.12673161379345035</v>
      </c>
      <c r="E28" s="33">
        <f t="shared" si="6"/>
        <v>-1.825749976792941E-3</v>
      </c>
      <c r="F28" s="8">
        <f>F10/D10</f>
        <v>0.76267578207309161</v>
      </c>
      <c r="G28" s="8">
        <f>I10/D10</f>
        <v>0.63411841830284832</v>
      </c>
    </row>
    <row r="29" spans="1:7" ht="15.75" x14ac:dyDescent="0.25">
      <c r="A29" s="9">
        <v>43739</v>
      </c>
      <c r="B29" s="33">
        <f t="shared" si="3"/>
        <v>-8.0287044373344441E-3</v>
      </c>
      <c r="C29" s="33">
        <f t="shared" si="4"/>
        <v>-0.23505810425402623</v>
      </c>
      <c r="D29" s="33">
        <f t="shared" si="5"/>
        <v>-0.16763106662884117</v>
      </c>
      <c r="E29" s="33">
        <f t="shared" si="6"/>
        <v>-1.4255381741025116E-3</v>
      </c>
      <c r="F29" s="8">
        <f>F11/D11</f>
        <v>0.76494189574597382</v>
      </c>
      <c r="G29" s="8">
        <f>I11/D11</f>
        <v>0.59588529094303011</v>
      </c>
    </row>
    <row r="30" spans="1:7" ht="15.75" x14ac:dyDescent="0.25">
      <c r="A30" s="9">
        <v>43770</v>
      </c>
      <c r="B30" s="33">
        <f t="shared" si="3"/>
        <v>-9.7276064423159059E-3</v>
      </c>
      <c r="C30" s="33">
        <f t="shared" si="4"/>
        <v>-0.23239528908715151</v>
      </c>
      <c r="D30" s="33">
        <f t="shared" si="5"/>
        <v>-0.17554556344074893</v>
      </c>
      <c r="E30" s="33">
        <f t="shared" si="6"/>
        <v>-1.8100748535634166E-3</v>
      </c>
      <c r="F30" s="8">
        <f>F12/D12</f>
        <v>0.76760471091284843</v>
      </c>
      <c r="G30" s="8">
        <f>I12/D12</f>
        <v>0.59024907261853621</v>
      </c>
    </row>
    <row r="31" spans="1:7" ht="15.75" x14ac:dyDescent="0.25">
      <c r="A31" s="9">
        <v>43800</v>
      </c>
      <c r="B31" s="33">
        <f t="shared" si="3"/>
        <v>-8.1308093396367017E-3</v>
      </c>
      <c r="C31" s="33">
        <f t="shared" si="4"/>
        <v>-0.2203918448307218</v>
      </c>
      <c r="D31" s="33">
        <f t="shared" si="5"/>
        <v>-0.15548897257164426</v>
      </c>
      <c r="E31" s="33">
        <f t="shared" si="6"/>
        <v>-1.3261042933604521E-3</v>
      </c>
      <c r="F31" s="8">
        <f>F13/D13</f>
        <v>0.77960815516927817</v>
      </c>
      <c r="G31" s="8">
        <f>I13/D13</f>
        <v>0.62279307830427344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BCA5F0-E3E3-47F9-BE1B-C43CD0A22224}">
          <x14:formula1>
            <xm:f>Realizado!$A$2:$A$1681</xm:f>
          </x14:formula1>
          <xm:sqref>A2:A13 A20:A31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1126-DC9B-42AC-904B-BBDABC93A89A}">
  <sheetPr>
    <tabColor theme="9" tint="0.59999389629810485"/>
  </sheetPr>
  <dimension ref="A1:J15"/>
  <sheetViews>
    <sheetView showGridLines="0" tabSelected="1" zoomScale="70" zoomScaleNormal="70" workbookViewId="0">
      <selection activeCell="L20" sqref="L20"/>
    </sheetView>
  </sheetViews>
  <sheetFormatPr defaultColWidth="14.7109375" defaultRowHeight="15" x14ac:dyDescent="0.25"/>
  <cols>
    <col min="1" max="1" width="27.85546875" customWidth="1"/>
    <col min="2" max="2" width="35.42578125" bestFit="1" customWidth="1"/>
    <col min="3" max="3" width="28.140625" bestFit="1" customWidth="1"/>
    <col min="4" max="5" width="23" customWidth="1"/>
    <col min="6" max="6" width="29.42578125" bestFit="1" customWidth="1"/>
    <col min="7" max="7" width="19.42578125" customWidth="1"/>
    <col min="8" max="8" width="27.42578125" bestFit="1" customWidth="1"/>
  </cols>
  <sheetData>
    <row r="1" spans="1:10" ht="15" customHeight="1" x14ac:dyDescent="0.25">
      <c r="A1" s="39" t="s">
        <v>313</v>
      </c>
      <c r="B1" s="39" t="s">
        <v>314</v>
      </c>
      <c r="C1" s="39" t="s">
        <v>315</v>
      </c>
      <c r="D1" s="39" t="s">
        <v>316</v>
      </c>
      <c r="E1" s="39" t="s">
        <v>317</v>
      </c>
      <c r="F1" s="39" t="s">
        <v>319</v>
      </c>
      <c r="G1" s="39" t="s">
        <v>320</v>
      </c>
      <c r="H1" s="39" t="s">
        <v>321</v>
      </c>
      <c r="I1" s="39" t="s">
        <v>349</v>
      </c>
      <c r="J1" s="39"/>
    </row>
    <row r="2" spans="1:10" s="5" customFormat="1" ht="1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15" customHeight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15" customHeight="1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ht="15.7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ht="15.75" customHeight="1" x14ac:dyDescent="0.25">
      <c r="A6" s="40">
        <f>SUM(FINANCEIRO!B2:B13)</f>
        <v>240752117</v>
      </c>
      <c r="B6" s="40">
        <f>SUM(FINANCEIRO!C2:C13)</f>
        <v>-2016542</v>
      </c>
      <c r="C6" s="40">
        <f>SUM(FINANCEIRO!D2:D13)</f>
        <v>238735575</v>
      </c>
      <c r="D6" s="40">
        <f>SUM(FINANCEIRO!E2:E13)</f>
        <v>-57075497</v>
      </c>
      <c r="E6" s="40">
        <f>SUM(FINANCEIRO!F2:F13)</f>
        <v>181660078</v>
      </c>
      <c r="F6" s="40">
        <f>SUM(FINANCEIRO!G2:G13)</f>
        <v>-37665020</v>
      </c>
      <c r="G6" s="40">
        <f>SUM(FINANCEIRO!H2:H13)</f>
        <v>-391967</v>
      </c>
      <c r="H6" s="40">
        <f>SUM(FINANCEIRO!I2:I13)</f>
        <v>143603091</v>
      </c>
      <c r="I6" s="40">
        <f>AVERAGE(FINANCEIRO!I2:I13)</f>
        <v>11966924.25</v>
      </c>
      <c r="J6" s="40"/>
    </row>
    <row r="7" spans="1:10" ht="15" customHeight="1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</row>
    <row r="8" spans="1:10" ht="15" customHeight="1" x14ac:dyDescent="0.25">
      <c r="A8" s="40"/>
      <c r="B8" s="40"/>
      <c r="C8" s="40"/>
      <c r="D8" s="40"/>
      <c r="E8" s="40"/>
      <c r="F8" s="40"/>
      <c r="G8" s="40"/>
      <c r="H8" s="40"/>
      <c r="I8" s="40"/>
      <c r="J8" s="40"/>
    </row>
    <row r="9" spans="1:10" ht="15" customHeight="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</row>
    <row r="10" spans="1:10" ht="15" customHeight="1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</row>
    <row r="11" spans="1:10" ht="15" customHeight="1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</row>
    <row r="12" spans="1:10" ht="15" customHeight="1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</row>
    <row r="13" spans="1:10" ht="15" customHeight="1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</row>
    <row r="14" spans="1:10" ht="15" customHeight="1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</row>
    <row r="15" spans="1:10" ht="15" customHeight="1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</row>
  </sheetData>
  <mergeCells count="18">
    <mergeCell ref="H1:H5"/>
    <mergeCell ref="I1:J5"/>
    <mergeCell ref="I6:J15"/>
    <mergeCell ref="H6:H15"/>
    <mergeCell ref="A1:A5"/>
    <mergeCell ref="B1:B5"/>
    <mergeCell ref="C1:C5"/>
    <mergeCell ref="D1:D5"/>
    <mergeCell ref="E1:E5"/>
    <mergeCell ref="F1:F5"/>
    <mergeCell ref="G1:G5"/>
    <mergeCell ref="A6:A15"/>
    <mergeCell ref="B6:B15"/>
    <mergeCell ref="C6:C15"/>
    <mergeCell ref="E6:E15"/>
    <mergeCell ref="D6:D15"/>
    <mergeCell ref="F6:F15"/>
    <mergeCell ref="G6:G15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8087-DB06-4F23-ABD0-C41883BCA4FE}">
  <sheetPr>
    <tabColor theme="9" tint="0.59999389629810485"/>
  </sheetPr>
  <dimension ref="A1:M25"/>
  <sheetViews>
    <sheetView showGridLines="0" zoomScale="93" zoomScaleNormal="93" workbookViewId="0">
      <selection activeCell="F18" sqref="F18"/>
    </sheetView>
  </sheetViews>
  <sheetFormatPr defaultRowHeight="15" x14ac:dyDescent="0.25"/>
  <cols>
    <col min="1" max="1" width="11.42578125" customWidth="1"/>
    <col min="2" max="2" width="18.28515625" customWidth="1"/>
    <col min="3" max="3" width="16.85546875" customWidth="1"/>
    <col min="4" max="4" width="17.5703125" customWidth="1"/>
    <col min="5" max="5" width="11.5703125" customWidth="1"/>
    <col min="8" max="8" width="17.5703125" customWidth="1"/>
    <col min="9" max="9" width="33.5703125" customWidth="1"/>
    <col min="10" max="10" width="15.28515625" customWidth="1"/>
    <col min="11" max="11" width="17.42578125" customWidth="1"/>
    <col min="12" max="12" width="17.7109375" customWidth="1"/>
    <col min="13" max="13" width="11.7109375" style="6" customWidth="1"/>
  </cols>
  <sheetData>
    <row r="1" spans="1:13" x14ac:dyDescent="0.25">
      <c r="A1" s="15" t="s">
        <v>191</v>
      </c>
      <c r="B1" s="15" t="s">
        <v>192</v>
      </c>
      <c r="C1" s="15" t="s">
        <v>194</v>
      </c>
      <c r="D1" s="15" t="s">
        <v>327</v>
      </c>
      <c r="E1" s="16" t="s">
        <v>328</v>
      </c>
      <c r="H1" s="2" t="s">
        <v>6</v>
      </c>
      <c r="I1" s="2" t="s">
        <v>7</v>
      </c>
      <c r="J1" t="s">
        <v>192</v>
      </c>
      <c r="K1" t="s">
        <v>194</v>
      </c>
      <c r="L1" t="s">
        <v>327</v>
      </c>
      <c r="M1" s="6" t="s">
        <v>328</v>
      </c>
    </row>
    <row r="2" spans="1:13" ht="15.75" x14ac:dyDescent="0.25">
      <c r="A2" s="11">
        <v>43466</v>
      </c>
      <c r="B2" s="19">
        <f>SUMIF('Orçado Adptado'!A:A,Tabela8[[#This Row],[Mês/Ano]],'Orçado Adptado'!C:C)</f>
        <v>12628342</v>
      </c>
      <c r="C2" s="19">
        <f>SUMIF(Realizado!A:A,Tabela8[[#This Row],[Mês/Ano]],Realizado!C:C)</f>
        <v>11641038</v>
      </c>
      <c r="D2" s="19">
        <f>Tabela8[[#This Row],[Valor Realizado]]-Tabela8[[#This Row],[Valor Orçado]]</f>
        <v>-987304</v>
      </c>
      <c r="E2" s="13">
        <f>ABS((Tabela8[[#This Row],[Valor Realizado]]-Tabela8[[#This Row],[Valor Orçado]])/Tabela8[[#This Row],[Valor Orçado]])</f>
        <v>7.818160135352685E-2</v>
      </c>
      <c r="H2" s="3" t="s">
        <v>51</v>
      </c>
      <c r="I2" s="3" t="s">
        <v>10</v>
      </c>
      <c r="J2" s="22">
        <f>SUMIF('Orçado Adptado'!B:B,ORÇAMENTO!H2,'Orçado Adptado'!C:C)</f>
        <v>8701733</v>
      </c>
      <c r="K2" s="22">
        <f>SUMIF(Realizado!B:B,ORÇAMENTO!H2,Realizado!C:C)</f>
        <v>7791574</v>
      </c>
      <c r="L2" s="22">
        <f>K2-J2</f>
        <v>-910159</v>
      </c>
      <c r="M2" s="6">
        <f t="shared" ref="M2:M25" si="0">ABS((K2-J2)/J2)</f>
        <v>0.10459514214007716</v>
      </c>
    </row>
    <row r="3" spans="1:13" ht="15.75" x14ac:dyDescent="0.25">
      <c r="A3" s="12">
        <v>43497</v>
      </c>
      <c r="B3" s="20">
        <f>SUMIF('Orçado Adptado'!A:A,Tabela8[[#This Row],[Mês/Ano]],'Orçado Adptado'!C:C)</f>
        <v>12787711</v>
      </c>
      <c r="C3" s="20">
        <f>SUMIF(Realizado!A:A,Tabela8[[#This Row],[Mês/Ano]],Realizado!C:C)</f>
        <v>11031445</v>
      </c>
      <c r="D3" s="20">
        <f>Tabela8[[#This Row],[Valor Realizado]]-Tabela8[[#This Row],[Valor Orçado]]</f>
        <v>-1756266</v>
      </c>
      <c r="E3" s="14">
        <f>ABS((Tabela8[[#This Row],[Valor Realizado]]-Tabela8[[#This Row],[Valor Orçado]])/Tabela8[[#This Row],[Valor Orçado]])</f>
        <v>0.13734013851267049</v>
      </c>
      <c r="H3" s="4" t="s">
        <v>52</v>
      </c>
      <c r="I3" s="4" t="s">
        <v>11</v>
      </c>
      <c r="J3" s="22">
        <f>SUMIF('Orçado Adptado'!B:B,ORÇAMENTO!H3,'Orçado Adptado'!C:C)</f>
        <v>5786342</v>
      </c>
      <c r="K3" s="22">
        <f>SUMIF(Realizado!B:B,ORÇAMENTO!H3,Realizado!C:C)</f>
        <v>7768159</v>
      </c>
      <c r="L3" s="22">
        <f t="shared" ref="L3:L24" si="1">K3-J3</f>
        <v>1981817</v>
      </c>
      <c r="M3" s="6">
        <f t="shared" si="0"/>
        <v>0.34249911256541699</v>
      </c>
    </row>
    <row r="4" spans="1:13" ht="15.75" x14ac:dyDescent="0.25">
      <c r="A4" s="11">
        <v>43525</v>
      </c>
      <c r="B4" s="19">
        <f>SUMIF('Orçado Adptado'!A:A,Tabela8[[#This Row],[Mês/Ano]],'Orçado Adptado'!C:C)</f>
        <v>14186373</v>
      </c>
      <c r="C4" s="19">
        <f>SUMIF(Realizado!A:A,Tabela8[[#This Row],[Mês/Ano]],Realizado!C:C)</f>
        <v>12978938</v>
      </c>
      <c r="D4" s="19">
        <f>Tabela8[[#This Row],[Valor Realizado]]-Tabela8[[#This Row],[Valor Orçado]]</f>
        <v>-1207435</v>
      </c>
      <c r="E4" s="13">
        <f>ABS((Tabela8[[#This Row],[Valor Realizado]]-Tabela8[[#This Row],[Valor Orçado]])/Tabela8[[#This Row],[Valor Orçado]])</f>
        <v>8.5112311652879843E-2</v>
      </c>
      <c r="H4" s="3" t="s">
        <v>53</v>
      </c>
      <c r="I4" s="3" t="s">
        <v>12</v>
      </c>
      <c r="J4" s="22">
        <f>SUMIF('Orçado Adptado'!B:B,ORÇAMENTO!H4,'Orçado Adptado'!C:C)</f>
        <v>5564830</v>
      </c>
      <c r="K4" s="22">
        <f>SUMIF(Realizado!B:B,ORÇAMENTO!H4,Realizado!C:C)</f>
        <v>7368112</v>
      </c>
      <c r="L4" s="22">
        <f t="shared" si="1"/>
        <v>1803282</v>
      </c>
      <c r="M4" s="6">
        <f t="shared" si="0"/>
        <v>0.32404979127843975</v>
      </c>
    </row>
    <row r="5" spans="1:13" ht="15.75" x14ac:dyDescent="0.25">
      <c r="A5" s="12">
        <v>43556</v>
      </c>
      <c r="B5" s="20">
        <f>SUMIF('Orçado Adptado'!A:A,Tabela8[[#This Row],[Mês/Ano]],'Orçado Adptado'!C:C)</f>
        <v>9555695</v>
      </c>
      <c r="C5" s="20">
        <f>SUMIF(Realizado!A:A,Tabela8[[#This Row],[Mês/Ano]],Realizado!C:C)</f>
        <v>12589377</v>
      </c>
      <c r="D5" s="20">
        <f>Tabela8[[#This Row],[Valor Realizado]]-Tabela8[[#This Row],[Valor Orçado]]</f>
        <v>3033682</v>
      </c>
      <c r="E5" s="14">
        <f>ABS((Tabela8[[#This Row],[Valor Realizado]]-Tabela8[[#This Row],[Valor Orçado]])/Tabela8[[#This Row],[Valor Orçado]])</f>
        <v>0.31747371593588952</v>
      </c>
      <c r="H5" s="4" t="s">
        <v>54</v>
      </c>
      <c r="I5" s="4" t="s">
        <v>13</v>
      </c>
      <c r="J5" s="22">
        <f>SUMIF('Orçado Adptado'!B:B,ORÇAMENTO!H5,'Orçado Adptado'!C:C)</f>
        <v>6741887</v>
      </c>
      <c r="K5" s="22">
        <f>SUMIF(Realizado!B:B,ORÇAMENTO!H5,Realizado!C:C)</f>
        <v>8291974</v>
      </c>
      <c r="L5" s="22">
        <f t="shared" si="1"/>
        <v>1550087</v>
      </c>
      <c r="M5" s="6">
        <f t="shared" si="0"/>
        <v>0.22991886396197386</v>
      </c>
    </row>
    <row r="6" spans="1:13" ht="15.75" x14ac:dyDescent="0.25">
      <c r="A6" s="11">
        <v>43586</v>
      </c>
      <c r="B6" s="19">
        <f>SUMIF('Orçado Adptado'!A:A,Tabela8[[#This Row],[Mês/Ano]],'Orçado Adptado'!C:C)</f>
        <v>11240344</v>
      </c>
      <c r="C6" s="19">
        <f>SUMIF(Realizado!A:A,Tabela8[[#This Row],[Mês/Ano]],Realizado!C:C)</f>
        <v>8509153</v>
      </c>
      <c r="D6" s="19">
        <f>Tabela8[[#This Row],[Valor Realizado]]-Tabela8[[#This Row],[Valor Orçado]]</f>
        <v>-2731191</v>
      </c>
      <c r="E6" s="13">
        <f>ABS((Tabela8[[#This Row],[Valor Realizado]]-Tabela8[[#This Row],[Valor Orçado]])/Tabela8[[#This Row],[Valor Orçado]])</f>
        <v>0.24298108669983765</v>
      </c>
      <c r="H6" s="3" t="s">
        <v>55</v>
      </c>
      <c r="I6" s="3" t="s">
        <v>14</v>
      </c>
      <c r="J6" s="22">
        <f>SUMIF('Orçado Adptado'!B:B,ORÇAMENTO!H6,'Orçado Adptado'!C:C)</f>
        <v>9282137</v>
      </c>
      <c r="K6" s="22">
        <f>SUMIF(Realizado!B:B,ORÇAMENTO!H6,Realizado!C:C)</f>
        <v>8563185</v>
      </c>
      <c r="L6" s="22">
        <f t="shared" si="1"/>
        <v>-718952</v>
      </c>
      <c r="M6" s="6">
        <f t="shared" si="0"/>
        <v>7.7455439410127211E-2</v>
      </c>
    </row>
    <row r="7" spans="1:13" ht="15.75" x14ac:dyDescent="0.25">
      <c r="A7" s="12">
        <v>43617</v>
      </c>
      <c r="B7" s="20">
        <f>SUMIF('Orçado Adptado'!A:A,Tabela8[[#This Row],[Mês/Ano]],'Orçado Adptado'!C:C)</f>
        <v>11922744</v>
      </c>
      <c r="C7" s="20">
        <f>SUMIF(Realizado!A:A,Tabela8[[#This Row],[Mês/Ano]],Realizado!C:C)</f>
        <v>11547911</v>
      </c>
      <c r="D7" s="20">
        <f>Tabela8[[#This Row],[Valor Realizado]]-Tabela8[[#This Row],[Valor Orçado]]</f>
        <v>-374833</v>
      </c>
      <c r="E7" s="14">
        <f>ABS((Tabela8[[#This Row],[Valor Realizado]]-Tabela8[[#This Row],[Valor Orçado]])/Tabela8[[#This Row],[Valor Orçado]])</f>
        <v>3.1438484295225999E-2</v>
      </c>
      <c r="H7" s="4" t="s">
        <v>56</v>
      </c>
      <c r="I7" s="4" t="s">
        <v>15</v>
      </c>
      <c r="J7" s="22">
        <f>SUMIF('Orçado Adptado'!B:B,ORÇAMENTO!H7,'Orçado Adptado'!C:C)</f>
        <v>7594408</v>
      </c>
      <c r="K7" s="22">
        <f>SUMIF(Realizado!B:B,ORÇAMENTO!H7,Realizado!C:C)</f>
        <v>5688659</v>
      </c>
      <c r="L7" s="22">
        <f t="shared" si="1"/>
        <v>-1905749</v>
      </c>
      <c r="M7" s="6">
        <f t="shared" si="0"/>
        <v>0.25094108717888214</v>
      </c>
    </row>
    <row r="8" spans="1:13" ht="15.75" x14ac:dyDescent="0.25">
      <c r="A8" s="11">
        <v>43647</v>
      </c>
      <c r="B8" s="19">
        <f>SUMIF('Orçado Adptado'!A:A,Tabela8[[#This Row],[Mês/Ano]],'Orçado Adptado'!C:C)</f>
        <v>12505746</v>
      </c>
      <c r="C8" s="19">
        <f>SUMIF(Realizado!A:A,Tabela8[[#This Row],[Mês/Ano]],Realizado!C:C)</f>
        <v>13221807</v>
      </c>
      <c r="D8" s="19">
        <f>Tabela8[[#This Row],[Valor Realizado]]-Tabela8[[#This Row],[Valor Orçado]]</f>
        <v>716061</v>
      </c>
      <c r="E8" s="13">
        <f>ABS((Tabela8[[#This Row],[Valor Realizado]]-Tabela8[[#This Row],[Valor Orçado]])/Tabela8[[#This Row],[Valor Orçado]])</f>
        <v>5.7258559385421709E-2</v>
      </c>
      <c r="H8" s="3" t="s">
        <v>57</v>
      </c>
      <c r="I8" s="3" t="s">
        <v>16</v>
      </c>
      <c r="J8" s="22">
        <f>SUMIF('Orçado Adptado'!B:B,ORÇAMENTO!H8,'Orçado Adptado'!C:C)</f>
        <v>6232625</v>
      </c>
      <c r="K8" s="22">
        <f>SUMIF(Realizado!B:B,ORÇAMENTO!H8,Realizado!C:C)</f>
        <v>7829374</v>
      </c>
      <c r="L8" s="22">
        <f t="shared" si="1"/>
        <v>1596749</v>
      </c>
      <c r="M8" s="6">
        <f t="shared" si="0"/>
        <v>0.25619205390986943</v>
      </c>
    </row>
    <row r="9" spans="1:13" ht="15.75" x14ac:dyDescent="0.25">
      <c r="A9" s="12">
        <v>43678</v>
      </c>
      <c r="B9" s="20">
        <f>SUMIF('Orçado Adptado'!A:A,Tabela8[[#This Row],[Mês/Ano]],'Orçado Adptado'!C:C)</f>
        <v>11962102</v>
      </c>
      <c r="C9" s="20">
        <f>SUMIF(Realizado!A:A,Tabela8[[#This Row],[Mês/Ano]],Realizado!C:C)</f>
        <v>13099542</v>
      </c>
      <c r="D9" s="20">
        <f>Tabela8[[#This Row],[Valor Realizado]]-Tabela8[[#This Row],[Valor Orçado]]</f>
        <v>1137440</v>
      </c>
      <c r="E9" s="14">
        <f>ABS((Tabela8[[#This Row],[Valor Realizado]]-Tabela8[[#This Row],[Valor Orçado]])/Tabela8[[#This Row],[Valor Orçado]])</f>
        <v>9.5086967156775629E-2</v>
      </c>
      <c r="H9" s="4" t="s">
        <v>58</v>
      </c>
      <c r="I9" s="4" t="s">
        <v>17</v>
      </c>
      <c r="J9" s="22">
        <f>SUMIF('Orçado Adptado'!B:B,ORÇAMENTO!H9,'Orçado Adptado'!C:C)</f>
        <v>7134223</v>
      </c>
      <c r="K9" s="22">
        <f>SUMIF(Realizado!B:B,ORÇAMENTO!H9,Realizado!C:C)</f>
        <v>7931061</v>
      </c>
      <c r="L9" s="22">
        <f t="shared" si="1"/>
        <v>796838</v>
      </c>
      <c r="M9" s="6">
        <f t="shared" si="0"/>
        <v>0.1116923314564179</v>
      </c>
    </row>
    <row r="10" spans="1:13" ht="15.75" x14ac:dyDescent="0.25">
      <c r="A10" s="11">
        <v>43709</v>
      </c>
      <c r="B10" s="19">
        <f>SUMIF('Orçado Adptado'!A:A,Tabela8[[#This Row],[Mês/Ano]],'Orçado Adptado'!C:C)</f>
        <v>11825071</v>
      </c>
      <c r="C10" s="19">
        <f>SUMIF(Realizado!A:A,Tabela8[[#This Row],[Mês/Ano]],Realizado!C:C)</f>
        <v>13211336</v>
      </c>
      <c r="D10" s="19">
        <f>Tabela8[[#This Row],[Valor Realizado]]-Tabela8[[#This Row],[Valor Orçado]]</f>
        <v>1386265</v>
      </c>
      <c r="E10" s="13">
        <f>ABS((Tabela8[[#This Row],[Valor Realizado]]-Tabela8[[#This Row],[Valor Orçado]])/Tabela8[[#This Row],[Valor Orçado]])</f>
        <v>0.11723100859183001</v>
      </c>
      <c r="H10" s="3" t="s">
        <v>59</v>
      </c>
      <c r="I10" s="3" t="s">
        <v>18</v>
      </c>
      <c r="J10" s="22">
        <f>SUMIF('Orçado Adptado'!B:B,ORÇAMENTO!H10,'Orçado Adptado'!C:C)</f>
        <v>8554262</v>
      </c>
      <c r="K10" s="22">
        <f>SUMIF(Realizado!B:B,ORÇAMENTO!H10,Realizado!C:C)</f>
        <v>8713680</v>
      </c>
      <c r="L10" s="22">
        <f t="shared" si="1"/>
        <v>159418</v>
      </c>
      <c r="M10" s="6">
        <f t="shared" si="0"/>
        <v>1.8636090407331458E-2</v>
      </c>
    </row>
    <row r="11" spans="1:13" ht="15.75" x14ac:dyDescent="0.25">
      <c r="A11" s="12">
        <v>43739</v>
      </c>
      <c r="B11" s="20">
        <f>SUMIF('Orçado Adptado'!A:A,Tabela8[[#This Row],[Mês/Ano]],'Orçado Adptado'!C:C)</f>
        <v>12795046</v>
      </c>
      <c r="C11" s="20">
        <f>SUMIF(Realizado!A:A,Tabela8[[#This Row],[Mês/Ano]],Realizado!C:C)</f>
        <v>11359347</v>
      </c>
      <c r="D11" s="20">
        <f>Tabela8[[#This Row],[Valor Realizado]]-Tabela8[[#This Row],[Valor Orçado]]</f>
        <v>-1435699</v>
      </c>
      <c r="E11" s="14">
        <f>ABS((Tabela8[[#This Row],[Valor Realizado]]-Tabela8[[#This Row],[Valor Orçado]])/Tabela8[[#This Row],[Valor Orçado]])</f>
        <v>0.11220741214998367</v>
      </c>
      <c r="H11" s="4" t="s">
        <v>60</v>
      </c>
      <c r="I11" s="4" t="s">
        <v>19</v>
      </c>
      <c r="J11" s="22">
        <f>SUMIF('Orçado Adptado'!B:B,ORÇAMENTO!H11,'Orçado Adptado'!C:C)</f>
        <v>6650891</v>
      </c>
      <c r="K11" s="22">
        <f>SUMIF(Realizado!B:B,ORÇAMENTO!H11,Realizado!C:C)</f>
        <v>7741927</v>
      </c>
      <c r="L11" s="22">
        <f t="shared" si="1"/>
        <v>1091036</v>
      </c>
      <c r="M11" s="6">
        <f t="shared" si="0"/>
        <v>0.16404358453626738</v>
      </c>
    </row>
    <row r="12" spans="1:13" ht="15.75" x14ac:dyDescent="0.25">
      <c r="A12" s="11">
        <v>43770</v>
      </c>
      <c r="B12" s="19">
        <f>SUMIF('Orçado Adptado'!A:A,Tabela8[[#This Row],[Mês/Ano]],'Orçado Adptado'!C:C)</f>
        <v>12884065</v>
      </c>
      <c r="C12" s="19">
        <f>SUMIF(Realizado!A:A,Tabela8[[#This Row],[Mês/Ano]],Realizado!C:C)</f>
        <v>11359053</v>
      </c>
      <c r="D12" s="19">
        <f>Tabela8[[#This Row],[Valor Realizado]]-Tabela8[[#This Row],[Valor Orçado]]</f>
        <v>-1525012</v>
      </c>
      <c r="E12" s="13">
        <f>ABS((Tabela8[[#This Row],[Valor Realizado]]-Tabela8[[#This Row],[Valor Orçado]])/Tabela8[[#This Row],[Valor Orçado]])</f>
        <v>0.11836419639298622</v>
      </c>
      <c r="H12" s="3" t="s">
        <v>61</v>
      </c>
      <c r="I12" s="3" t="s">
        <v>20</v>
      </c>
      <c r="J12" s="22">
        <f>SUMIF('Orçado Adptado'!B:B,ORÇAMENTO!H12,'Orçado Adptado'!C:C)</f>
        <v>7915502</v>
      </c>
      <c r="K12" s="22">
        <f>SUMIF(Realizado!B:B,ORÇAMENTO!H12,Realizado!C:C)</f>
        <v>7094319</v>
      </c>
      <c r="L12" s="22">
        <f t="shared" si="1"/>
        <v>-821183</v>
      </c>
      <c r="M12" s="6">
        <f t="shared" si="0"/>
        <v>0.10374364127505747</v>
      </c>
    </row>
    <row r="13" spans="1:13" ht="15.75" x14ac:dyDescent="0.25">
      <c r="A13" s="17">
        <v>43800</v>
      </c>
      <c r="B13" s="21">
        <f>SUMIF('Orçado Adptado'!A:A,Tabela8[[#This Row],[Mês/Ano]],'Orçado Adptado'!C:C)</f>
        <v>11966732</v>
      </c>
      <c r="C13" s="21">
        <f>SUMIF(Realizado!A:A,Tabela8[[#This Row],[Mês/Ano]],Realizado!C:C)</f>
        <v>13054144</v>
      </c>
      <c r="D13" s="21">
        <f>Tabela8[[#This Row],[Valor Realizado]]-Tabela8[[#This Row],[Valor Orçado]]</f>
        <v>1087412</v>
      </c>
      <c r="E13" s="18">
        <f>ABS((Tabela8[[#This Row],[Valor Realizado]]-Tabela8[[#This Row],[Valor Orçado]])/Tabela8[[#This Row],[Valor Orçado]])</f>
        <v>9.0869587452948722E-2</v>
      </c>
      <c r="H13" s="4" t="s">
        <v>62</v>
      </c>
      <c r="I13" s="4" t="s">
        <v>21</v>
      </c>
      <c r="J13" s="22">
        <f>SUMIF('Orçado Adptado'!B:B,ORÇAMENTO!H13,'Orçado Adptado'!C:C)</f>
        <v>7527687</v>
      </c>
      <c r="K13" s="22">
        <f>SUMIF(Realizado!B:B,ORÇAMENTO!H13,Realizado!C:C)</f>
        <v>7409118</v>
      </c>
      <c r="L13" s="22">
        <f t="shared" si="1"/>
        <v>-118569</v>
      </c>
      <c r="M13" s="6">
        <f t="shared" si="0"/>
        <v>1.5751053411227112E-2</v>
      </c>
    </row>
    <row r="14" spans="1:13" x14ac:dyDescent="0.25">
      <c r="H14" s="3" t="s">
        <v>63</v>
      </c>
      <c r="I14" s="3" t="s">
        <v>22</v>
      </c>
      <c r="J14" s="22">
        <f>SUMIF('Orçado Adptado'!B:B,ORÇAMENTO!H14,'Orçado Adptado'!C:C)</f>
        <v>7706120</v>
      </c>
      <c r="K14" s="22">
        <f>SUMIF(Realizado!B:B,ORÇAMENTO!H14,Realizado!C:C)</f>
        <v>7262511</v>
      </c>
      <c r="L14" s="22">
        <f t="shared" si="1"/>
        <v>-443609</v>
      </c>
      <c r="M14" s="6">
        <f t="shared" si="0"/>
        <v>5.7565804840827808E-2</v>
      </c>
    </row>
    <row r="15" spans="1:13" x14ac:dyDescent="0.25">
      <c r="H15" s="4" t="s">
        <v>64</v>
      </c>
      <c r="I15" s="4" t="s">
        <v>23</v>
      </c>
      <c r="J15" s="22">
        <f>SUMIF('Orçado Adptado'!B:B,ORÇAMENTO!H15,'Orçado Adptado'!C:C)</f>
        <v>8324743</v>
      </c>
      <c r="K15" s="22">
        <f>SUMIF(Realizado!B:B,ORÇAMENTO!H15,Realizado!C:C)</f>
        <v>7158168</v>
      </c>
      <c r="L15" s="22">
        <f t="shared" si="1"/>
        <v>-1166575</v>
      </c>
      <c r="M15" s="6">
        <f t="shared" si="0"/>
        <v>0.1401334551709284</v>
      </c>
    </row>
    <row r="16" spans="1:13" x14ac:dyDescent="0.25">
      <c r="H16" s="3" t="s">
        <v>65</v>
      </c>
      <c r="I16" s="3" t="s">
        <v>24</v>
      </c>
      <c r="J16" s="22">
        <f>SUMIF('Orçado Adptado'!B:B,ORÇAMENTO!H16,'Orçado Adptado'!C:C)</f>
        <v>8098517</v>
      </c>
      <c r="K16" s="22">
        <f>SUMIF(Realizado!B:B,ORÇAMENTO!H16,Realizado!C:C)</f>
        <v>7774405</v>
      </c>
      <c r="L16" s="22">
        <f t="shared" si="1"/>
        <v>-324112</v>
      </c>
      <c r="M16" s="6">
        <f t="shared" si="0"/>
        <v>4.0021154490383855E-2</v>
      </c>
    </row>
    <row r="17" spans="8:13" x14ac:dyDescent="0.25">
      <c r="H17" s="4" t="s">
        <v>66</v>
      </c>
      <c r="I17" s="4" t="s">
        <v>25</v>
      </c>
      <c r="J17" s="22">
        <f>SUMIF('Orçado Adptado'!B:B,ORÇAMENTO!H17,'Orçado Adptado'!C:C)</f>
        <v>7112294</v>
      </c>
      <c r="K17" s="22">
        <f>SUMIF(Realizado!B:B,ORÇAMENTO!H17,Realizado!C:C)</f>
        <v>7466015</v>
      </c>
      <c r="L17" s="22">
        <f t="shared" si="1"/>
        <v>353721</v>
      </c>
      <c r="M17" s="6">
        <f t="shared" si="0"/>
        <v>4.9733742727733135E-2</v>
      </c>
    </row>
    <row r="18" spans="8:13" x14ac:dyDescent="0.25">
      <c r="H18" s="3" t="s">
        <v>67</v>
      </c>
      <c r="I18" s="3" t="s">
        <v>26</v>
      </c>
      <c r="J18" s="22">
        <f>SUMIF('Orçado Adptado'!B:B,ORÇAMENTO!H18,'Orçado Adptado'!C:C)</f>
        <v>7826055</v>
      </c>
      <c r="K18" s="22">
        <f>SUMIF(Realizado!B:B,ORÇAMENTO!H18,Realizado!C:C)</f>
        <v>8340122</v>
      </c>
      <c r="L18" s="22">
        <f t="shared" si="1"/>
        <v>514067</v>
      </c>
      <c r="M18" s="6">
        <f t="shared" si="0"/>
        <v>6.5686607109201253E-2</v>
      </c>
    </row>
    <row r="19" spans="8:13" x14ac:dyDescent="0.25">
      <c r="H19" s="4" t="s">
        <v>68</v>
      </c>
      <c r="I19" s="4" t="s">
        <v>27</v>
      </c>
      <c r="J19" s="22">
        <f>SUMIF('Orçado Adptado'!B:B,ORÇAMENTO!H19,'Orçado Adptado'!C:C)</f>
        <v>7880447</v>
      </c>
      <c r="K19" s="22">
        <f>SUMIF(Realizado!B:B,ORÇAMENTO!H19,Realizado!C:C)</f>
        <v>7559250</v>
      </c>
      <c r="L19" s="22">
        <f t="shared" si="1"/>
        <v>-321197</v>
      </c>
      <c r="M19" s="6">
        <f t="shared" si="0"/>
        <v>4.0758728534053969E-2</v>
      </c>
    </row>
    <row r="20" spans="8:13" x14ac:dyDescent="0.25">
      <c r="H20" s="3" t="s">
        <v>69</v>
      </c>
      <c r="I20" s="3" t="s">
        <v>28</v>
      </c>
      <c r="J20" s="22">
        <f>SUMIF('Orçado Adptado'!B:B,ORÇAMENTO!H20,'Orçado Adptado'!C:C)</f>
        <v>6755183</v>
      </c>
      <c r="K20" s="22">
        <f>SUMIF(Realizado!B:B,ORÇAMENTO!H20,Realizado!C:C)</f>
        <v>6559192</v>
      </c>
      <c r="L20" s="22">
        <f t="shared" si="1"/>
        <v>-195991</v>
      </c>
      <c r="M20" s="6">
        <f t="shared" si="0"/>
        <v>2.9013425691058258E-2</v>
      </c>
    </row>
    <row r="21" spans="8:13" x14ac:dyDescent="0.25">
      <c r="H21" s="4" t="s">
        <v>70</v>
      </c>
      <c r="I21" s="4" t="s">
        <v>29</v>
      </c>
      <c r="J21" s="22">
        <f>SUMIF('Orçado Adptado'!B:B,ORÇAMENTO!H21,'Orçado Adptado'!C:C)</f>
        <v>7038930</v>
      </c>
      <c r="K21" s="22">
        <f>SUMIF(Realizado!B:B,ORÇAMENTO!H21,Realizado!C:C)</f>
        <v>6918743</v>
      </c>
      <c r="L21" s="22">
        <f t="shared" si="1"/>
        <v>-120187</v>
      </c>
      <c r="M21" s="6">
        <f t="shared" si="0"/>
        <v>1.707461219247812E-2</v>
      </c>
    </row>
    <row r="22" spans="8:13" x14ac:dyDescent="0.25">
      <c r="H22" s="3" t="s">
        <v>71</v>
      </c>
      <c r="I22" s="3" t="s">
        <v>30</v>
      </c>
      <c r="J22" s="22">
        <f>SUMIF('Orçado Adptado'!B:B,ORÇAMENTO!H22,'Orçado Adptado'!C:C)</f>
        <v>7735691</v>
      </c>
      <c r="K22" s="22">
        <f>SUMIF(Realizado!B:B,ORÇAMENTO!H22,Realizado!C:C)</f>
        <v>6837973</v>
      </c>
      <c r="L22" s="22">
        <f t="shared" si="1"/>
        <v>-897718</v>
      </c>
      <c r="M22" s="6">
        <f t="shared" si="0"/>
        <v>0.11604884424675184</v>
      </c>
    </row>
    <row r="23" spans="8:13" x14ac:dyDescent="0.25">
      <c r="H23" s="4" t="s">
        <v>72</v>
      </c>
      <c r="I23" s="4" t="s">
        <v>31</v>
      </c>
      <c r="J23" s="22">
        <f>SUMIF('Orçado Adptado'!B:B,ORÇAMENTO!H23,'Orçado Adptado'!C:C)</f>
        <v>7854881</v>
      </c>
      <c r="K23" s="22">
        <f>SUMIF(Realizado!B:B,ORÇAMENTO!H23,Realizado!C:C)</f>
        <v>7152703</v>
      </c>
      <c r="L23" s="22">
        <f t="shared" si="1"/>
        <v>-702178</v>
      </c>
      <c r="M23" s="6">
        <f t="shared" si="0"/>
        <v>8.9393843140335286E-2</v>
      </c>
    </row>
    <row r="24" spans="8:13" x14ac:dyDescent="0.25">
      <c r="H24" s="3" t="s">
        <v>73</v>
      </c>
      <c r="I24" s="3" t="s">
        <v>32</v>
      </c>
      <c r="J24" s="22">
        <f>SUMIF('Orçado Adptado'!B:B,ORÇAMENTO!H24,'Orçado Adptado'!C:C)</f>
        <v>2327733</v>
      </c>
      <c r="K24" s="22">
        <f>SUMIF(Realizado!B:B,ORÇAMENTO!H24,Realizado!C:C)</f>
        <v>2104190</v>
      </c>
      <c r="L24" s="22">
        <f t="shared" si="1"/>
        <v>-223543</v>
      </c>
      <c r="M24" s="6">
        <f t="shared" si="0"/>
        <v>9.6034639711685146E-2</v>
      </c>
    </row>
    <row r="25" spans="8:13" x14ac:dyDescent="0.25">
      <c r="H25" s="4" t="s">
        <v>74</v>
      </c>
      <c r="I25" s="4" t="s">
        <v>33</v>
      </c>
      <c r="J25" s="22">
        <f>SUMIF('Orçado Adptado'!B:B,ORÇAMENTO!H25,'Orçado Adptado'!C:C)</f>
        <v>2389903</v>
      </c>
      <c r="K25" s="22">
        <f>SUMIF(Realizado!B:B,ORÇAMENTO!H25,Realizado!C:C)</f>
        <v>1952827</v>
      </c>
      <c r="L25" s="22">
        <f>K25-J25</f>
        <v>-437076</v>
      </c>
      <c r="M25" s="6">
        <f t="shared" si="0"/>
        <v>0.18288440995303992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2484-ED44-45D8-81E8-4653E8214919}">
  <dimension ref="A1:I28"/>
  <sheetViews>
    <sheetView workbookViewId="0">
      <selection activeCell="H1" sqref="H1:I2"/>
    </sheetView>
  </sheetViews>
  <sheetFormatPr defaultRowHeight="15" x14ac:dyDescent="0.25"/>
  <cols>
    <col min="1" max="1" width="9.42578125" bestFit="1" customWidth="1"/>
    <col min="2" max="2" width="29.42578125" bestFit="1" customWidth="1"/>
    <col min="3" max="3" width="23.140625" bestFit="1" customWidth="1"/>
    <col min="5" max="5" width="20.7109375" bestFit="1" customWidth="1"/>
    <col min="6" max="6" width="23.140625" bestFit="1" customWidth="1"/>
    <col min="7" max="7" width="13.42578125" customWidth="1"/>
    <col min="8" max="8" width="33.85546875" bestFit="1" customWidth="1"/>
    <col min="9" max="9" width="23.140625" bestFit="1" customWidth="1"/>
    <col min="14" max="14" width="18" bestFit="1" customWidth="1"/>
    <col min="15" max="15" width="20.7109375" bestFit="1" customWidth="1"/>
    <col min="16" max="16" width="23.140625" bestFit="1" customWidth="1"/>
    <col min="17" max="26" width="12.28515625" bestFit="1" customWidth="1"/>
    <col min="27" max="27" width="10.7109375" bestFit="1" customWidth="1"/>
  </cols>
  <sheetData>
    <row r="1" spans="1:9" x14ac:dyDescent="0.25">
      <c r="A1" s="37" t="s">
        <v>346</v>
      </c>
      <c r="B1" s="37"/>
      <c r="D1" s="37" t="s">
        <v>347</v>
      </c>
      <c r="E1" s="37"/>
      <c r="F1" s="37"/>
      <c r="H1" s="37" t="s">
        <v>348</v>
      </c>
      <c r="I1" s="37"/>
    </row>
    <row r="2" spans="1:9" x14ac:dyDescent="0.25">
      <c r="A2" s="38"/>
      <c r="B2" s="38"/>
      <c r="D2" s="38"/>
      <c r="E2" s="38"/>
      <c r="F2" s="38"/>
      <c r="H2" s="38"/>
      <c r="I2" s="38"/>
    </row>
    <row r="3" spans="1:9" x14ac:dyDescent="0.25">
      <c r="A3" s="36" t="s">
        <v>312</v>
      </c>
      <c r="B3" s="5" t="s">
        <v>344</v>
      </c>
      <c r="D3" s="24" t="s">
        <v>329</v>
      </c>
      <c r="E3" t="s">
        <v>345</v>
      </c>
      <c r="F3" t="s">
        <v>331</v>
      </c>
      <c r="H3" s="24" t="s">
        <v>329</v>
      </c>
      <c r="I3" t="s">
        <v>331</v>
      </c>
    </row>
    <row r="4" spans="1:9" x14ac:dyDescent="0.25">
      <c r="A4" s="5" t="s">
        <v>332</v>
      </c>
      <c r="B4" s="22">
        <v>11641038</v>
      </c>
      <c r="D4" s="25" t="s">
        <v>332</v>
      </c>
      <c r="E4" s="10">
        <v>12628342</v>
      </c>
      <c r="F4" s="10">
        <v>11641038</v>
      </c>
      <c r="H4" s="25" t="s">
        <v>13</v>
      </c>
      <c r="I4" s="10">
        <v>8291974</v>
      </c>
    </row>
    <row r="5" spans="1:9" x14ac:dyDescent="0.25">
      <c r="A5" s="5" t="s">
        <v>333</v>
      </c>
      <c r="B5" s="22">
        <v>11031445</v>
      </c>
      <c r="D5" s="25" t="s">
        <v>333</v>
      </c>
      <c r="E5" s="10">
        <v>12787711</v>
      </c>
      <c r="F5" s="10">
        <v>11031445</v>
      </c>
      <c r="H5" s="25" t="s">
        <v>33</v>
      </c>
      <c r="I5" s="10">
        <v>1952827</v>
      </c>
    </row>
    <row r="6" spans="1:9" x14ac:dyDescent="0.25">
      <c r="A6" s="5" t="s">
        <v>334</v>
      </c>
      <c r="B6" s="22">
        <v>12978938</v>
      </c>
      <c r="D6" s="25" t="s">
        <v>334</v>
      </c>
      <c r="E6" s="10">
        <v>14186373</v>
      </c>
      <c r="F6" s="10">
        <v>12978938</v>
      </c>
      <c r="H6" s="25" t="s">
        <v>22</v>
      </c>
      <c r="I6" s="10">
        <v>7262511</v>
      </c>
    </row>
    <row r="7" spans="1:9" x14ac:dyDescent="0.25">
      <c r="A7" s="5" t="s">
        <v>335</v>
      </c>
      <c r="B7" s="22">
        <v>12589377</v>
      </c>
      <c r="D7" s="25" t="s">
        <v>335</v>
      </c>
      <c r="E7" s="10">
        <v>9555695</v>
      </c>
      <c r="F7" s="10">
        <v>12589377</v>
      </c>
      <c r="H7" s="25" t="s">
        <v>14</v>
      </c>
      <c r="I7" s="10">
        <v>8563185</v>
      </c>
    </row>
    <row r="8" spans="1:9" x14ac:dyDescent="0.25">
      <c r="A8" s="5" t="s">
        <v>336</v>
      </c>
      <c r="B8" s="22">
        <v>8509153</v>
      </c>
      <c r="D8" s="25" t="s">
        <v>336</v>
      </c>
      <c r="E8" s="10">
        <v>11240344</v>
      </c>
      <c r="F8" s="10">
        <v>8509153</v>
      </c>
      <c r="H8" s="25" t="s">
        <v>24</v>
      </c>
      <c r="I8" s="10">
        <v>7774405</v>
      </c>
    </row>
    <row r="9" spans="1:9" x14ac:dyDescent="0.25">
      <c r="A9" s="5" t="s">
        <v>337</v>
      </c>
      <c r="B9" s="22">
        <v>11547911</v>
      </c>
      <c r="D9" s="25" t="s">
        <v>337</v>
      </c>
      <c r="E9" s="10">
        <v>11922744</v>
      </c>
      <c r="F9" s="10">
        <v>11547911</v>
      </c>
      <c r="H9" s="25" t="s">
        <v>21</v>
      </c>
      <c r="I9" s="10">
        <v>7409118</v>
      </c>
    </row>
    <row r="10" spans="1:9" x14ac:dyDescent="0.25">
      <c r="A10" s="5" t="s">
        <v>338</v>
      </c>
      <c r="B10" s="22">
        <v>13221807</v>
      </c>
      <c r="D10" s="25" t="s">
        <v>338</v>
      </c>
      <c r="E10" s="10">
        <v>12505746</v>
      </c>
      <c r="F10" s="10">
        <v>13221807</v>
      </c>
      <c r="H10" s="25" t="s">
        <v>23</v>
      </c>
      <c r="I10" s="10">
        <v>7158168</v>
      </c>
    </row>
    <row r="11" spans="1:9" x14ac:dyDescent="0.25">
      <c r="A11" s="5" t="s">
        <v>339</v>
      </c>
      <c r="B11" s="22">
        <v>13099542</v>
      </c>
      <c r="D11" s="25" t="s">
        <v>339</v>
      </c>
      <c r="E11" s="10">
        <v>11962102</v>
      </c>
      <c r="F11" s="10">
        <v>13099542</v>
      </c>
      <c r="H11" s="25" t="s">
        <v>12</v>
      </c>
      <c r="I11" s="10">
        <v>7368112</v>
      </c>
    </row>
    <row r="12" spans="1:9" x14ac:dyDescent="0.25">
      <c r="A12" s="5" t="s">
        <v>340</v>
      </c>
      <c r="B12" s="22">
        <v>13211336</v>
      </c>
      <c r="D12" s="25" t="s">
        <v>340</v>
      </c>
      <c r="E12" s="10">
        <v>11825071</v>
      </c>
      <c r="F12" s="10">
        <v>13211336</v>
      </c>
      <c r="H12" s="25" t="s">
        <v>30</v>
      </c>
      <c r="I12" s="10">
        <v>6837973</v>
      </c>
    </row>
    <row r="13" spans="1:9" x14ac:dyDescent="0.25">
      <c r="A13" s="5" t="s">
        <v>341</v>
      </c>
      <c r="B13" s="22">
        <v>11359347</v>
      </c>
      <c r="D13" s="25" t="s">
        <v>341</v>
      </c>
      <c r="E13" s="10">
        <v>12795046</v>
      </c>
      <c r="F13" s="10">
        <v>11359347</v>
      </c>
      <c r="H13" s="25" t="s">
        <v>16</v>
      </c>
      <c r="I13" s="10">
        <v>7829374</v>
      </c>
    </row>
    <row r="14" spans="1:9" x14ac:dyDescent="0.25">
      <c r="A14" s="5" t="s">
        <v>342</v>
      </c>
      <c r="B14" s="22">
        <v>11359053</v>
      </c>
      <c r="D14" s="25" t="s">
        <v>342</v>
      </c>
      <c r="E14" s="10">
        <v>12884065</v>
      </c>
      <c r="F14" s="10">
        <v>11359053</v>
      </c>
      <c r="H14" s="25" t="s">
        <v>31</v>
      </c>
      <c r="I14" s="10">
        <v>7152703</v>
      </c>
    </row>
    <row r="15" spans="1:9" x14ac:dyDescent="0.25">
      <c r="A15" s="5" t="s">
        <v>343</v>
      </c>
      <c r="B15" s="22">
        <v>13054144</v>
      </c>
      <c r="D15" s="25" t="s">
        <v>343</v>
      </c>
      <c r="E15" s="10">
        <v>11966732</v>
      </c>
      <c r="F15" s="10">
        <v>13054144</v>
      </c>
      <c r="H15" s="25" t="s">
        <v>19</v>
      </c>
      <c r="I15" s="10">
        <v>7741927</v>
      </c>
    </row>
    <row r="16" spans="1:9" x14ac:dyDescent="0.25">
      <c r="H16" s="25" t="s">
        <v>11</v>
      </c>
      <c r="I16" s="10">
        <v>7768159</v>
      </c>
    </row>
    <row r="17" spans="8:9" x14ac:dyDescent="0.25">
      <c r="H17" s="25" t="s">
        <v>28</v>
      </c>
      <c r="I17" s="10">
        <v>6559192</v>
      </c>
    </row>
    <row r="18" spans="8:9" x14ac:dyDescent="0.25">
      <c r="H18" s="25" t="s">
        <v>18</v>
      </c>
      <c r="I18" s="10">
        <v>8713680</v>
      </c>
    </row>
    <row r="19" spans="8:9" x14ac:dyDescent="0.25">
      <c r="H19" s="25" t="s">
        <v>29</v>
      </c>
      <c r="I19" s="10">
        <v>6918743</v>
      </c>
    </row>
    <row r="20" spans="8:9" x14ac:dyDescent="0.25">
      <c r="H20" s="25" t="s">
        <v>32</v>
      </c>
      <c r="I20" s="10">
        <v>2104190</v>
      </c>
    </row>
    <row r="21" spans="8:9" x14ac:dyDescent="0.25">
      <c r="H21" s="25" t="s">
        <v>10</v>
      </c>
      <c r="I21" s="10">
        <v>7791574</v>
      </c>
    </row>
    <row r="22" spans="8:9" x14ac:dyDescent="0.25">
      <c r="H22" s="25" t="s">
        <v>26</v>
      </c>
      <c r="I22" s="10">
        <v>8340122</v>
      </c>
    </row>
    <row r="23" spans="8:9" x14ac:dyDescent="0.25">
      <c r="H23" s="25" t="s">
        <v>17</v>
      </c>
      <c r="I23" s="10">
        <v>7931061</v>
      </c>
    </row>
    <row r="24" spans="8:9" x14ac:dyDescent="0.25">
      <c r="H24" s="25" t="s">
        <v>25</v>
      </c>
      <c r="I24" s="10">
        <v>7466015</v>
      </c>
    </row>
    <row r="25" spans="8:9" x14ac:dyDescent="0.25">
      <c r="H25" s="25" t="s">
        <v>27</v>
      </c>
      <c r="I25" s="10">
        <v>7559250</v>
      </c>
    </row>
    <row r="26" spans="8:9" x14ac:dyDescent="0.25">
      <c r="H26" s="25" t="s">
        <v>20</v>
      </c>
      <c r="I26" s="10">
        <v>7094319</v>
      </c>
    </row>
    <row r="27" spans="8:9" x14ac:dyDescent="0.25">
      <c r="H27" s="25" t="s">
        <v>15</v>
      </c>
      <c r="I27" s="10">
        <v>5688659</v>
      </c>
    </row>
    <row r="28" spans="8:9" x14ac:dyDescent="0.25">
      <c r="H28" s="25" t="s">
        <v>330</v>
      </c>
      <c r="I28" s="10">
        <v>169277241</v>
      </c>
    </row>
  </sheetData>
  <mergeCells count="3">
    <mergeCell ref="A1:B2"/>
    <mergeCell ref="D1:F2"/>
    <mergeCell ref="H1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Plano de Contas</vt:lpstr>
      <vt:lpstr>Formato DRE</vt:lpstr>
      <vt:lpstr>Orçado</vt:lpstr>
      <vt:lpstr>Orçado Adptado</vt:lpstr>
      <vt:lpstr>Realizado</vt:lpstr>
      <vt:lpstr>Realizado Adptado</vt:lpstr>
      <vt:lpstr>FINANCEIRO</vt:lpstr>
      <vt:lpstr>DASHBOARD</vt:lpstr>
      <vt:lpstr>ORÇAMENTO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Emílio Tucayano Ferraz Gaspar</cp:lastModifiedBy>
  <cp:lastPrinted>2026-08-11T19:07:34Z</cp:lastPrinted>
  <dcterms:created xsi:type="dcterms:W3CDTF">2020-04-20T22:14:50Z</dcterms:created>
  <dcterms:modified xsi:type="dcterms:W3CDTF">2026-08-12T20:16:12Z</dcterms:modified>
</cp:coreProperties>
</file>